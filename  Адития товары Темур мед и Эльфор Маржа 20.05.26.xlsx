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uzabdurakhmonov/Desktop/"/>
    </mc:Choice>
  </mc:AlternateContent>
  <xr:revisionPtr revIDLastSave="0" documentId="8_{A80ADB1B-EB47-F345-97B1-D8DF8204EFE1}" xr6:coauthVersionLast="47" xr6:coauthVersionMax="47" xr10:uidLastSave="{00000000-0000-0000-0000-000000000000}"/>
  <bookViews>
    <workbookView xWindow="0" yWindow="0" windowWidth="38400" windowHeight="21600" activeTab="11" xr2:uid="{6FE676A6-25D9-8541-B9C3-CDADBC89D442}"/>
  </bookViews>
  <sheets>
    <sheet name="PPS" sheetId="1" state="hidden" r:id="rId1"/>
    <sheet name="IPS" sheetId="2" state="hidden" r:id="rId2"/>
    <sheet name="RMF" sheetId="3" state="hidden" r:id="rId3"/>
    <sheet name="SFM" sheetId="4" state="hidden" r:id="rId4"/>
    <sheet name="PPS2" sheetId="5" state="hidden" r:id="rId5"/>
    <sheet name="IPS2" sheetId="6" state="hidden" r:id="rId6"/>
    <sheet name="RMF2" sheetId="7" state="hidden" r:id="rId7"/>
    <sheet name="Лист8" sheetId="16" state="hidden" r:id="rId8"/>
    <sheet name="Приход колва" sheetId="20" r:id="rId9"/>
    <sheet name="Продажа 2" sheetId="13" r:id="rId10"/>
    <sheet name="Продажа Переч" sheetId="21" r:id="rId11"/>
    <sheet name="Перечеслени" sheetId="17" r:id="rId12"/>
    <sheet name="2H" sheetId="18" r:id="rId13"/>
    <sheet name="Резюме" sheetId="23" r:id="rId14"/>
    <sheet name="Приход на Профи " sheetId="10" r:id="rId15"/>
  </sheets>
  <definedNames>
    <definedName name="_xlnm._FilterDatabase" localSheetId="9" hidden="1">'Продажа 2'!$A$2:$N$388</definedName>
    <definedName name="_xlnm._FilterDatabase" localSheetId="10" hidden="1">'Продажа Переч'!$A$2:$R$1348</definedName>
  </definedNames>
  <calcPr calcId="191029"/>
  <pivotCaches>
    <pivotCache cacheId="5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3" l="1"/>
  <c r="G14" i="17"/>
  <c r="F14" i="17"/>
  <c r="E14" i="17"/>
  <c r="D14" i="17"/>
  <c r="C14" i="17"/>
  <c r="B14" i="17"/>
  <c r="G12" i="18"/>
  <c r="F12" i="18"/>
  <c r="E12" i="18"/>
  <c r="D12" i="18"/>
  <c r="C12" i="18"/>
  <c r="B12" i="18"/>
  <c r="D29" i="20"/>
  <c r="D28" i="20"/>
  <c r="C28" i="20"/>
  <c r="D27" i="20"/>
  <c r="D26" i="20"/>
  <c r="D25" i="20"/>
  <c r="D23" i="20"/>
  <c r="G61" i="10"/>
  <c r="H62" i="10"/>
  <c r="B2" i="23"/>
  <c r="O388" i="13"/>
  <c r="O379" i="13"/>
  <c r="O318" i="13"/>
  <c r="O317" i="13"/>
  <c r="O281" i="13"/>
  <c r="O272" i="13"/>
  <c r="O270" i="13"/>
  <c r="O245" i="13"/>
  <c r="O244" i="13"/>
  <c r="O208" i="13"/>
  <c r="O200" i="13"/>
  <c r="O175" i="13"/>
  <c r="O174" i="13"/>
  <c r="O173" i="13"/>
  <c r="O116" i="13"/>
  <c r="O112" i="13"/>
  <c r="O80" i="13"/>
  <c r="O79" i="13"/>
  <c r="O78" i="13"/>
  <c r="O76" i="13"/>
  <c r="O41" i="13"/>
  <c r="N388" i="13"/>
  <c r="N387" i="13"/>
  <c r="O387" i="13" s="1"/>
  <c r="N386" i="13"/>
  <c r="O386" i="13" s="1"/>
  <c r="N385" i="13"/>
  <c r="O385" i="13" s="1"/>
  <c r="N384" i="13"/>
  <c r="O384" i="13" s="1"/>
  <c r="N383" i="13"/>
  <c r="O383" i="13" s="1"/>
  <c r="N382" i="13"/>
  <c r="O382" i="13" s="1"/>
  <c r="N381" i="13"/>
  <c r="O381" i="13" s="1"/>
  <c r="N380" i="13"/>
  <c r="O380" i="13" s="1"/>
  <c r="N379" i="13"/>
  <c r="N378" i="13"/>
  <c r="O378" i="13" s="1"/>
  <c r="N377" i="13"/>
  <c r="O377" i="13" s="1"/>
  <c r="N376" i="13"/>
  <c r="O376" i="13" s="1"/>
  <c r="N375" i="13"/>
  <c r="O375" i="13" s="1"/>
  <c r="N374" i="13"/>
  <c r="O374" i="13" s="1"/>
  <c r="N373" i="13"/>
  <c r="O373" i="13" s="1"/>
  <c r="N372" i="13"/>
  <c r="O372" i="13" s="1"/>
  <c r="N371" i="13"/>
  <c r="O371" i="13" s="1"/>
  <c r="N370" i="13"/>
  <c r="O370" i="13" s="1"/>
  <c r="N369" i="13"/>
  <c r="O369" i="13" s="1"/>
  <c r="N368" i="13"/>
  <c r="O368" i="13" s="1"/>
  <c r="N367" i="13"/>
  <c r="O367" i="13" s="1"/>
  <c r="N366" i="13"/>
  <c r="O366" i="13" s="1"/>
  <c r="N365" i="13"/>
  <c r="O365" i="13" s="1"/>
  <c r="N364" i="13"/>
  <c r="O364" i="13" s="1"/>
  <c r="N363" i="13"/>
  <c r="O363" i="13" s="1"/>
  <c r="N362" i="13"/>
  <c r="O362" i="13" s="1"/>
  <c r="N361" i="13"/>
  <c r="O361" i="13" s="1"/>
  <c r="N360" i="13"/>
  <c r="O360" i="13" s="1"/>
  <c r="N359" i="13"/>
  <c r="O359" i="13" s="1"/>
  <c r="N358" i="13"/>
  <c r="O358" i="13" s="1"/>
  <c r="N357" i="13"/>
  <c r="O357" i="13" s="1"/>
  <c r="N356" i="13"/>
  <c r="O356" i="13" s="1"/>
  <c r="N355" i="13"/>
  <c r="O355" i="13" s="1"/>
  <c r="N354" i="13"/>
  <c r="O354" i="13" s="1"/>
  <c r="N353" i="13"/>
  <c r="O353" i="13" s="1"/>
  <c r="N352" i="13"/>
  <c r="O352" i="13" s="1"/>
  <c r="N351" i="13"/>
  <c r="O351" i="13" s="1"/>
  <c r="N350" i="13"/>
  <c r="O350" i="13" s="1"/>
  <c r="N349" i="13"/>
  <c r="O349" i="13" s="1"/>
  <c r="N348" i="13"/>
  <c r="O348" i="13" s="1"/>
  <c r="N347" i="13"/>
  <c r="O347" i="13" s="1"/>
  <c r="N346" i="13"/>
  <c r="O346" i="13" s="1"/>
  <c r="N345" i="13"/>
  <c r="O345" i="13" s="1"/>
  <c r="N344" i="13"/>
  <c r="O344" i="13" s="1"/>
  <c r="N343" i="13"/>
  <c r="O343" i="13" s="1"/>
  <c r="N342" i="13"/>
  <c r="O342" i="13" s="1"/>
  <c r="N341" i="13"/>
  <c r="O341" i="13" s="1"/>
  <c r="N340" i="13"/>
  <c r="O340" i="13" s="1"/>
  <c r="N339" i="13"/>
  <c r="O339" i="13" s="1"/>
  <c r="N338" i="13"/>
  <c r="O338" i="13" s="1"/>
  <c r="N337" i="13"/>
  <c r="O337" i="13" s="1"/>
  <c r="N336" i="13"/>
  <c r="O336" i="13" s="1"/>
  <c r="N335" i="13"/>
  <c r="O335" i="13" s="1"/>
  <c r="N334" i="13"/>
  <c r="O334" i="13" s="1"/>
  <c r="N333" i="13"/>
  <c r="O333" i="13" s="1"/>
  <c r="N332" i="13"/>
  <c r="O332" i="13" s="1"/>
  <c r="N331" i="13"/>
  <c r="O331" i="13" s="1"/>
  <c r="N330" i="13"/>
  <c r="O330" i="13" s="1"/>
  <c r="N329" i="13"/>
  <c r="O329" i="13" s="1"/>
  <c r="N328" i="13"/>
  <c r="O328" i="13" s="1"/>
  <c r="N327" i="13"/>
  <c r="O327" i="13" s="1"/>
  <c r="N326" i="13"/>
  <c r="O326" i="13" s="1"/>
  <c r="N325" i="13"/>
  <c r="O325" i="13" s="1"/>
  <c r="N324" i="13"/>
  <c r="O324" i="13" s="1"/>
  <c r="N323" i="13"/>
  <c r="O323" i="13" s="1"/>
  <c r="N322" i="13"/>
  <c r="O322" i="13" s="1"/>
  <c r="N321" i="13"/>
  <c r="O321" i="13" s="1"/>
  <c r="N320" i="13"/>
  <c r="O320" i="13" s="1"/>
  <c r="N319" i="13"/>
  <c r="O319" i="13" s="1"/>
  <c r="N318" i="13"/>
  <c r="N317" i="13"/>
  <c r="N316" i="13"/>
  <c r="O316" i="13" s="1"/>
  <c r="N315" i="13"/>
  <c r="O315" i="13" s="1"/>
  <c r="N314" i="13"/>
  <c r="O314" i="13" s="1"/>
  <c r="N313" i="13"/>
  <c r="O313" i="13" s="1"/>
  <c r="N312" i="13"/>
  <c r="O312" i="13" s="1"/>
  <c r="N311" i="13"/>
  <c r="O311" i="13" s="1"/>
  <c r="N310" i="13"/>
  <c r="O310" i="13" s="1"/>
  <c r="N309" i="13"/>
  <c r="O309" i="13" s="1"/>
  <c r="N308" i="13"/>
  <c r="O308" i="13" s="1"/>
  <c r="N307" i="13"/>
  <c r="O307" i="13" s="1"/>
  <c r="N306" i="13"/>
  <c r="O306" i="13" s="1"/>
  <c r="N305" i="13"/>
  <c r="O305" i="13" s="1"/>
  <c r="N304" i="13"/>
  <c r="O304" i="13" s="1"/>
  <c r="N303" i="13"/>
  <c r="O303" i="13" s="1"/>
  <c r="N302" i="13"/>
  <c r="O302" i="13" s="1"/>
  <c r="N301" i="13"/>
  <c r="O301" i="13" s="1"/>
  <c r="N300" i="13"/>
  <c r="O300" i="13" s="1"/>
  <c r="N299" i="13"/>
  <c r="O299" i="13" s="1"/>
  <c r="N298" i="13"/>
  <c r="O298" i="13" s="1"/>
  <c r="N297" i="13"/>
  <c r="O297" i="13" s="1"/>
  <c r="N296" i="13"/>
  <c r="O296" i="13" s="1"/>
  <c r="N295" i="13"/>
  <c r="O295" i="13" s="1"/>
  <c r="N294" i="13"/>
  <c r="O294" i="13" s="1"/>
  <c r="N293" i="13"/>
  <c r="O293" i="13" s="1"/>
  <c r="N292" i="13"/>
  <c r="O292" i="13" s="1"/>
  <c r="N291" i="13"/>
  <c r="O291" i="13" s="1"/>
  <c r="N290" i="13"/>
  <c r="O290" i="13" s="1"/>
  <c r="N289" i="13"/>
  <c r="O289" i="13" s="1"/>
  <c r="N288" i="13"/>
  <c r="O288" i="13" s="1"/>
  <c r="N287" i="13"/>
  <c r="O287" i="13" s="1"/>
  <c r="N286" i="13"/>
  <c r="O286" i="13" s="1"/>
  <c r="N285" i="13"/>
  <c r="O285" i="13" s="1"/>
  <c r="N284" i="13"/>
  <c r="O284" i="13" s="1"/>
  <c r="N283" i="13"/>
  <c r="O283" i="13" s="1"/>
  <c r="N282" i="13"/>
  <c r="O282" i="13" s="1"/>
  <c r="N281" i="13"/>
  <c r="N280" i="13"/>
  <c r="O280" i="13" s="1"/>
  <c r="N279" i="13"/>
  <c r="O279" i="13" s="1"/>
  <c r="N278" i="13"/>
  <c r="O278" i="13" s="1"/>
  <c r="N277" i="13"/>
  <c r="O277" i="13" s="1"/>
  <c r="N276" i="13"/>
  <c r="O276" i="13" s="1"/>
  <c r="N275" i="13"/>
  <c r="O275" i="13" s="1"/>
  <c r="N274" i="13"/>
  <c r="O274" i="13" s="1"/>
  <c r="N273" i="13"/>
  <c r="O273" i="13" s="1"/>
  <c r="N272" i="13"/>
  <c r="N271" i="13"/>
  <c r="O271" i="13" s="1"/>
  <c r="N270" i="13"/>
  <c r="N269" i="13"/>
  <c r="O269" i="13" s="1"/>
  <c r="N268" i="13"/>
  <c r="O268" i="13" s="1"/>
  <c r="N267" i="13"/>
  <c r="O267" i="13" s="1"/>
  <c r="N266" i="13"/>
  <c r="O266" i="13" s="1"/>
  <c r="N265" i="13"/>
  <c r="O265" i="13" s="1"/>
  <c r="N264" i="13"/>
  <c r="O264" i="13" s="1"/>
  <c r="N263" i="13"/>
  <c r="O263" i="13" s="1"/>
  <c r="N262" i="13"/>
  <c r="O262" i="13" s="1"/>
  <c r="N261" i="13"/>
  <c r="O261" i="13" s="1"/>
  <c r="N260" i="13"/>
  <c r="O260" i="13" s="1"/>
  <c r="N259" i="13"/>
  <c r="O259" i="13" s="1"/>
  <c r="N258" i="13"/>
  <c r="O258" i="13" s="1"/>
  <c r="N257" i="13"/>
  <c r="O257" i="13" s="1"/>
  <c r="N256" i="13"/>
  <c r="O256" i="13" s="1"/>
  <c r="N255" i="13"/>
  <c r="O255" i="13" s="1"/>
  <c r="N254" i="13"/>
  <c r="O254" i="13" s="1"/>
  <c r="N253" i="13"/>
  <c r="O253" i="13" s="1"/>
  <c r="N252" i="13"/>
  <c r="O252" i="13" s="1"/>
  <c r="N251" i="13"/>
  <c r="O251" i="13" s="1"/>
  <c r="N250" i="13"/>
  <c r="O250" i="13" s="1"/>
  <c r="N249" i="13"/>
  <c r="O249" i="13" s="1"/>
  <c r="N248" i="13"/>
  <c r="O248" i="13" s="1"/>
  <c r="N247" i="13"/>
  <c r="O247" i="13" s="1"/>
  <c r="N246" i="13"/>
  <c r="O246" i="13" s="1"/>
  <c r="N245" i="13"/>
  <c r="N244" i="13"/>
  <c r="N243" i="13"/>
  <c r="O243" i="13" s="1"/>
  <c r="N242" i="13"/>
  <c r="O242" i="13" s="1"/>
  <c r="N241" i="13"/>
  <c r="O241" i="13" s="1"/>
  <c r="N240" i="13"/>
  <c r="O240" i="13" s="1"/>
  <c r="N239" i="13"/>
  <c r="O239" i="13" s="1"/>
  <c r="N238" i="13"/>
  <c r="O238" i="13" s="1"/>
  <c r="N237" i="13"/>
  <c r="O237" i="13" s="1"/>
  <c r="N236" i="13"/>
  <c r="O236" i="13" s="1"/>
  <c r="N235" i="13"/>
  <c r="O235" i="13" s="1"/>
  <c r="N234" i="13"/>
  <c r="O234" i="13" s="1"/>
  <c r="N233" i="13"/>
  <c r="O233" i="13" s="1"/>
  <c r="N232" i="13"/>
  <c r="O232" i="13" s="1"/>
  <c r="N231" i="13"/>
  <c r="O231" i="13" s="1"/>
  <c r="N230" i="13"/>
  <c r="O230" i="13" s="1"/>
  <c r="N229" i="13"/>
  <c r="O229" i="13" s="1"/>
  <c r="N228" i="13"/>
  <c r="O228" i="13" s="1"/>
  <c r="N227" i="13"/>
  <c r="O227" i="13" s="1"/>
  <c r="N226" i="13"/>
  <c r="O226" i="13" s="1"/>
  <c r="N225" i="13"/>
  <c r="O225" i="13" s="1"/>
  <c r="N224" i="13"/>
  <c r="O224" i="13" s="1"/>
  <c r="N223" i="13"/>
  <c r="O223" i="13" s="1"/>
  <c r="N222" i="13"/>
  <c r="O222" i="13" s="1"/>
  <c r="N221" i="13"/>
  <c r="O221" i="13" s="1"/>
  <c r="N220" i="13"/>
  <c r="O220" i="13" s="1"/>
  <c r="N219" i="13"/>
  <c r="O219" i="13" s="1"/>
  <c r="N218" i="13"/>
  <c r="O218" i="13" s="1"/>
  <c r="N217" i="13"/>
  <c r="O217" i="13" s="1"/>
  <c r="N216" i="13"/>
  <c r="O216" i="13" s="1"/>
  <c r="N215" i="13"/>
  <c r="O215" i="13" s="1"/>
  <c r="N214" i="13"/>
  <c r="O214" i="13" s="1"/>
  <c r="N213" i="13"/>
  <c r="O213" i="13" s="1"/>
  <c r="N212" i="13"/>
  <c r="O212" i="13" s="1"/>
  <c r="N211" i="13"/>
  <c r="O211" i="13" s="1"/>
  <c r="N210" i="13"/>
  <c r="O210" i="13" s="1"/>
  <c r="N209" i="13"/>
  <c r="O209" i="13" s="1"/>
  <c r="N208" i="13"/>
  <c r="N207" i="13"/>
  <c r="O207" i="13" s="1"/>
  <c r="N206" i="13"/>
  <c r="O206" i="13" s="1"/>
  <c r="N205" i="13"/>
  <c r="O205" i="13" s="1"/>
  <c r="N204" i="13"/>
  <c r="O204" i="13" s="1"/>
  <c r="N203" i="13"/>
  <c r="O203" i="13" s="1"/>
  <c r="N202" i="13"/>
  <c r="O202" i="13" s="1"/>
  <c r="N201" i="13"/>
  <c r="O201" i="13" s="1"/>
  <c r="N200" i="13"/>
  <c r="N199" i="13"/>
  <c r="O199" i="13" s="1"/>
  <c r="N198" i="13"/>
  <c r="O198" i="13" s="1"/>
  <c r="N197" i="13"/>
  <c r="O197" i="13" s="1"/>
  <c r="N196" i="13"/>
  <c r="O196" i="13" s="1"/>
  <c r="N195" i="13"/>
  <c r="O195" i="13" s="1"/>
  <c r="N194" i="13"/>
  <c r="O194" i="13" s="1"/>
  <c r="N193" i="13"/>
  <c r="O193" i="13" s="1"/>
  <c r="N192" i="13"/>
  <c r="O192" i="13" s="1"/>
  <c r="N191" i="13"/>
  <c r="O191" i="13" s="1"/>
  <c r="N190" i="13"/>
  <c r="O190" i="13" s="1"/>
  <c r="N189" i="13"/>
  <c r="O189" i="13" s="1"/>
  <c r="N188" i="13"/>
  <c r="O188" i="13" s="1"/>
  <c r="N187" i="13"/>
  <c r="O187" i="13" s="1"/>
  <c r="N186" i="13"/>
  <c r="O186" i="13" s="1"/>
  <c r="N185" i="13"/>
  <c r="O185" i="13" s="1"/>
  <c r="N184" i="13"/>
  <c r="O184" i="13" s="1"/>
  <c r="N183" i="13"/>
  <c r="O183" i="13" s="1"/>
  <c r="N182" i="13"/>
  <c r="O182" i="13" s="1"/>
  <c r="N181" i="13"/>
  <c r="O181" i="13" s="1"/>
  <c r="N180" i="13"/>
  <c r="O180" i="13" s="1"/>
  <c r="N179" i="13"/>
  <c r="O179" i="13" s="1"/>
  <c r="N178" i="13"/>
  <c r="O178" i="13" s="1"/>
  <c r="N177" i="13"/>
  <c r="O177" i="13" s="1"/>
  <c r="N176" i="13"/>
  <c r="O176" i="13" s="1"/>
  <c r="N175" i="13"/>
  <c r="N174" i="13"/>
  <c r="N173" i="13"/>
  <c r="N172" i="13"/>
  <c r="O172" i="13" s="1"/>
  <c r="N171" i="13"/>
  <c r="O171" i="13" s="1"/>
  <c r="N170" i="13"/>
  <c r="O170" i="13" s="1"/>
  <c r="N169" i="13"/>
  <c r="O169" i="13" s="1"/>
  <c r="N168" i="13"/>
  <c r="O168" i="13" s="1"/>
  <c r="N167" i="13"/>
  <c r="O167" i="13" s="1"/>
  <c r="N166" i="13"/>
  <c r="O166" i="13" s="1"/>
  <c r="N165" i="13"/>
  <c r="O165" i="13" s="1"/>
  <c r="N164" i="13"/>
  <c r="O164" i="13" s="1"/>
  <c r="N163" i="13"/>
  <c r="O163" i="13" s="1"/>
  <c r="N162" i="13"/>
  <c r="O162" i="13" s="1"/>
  <c r="N161" i="13"/>
  <c r="O161" i="13" s="1"/>
  <c r="N160" i="13"/>
  <c r="O160" i="13" s="1"/>
  <c r="N159" i="13"/>
  <c r="O159" i="13" s="1"/>
  <c r="N158" i="13"/>
  <c r="O158" i="13" s="1"/>
  <c r="N157" i="13"/>
  <c r="O157" i="13" s="1"/>
  <c r="N156" i="13"/>
  <c r="O156" i="13" s="1"/>
  <c r="N155" i="13"/>
  <c r="O155" i="13" s="1"/>
  <c r="N154" i="13"/>
  <c r="O154" i="13" s="1"/>
  <c r="N153" i="13"/>
  <c r="O153" i="13" s="1"/>
  <c r="N152" i="13"/>
  <c r="O152" i="13" s="1"/>
  <c r="N151" i="13"/>
  <c r="O151" i="13" s="1"/>
  <c r="N150" i="13"/>
  <c r="O150" i="13" s="1"/>
  <c r="N149" i="13"/>
  <c r="O149" i="13" s="1"/>
  <c r="N148" i="13"/>
  <c r="O148" i="13" s="1"/>
  <c r="N147" i="13"/>
  <c r="O147" i="13" s="1"/>
  <c r="N146" i="13"/>
  <c r="O146" i="13" s="1"/>
  <c r="N145" i="13"/>
  <c r="O145" i="13" s="1"/>
  <c r="N144" i="13"/>
  <c r="O144" i="13" s="1"/>
  <c r="N143" i="13"/>
  <c r="O143" i="13" s="1"/>
  <c r="N142" i="13"/>
  <c r="O142" i="13" s="1"/>
  <c r="N141" i="13"/>
  <c r="O141" i="13" s="1"/>
  <c r="N140" i="13"/>
  <c r="O140" i="13" s="1"/>
  <c r="N139" i="13"/>
  <c r="O139" i="13" s="1"/>
  <c r="N138" i="13"/>
  <c r="O138" i="13" s="1"/>
  <c r="N137" i="13"/>
  <c r="O137" i="13" s="1"/>
  <c r="N136" i="13"/>
  <c r="O136" i="13" s="1"/>
  <c r="N135" i="13"/>
  <c r="O135" i="13" s="1"/>
  <c r="N134" i="13"/>
  <c r="O134" i="13" s="1"/>
  <c r="N133" i="13"/>
  <c r="O133" i="13" s="1"/>
  <c r="N132" i="13"/>
  <c r="O132" i="13" s="1"/>
  <c r="N131" i="13"/>
  <c r="O131" i="13" s="1"/>
  <c r="N130" i="13"/>
  <c r="O130" i="13" s="1"/>
  <c r="N129" i="13"/>
  <c r="O129" i="13" s="1"/>
  <c r="N128" i="13"/>
  <c r="O128" i="13" s="1"/>
  <c r="N127" i="13"/>
  <c r="O127" i="13" s="1"/>
  <c r="N126" i="13"/>
  <c r="O126" i="13" s="1"/>
  <c r="N125" i="13"/>
  <c r="O125" i="13" s="1"/>
  <c r="N124" i="13"/>
  <c r="O124" i="13" s="1"/>
  <c r="N123" i="13"/>
  <c r="O123" i="13" s="1"/>
  <c r="N122" i="13"/>
  <c r="O122" i="13" s="1"/>
  <c r="N121" i="13"/>
  <c r="O121" i="13" s="1"/>
  <c r="N120" i="13"/>
  <c r="O120" i="13" s="1"/>
  <c r="N119" i="13"/>
  <c r="O119" i="13" s="1"/>
  <c r="N118" i="13"/>
  <c r="O118" i="13" s="1"/>
  <c r="N117" i="13"/>
  <c r="O117" i="13" s="1"/>
  <c r="N116" i="13"/>
  <c r="N115" i="13"/>
  <c r="O115" i="13" s="1"/>
  <c r="N114" i="13"/>
  <c r="O114" i="13" s="1"/>
  <c r="N113" i="13"/>
  <c r="O113" i="13" s="1"/>
  <c r="N112" i="13"/>
  <c r="N111" i="13"/>
  <c r="O111" i="13" s="1"/>
  <c r="N110" i="13"/>
  <c r="O110" i="13" s="1"/>
  <c r="N109" i="13"/>
  <c r="O109" i="13" s="1"/>
  <c r="N108" i="13"/>
  <c r="O108" i="13" s="1"/>
  <c r="N107" i="13"/>
  <c r="O107" i="13" s="1"/>
  <c r="N106" i="13"/>
  <c r="O106" i="13" s="1"/>
  <c r="N105" i="13"/>
  <c r="O105" i="13" s="1"/>
  <c r="N104" i="13"/>
  <c r="O104" i="13" s="1"/>
  <c r="N103" i="13"/>
  <c r="O103" i="13" s="1"/>
  <c r="N102" i="13"/>
  <c r="O102" i="13" s="1"/>
  <c r="N101" i="13"/>
  <c r="O101" i="13" s="1"/>
  <c r="N100" i="13"/>
  <c r="O100" i="13" s="1"/>
  <c r="N99" i="13"/>
  <c r="O99" i="13" s="1"/>
  <c r="N98" i="13"/>
  <c r="O98" i="13" s="1"/>
  <c r="N97" i="13"/>
  <c r="O97" i="13" s="1"/>
  <c r="N96" i="13"/>
  <c r="O96" i="13" s="1"/>
  <c r="N95" i="13"/>
  <c r="O95" i="13" s="1"/>
  <c r="N94" i="13"/>
  <c r="O94" i="13" s="1"/>
  <c r="N93" i="13"/>
  <c r="O93" i="13" s="1"/>
  <c r="N92" i="13"/>
  <c r="O92" i="13" s="1"/>
  <c r="N91" i="13"/>
  <c r="O91" i="13" s="1"/>
  <c r="N90" i="13"/>
  <c r="O90" i="13" s="1"/>
  <c r="N89" i="13"/>
  <c r="O89" i="13" s="1"/>
  <c r="N88" i="13"/>
  <c r="O88" i="13" s="1"/>
  <c r="N87" i="13"/>
  <c r="O87" i="13" s="1"/>
  <c r="N86" i="13"/>
  <c r="O86" i="13" s="1"/>
  <c r="N85" i="13"/>
  <c r="O85" i="13" s="1"/>
  <c r="N84" i="13"/>
  <c r="O84" i="13" s="1"/>
  <c r="N83" i="13"/>
  <c r="O83" i="13" s="1"/>
  <c r="N82" i="13"/>
  <c r="O82" i="13" s="1"/>
  <c r="N81" i="13"/>
  <c r="O81" i="13" s="1"/>
  <c r="N80" i="13"/>
  <c r="N79" i="13"/>
  <c r="N78" i="13"/>
  <c r="N77" i="13"/>
  <c r="O77" i="13" s="1"/>
  <c r="N76" i="13"/>
  <c r="N75" i="13"/>
  <c r="O75" i="13" s="1"/>
  <c r="N74" i="13"/>
  <c r="O74" i="13" s="1"/>
  <c r="N73" i="13"/>
  <c r="O73" i="13" s="1"/>
  <c r="N72" i="13"/>
  <c r="O72" i="13" s="1"/>
  <c r="N71" i="13"/>
  <c r="O71" i="13" s="1"/>
  <c r="N70" i="13"/>
  <c r="O70" i="13" s="1"/>
  <c r="N69" i="13"/>
  <c r="O69" i="13" s="1"/>
  <c r="N68" i="13"/>
  <c r="O68" i="13" s="1"/>
  <c r="N67" i="13"/>
  <c r="O67" i="13" s="1"/>
  <c r="N66" i="13"/>
  <c r="O66" i="13" s="1"/>
  <c r="N65" i="13"/>
  <c r="O65" i="13" s="1"/>
  <c r="N64" i="13"/>
  <c r="O64" i="13" s="1"/>
  <c r="N63" i="13"/>
  <c r="O63" i="13" s="1"/>
  <c r="N62" i="13"/>
  <c r="O62" i="13" s="1"/>
  <c r="N61" i="13"/>
  <c r="O61" i="13" s="1"/>
  <c r="N60" i="13"/>
  <c r="O60" i="13" s="1"/>
  <c r="N59" i="13"/>
  <c r="O59" i="13" s="1"/>
  <c r="N58" i="13"/>
  <c r="O58" i="13" s="1"/>
  <c r="N57" i="13"/>
  <c r="O57" i="13" s="1"/>
  <c r="N56" i="13"/>
  <c r="O56" i="13" s="1"/>
  <c r="N55" i="13"/>
  <c r="O55" i="13" s="1"/>
  <c r="N54" i="13"/>
  <c r="O54" i="13" s="1"/>
  <c r="N53" i="13"/>
  <c r="O53" i="13" s="1"/>
  <c r="N52" i="13"/>
  <c r="O52" i="13" s="1"/>
  <c r="N51" i="13"/>
  <c r="O51" i="13" s="1"/>
  <c r="N50" i="13"/>
  <c r="O50" i="13" s="1"/>
  <c r="N49" i="13"/>
  <c r="O49" i="13" s="1"/>
  <c r="N48" i="13"/>
  <c r="O48" i="13" s="1"/>
  <c r="N47" i="13"/>
  <c r="O47" i="13" s="1"/>
  <c r="N46" i="13"/>
  <c r="O46" i="13" s="1"/>
  <c r="N45" i="13"/>
  <c r="O45" i="13" s="1"/>
  <c r="N44" i="13"/>
  <c r="O44" i="13" s="1"/>
  <c r="N43" i="13"/>
  <c r="O43" i="13" s="1"/>
  <c r="N42" i="13"/>
  <c r="O42" i="13" s="1"/>
  <c r="N41" i="13"/>
  <c r="N40" i="13"/>
  <c r="O40" i="13" s="1"/>
  <c r="N39" i="13"/>
  <c r="O39" i="13" s="1"/>
  <c r="N38" i="13"/>
  <c r="O38" i="13" s="1"/>
  <c r="N37" i="13"/>
  <c r="O37" i="13" s="1"/>
  <c r="N36" i="13"/>
  <c r="O36" i="13" s="1"/>
  <c r="N35" i="13"/>
  <c r="O35" i="13" s="1"/>
  <c r="N34" i="13"/>
  <c r="O34" i="13" s="1"/>
  <c r="N33" i="13"/>
  <c r="O33" i="13" s="1"/>
  <c r="N32" i="13"/>
  <c r="O32" i="13" s="1"/>
  <c r="N31" i="13"/>
  <c r="O31" i="13" s="1"/>
  <c r="N30" i="13"/>
  <c r="O30" i="13" s="1"/>
  <c r="N29" i="13"/>
  <c r="O29" i="13" s="1"/>
  <c r="N28" i="13"/>
  <c r="O28" i="13" s="1"/>
  <c r="N27" i="13"/>
  <c r="O27" i="13" s="1"/>
  <c r="N26" i="13"/>
  <c r="O26" i="13" s="1"/>
  <c r="N25" i="13"/>
  <c r="O25" i="13" s="1"/>
  <c r="N24" i="13"/>
  <c r="O24" i="13" s="1"/>
  <c r="N23" i="13"/>
  <c r="O23" i="13" s="1"/>
  <c r="N22" i="13"/>
  <c r="O22" i="13" s="1"/>
  <c r="N21" i="13"/>
  <c r="O21" i="13" s="1"/>
  <c r="N20" i="13"/>
  <c r="O20" i="13" s="1"/>
  <c r="N19" i="13"/>
  <c r="O19" i="13" s="1"/>
  <c r="N18" i="13"/>
  <c r="O18" i="13" s="1"/>
  <c r="N17" i="13"/>
  <c r="O17" i="13" s="1"/>
  <c r="N16" i="13"/>
  <c r="O16" i="13" s="1"/>
  <c r="N15" i="13"/>
  <c r="O15" i="13" s="1"/>
  <c r="N14" i="13"/>
  <c r="O14" i="13" s="1"/>
  <c r="N13" i="13"/>
  <c r="O13" i="13" s="1"/>
  <c r="N12" i="13"/>
  <c r="O12" i="13" s="1"/>
  <c r="N11" i="13"/>
  <c r="O11" i="13" s="1"/>
  <c r="N10" i="13"/>
  <c r="O10" i="13" s="1"/>
  <c r="N9" i="13"/>
  <c r="O9" i="13" s="1"/>
  <c r="N8" i="13"/>
  <c r="O8" i="13" s="1"/>
  <c r="N7" i="13"/>
  <c r="O7" i="13" s="1"/>
  <c r="N6" i="13"/>
  <c r="O6" i="13" s="1"/>
  <c r="N5" i="13"/>
  <c r="O5" i="13" s="1"/>
  <c r="N4" i="13"/>
  <c r="O4" i="13" s="1"/>
  <c r="N3" i="13"/>
  <c r="O3" i="13" s="1"/>
  <c r="D13" i="18" l="1"/>
  <c r="B13" i="18"/>
  <c r="C13" i="18"/>
  <c r="E13" i="18"/>
  <c r="O1" i="13"/>
  <c r="F13" i="18"/>
  <c r="G13" i="18" l="1"/>
  <c r="R1348" i="21"/>
  <c r="R1347" i="21"/>
  <c r="R1346" i="21"/>
  <c r="R1345" i="21"/>
  <c r="S1345" i="21" s="1"/>
  <c r="R1344" i="21"/>
  <c r="S1344" i="21" s="1"/>
  <c r="R1343" i="21"/>
  <c r="S1343" i="21" s="1"/>
  <c r="R1342" i="21"/>
  <c r="S1342" i="21" s="1"/>
  <c r="R1341" i="21"/>
  <c r="S1341" i="21" s="1"/>
  <c r="R1340" i="21"/>
  <c r="S1340" i="21" s="1"/>
  <c r="R1339" i="21"/>
  <c r="S1339" i="21" s="1"/>
  <c r="R1338" i="21"/>
  <c r="S1338" i="21" s="1"/>
  <c r="R1337" i="21"/>
  <c r="S1337" i="21" s="1"/>
  <c r="R1336" i="21"/>
  <c r="R1335" i="21"/>
  <c r="R1334" i="21"/>
  <c r="R1333" i="21"/>
  <c r="S1333" i="21" s="1"/>
  <c r="R1332" i="21"/>
  <c r="S1332" i="21" s="1"/>
  <c r="R1331" i="21"/>
  <c r="S1331" i="21" s="1"/>
  <c r="R1330" i="21"/>
  <c r="S1330" i="21" s="1"/>
  <c r="R1329" i="21"/>
  <c r="R1328" i="21"/>
  <c r="S1328" i="21" s="1"/>
  <c r="R1327" i="21"/>
  <c r="S1327" i="21" s="1"/>
  <c r="R1326" i="21"/>
  <c r="S1326" i="21" s="1"/>
  <c r="R1325" i="21"/>
  <c r="S1325" i="21" s="1"/>
  <c r="R1324" i="21"/>
  <c r="R1323" i="21"/>
  <c r="R1322" i="21"/>
  <c r="S1322" i="21" s="1"/>
  <c r="R1321" i="21"/>
  <c r="S1321" i="21" s="1"/>
  <c r="R1320" i="21"/>
  <c r="S1320" i="21" s="1"/>
  <c r="R1319" i="21"/>
  <c r="S1319" i="21" s="1"/>
  <c r="R1318" i="21"/>
  <c r="S1318" i="21" s="1"/>
  <c r="R1317" i="21"/>
  <c r="S1317" i="21" s="1"/>
  <c r="R1316" i="21"/>
  <c r="S1316" i="21" s="1"/>
  <c r="R1315" i="21"/>
  <c r="S1315" i="21" s="1"/>
  <c r="R1314" i="21"/>
  <c r="S1314" i="21" s="1"/>
  <c r="R1313" i="21"/>
  <c r="S1313" i="21" s="1"/>
  <c r="R1312" i="21"/>
  <c r="R1311" i="21"/>
  <c r="R1310" i="21"/>
  <c r="R1309" i="21"/>
  <c r="R1308" i="21"/>
  <c r="R1307" i="21"/>
  <c r="S1307" i="21" s="1"/>
  <c r="R1306" i="21"/>
  <c r="S1306" i="21" s="1"/>
  <c r="R1305" i="21"/>
  <c r="R1304" i="21"/>
  <c r="S1304" i="21" s="1"/>
  <c r="R1303" i="21"/>
  <c r="S1303" i="21" s="1"/>
  <c r="R1302" i="21"/>
  <c r="S1302" i="21" s="1"/>
  <c r="R1301" i="21"/>
  <c r="S1301" i="21" s="1"/>
  <c r="R1300" i="21"/>
  <c r="R1299" i="21"/>
  <c r="S1299" i="21" s="1"/>
  <c r="R1298" i="21"/>
  <c r="S1298" i="21" s="1"/>
  <c r="R1297" i="21"/>
  <c r="R1296" i="21"/>
  <c r="S1296" i="21" s="1"/>
  <c r="R1295" i="21"/>
  <c r="S1295" i="21" s="1"/>
  <c r="R1294" i="21"/>
  <c r="S1294" i="21" s="1"/>
  <c r="R1293" i="21"/>
  <c r="S1293" i="21" s="1"/>
  <c r="R1292" i="21"/>
  <c r="S1292" i="21" s="1"/>
  <c r="R1291" i="21"/>
  <c r="S1291" i="21" s="1"/>
  <c r="R1290" i="21"/>
  <c r="S1290" i="21" s="1"/>
  <c r="R1289" i="21"/>
  <c r="S1289" i="21" s="1"/>
  <c r="R1288" i="21"/>
  <c r="R1287" i="21"/>
  <c r="R1286" i="21"/>
  <c r="R1285" i="21"/>
  <c r="S1285" i="21" s="1"/>
  <c r="R1284" i="21"/>
  <c r="S1284" i="21" s="1"/>
  <c r="R1283" i="21"/>
  <c r="S1283" i="21" s="1"/>
  <c r="R1282" i="21"/>
  <c r="S1282" i="21" s="1"/>
  <c r="R1281" i="21"/>
  <c r="R1280" i="21"/>
  <c r="R1279" i="21"/>
  <c r="S1279" i="21" s="1"/>
  <c r="R1278" i="21"/>
  <c r="S1278" i="21" s="1"/>
  <c r="R1277" i="21"/>
  <c r="S1277" i="21" s="1"/>
  <c r="R1276" i="21"/>
  <c r="R1275" i="21"/>
  <c r="S1275" i="21" s="1"/>
  <c r="R1274" i="21"/>
  <c r="S1274" i="21" s="1"/>
  <c r="R1273" i="21"/>
  <c r="R1272" i="21"/>
  <c r="S1272" i="21" s="1"/>
  <c r="R1271" i="21"/>
  <c r="S1271" i="21" s="1"/>
  <c r="R1270" i="21"/>
  <c r="S1270" i="21" s="1"/>
  <c r="R1269" i="21"/>
  <c r="S1269" i="21" s="1"/>
  <c r="R1268" i="21"/>
  <c r="S1268" i="21" s="1"/>
  <c r="R1267" i="21"/>
  <c r="S1267" i="21" s="1"/>
  <c r="R1266" i="21"/>
  <c r="S1266" i="21" s="1"/>
  <c r="R1265" i="21"/>
  <c r="S1265" i="21" s="1"/>
  <c r="R1264" i="21"/>
  <c r="R1263" i="21"/>
  <c r="R1262" i="21"/>
  <c r="R1261" i="21"/>
  <c r="R1260" i="21"/>
  <c r="R1259" i="21"/>
  <c r="S1259" i="21" s="1"/>
  <c r="R1258" i="21"/>
  <c r="R1257" i="21"/>
  <c r="R1256" i="21"/>
  <c r="S1256" i="21" s="1"/>
  <c r="R1255" i="21"/>
  <c r="S1255" i="21" s="1"/>
  <c r="R1254" i="21"/>
  <c r="S1254" i="21" s="1"/>
  <c r="R1253" i="21"/>
  <c r="S1253" i="21" s="1"/>
  <c r="R1252" i="21"/>
  <c r="S1252" i="21" s="1"/>
  <c r="R1251" i="21"/>
  <c r="S1251" i="21" s="1"/>
  <c r="R1250" i="21"/>
  <c r="R1249" i="21"/>
  <c r="R1248" i="21"/>
  <c r="S1248" i="21" s="1"/>
  <c r="R1247" i="21"/>
  <c r="S1247" i="21" s="1"/>
  <c r="R1246" i="21"/>
  <c r="S1246" i="21" s="1"/>
  <c r="R1245" i="21"/>
  <c r="R1244" i="21"/>
  <c r="S1244" i="21" s="1"/>
  <c r="R1243" i="21"/>
  <c r="S1243" i="21" s="1"/>
  <c r="R1242" i="21"/>
  <c r="S1242" i="21" s="1"/>
  <c r="R1241" i="21"/>
  <c r="S1241" i="21" s="1"/>
  <c r="R1240" i="21"/>
  <c r="R1239" i="21"/>
  <c r="R1238" i="21"/>
  <c r="R1237" i="21"/>
  <c r="S1237" i="21" s="1"/>
  <c r="R1236" i="21"/>
  <c r="S1236" i="21" s="1"/>
  <c r="R1235" i="21"/>
  <c r="S1235" i="21" s="1"/>
  <c r="R1234" i="21"/>
  <c r="R1233" i="21"/>
  <c r="S1233" i="21" s="1"/>
  <c r="R1232" i="21"/>
  <c r="S1232" i="21" s="1"/>
  <c r="R1231" i="21"/>
  <c r="S1231" i="21" s="1"/>
  <c r="R1230" i="21"/>
  <c r="S1230" i="21" s="1"/>
  <c r="R1229" i="21"/>
  <c r="S1229" i="21" s="1"/>
  <c r="R1228" i="21"/>
  <c r="S1228" i="21" s="1"/>
  <c r="R1227" i="21"/>
  <c r="S1227" i="21" s="1"/>
  <c r="R1226" i="21"/>
  <c r="R1225" i="21"/>
  <c r="S1225" i="21" s="1"/>
  <c r="R1224" i="21"/>
  <c r="S1224" i="21" s="1"/>
  <c r="R1223" i="21"/>
  <c r="S1223" i="21" s="1"/>
  <c r="R1222" i="21"/>
  <c r="S1222" i="21" s="1"/>
  <c r="R1221" i="21"/>
  <c r="R1220" i="21"/>
  <c r="R1219" i="21"/>
  <c r="S1219" i="21" s="1"/>
  <c r="R1218" i="21"/>
  <c r="S1218" i="21" s="1"/>
  <c r="R1217" i="21"/>
  <c r="S1217" i="21" s="1"/>
  <c r="R1216" i="21"/>
  <c r="R1215" i="21"/>
  <c r="R1214" i="21"/>
  <c r="R1213" i="21"/>
  <c r="R1212" i="21"/>
  <c r="S1212" i="21" s="1"/>
  <c r="R1211" i="21"/>
  <c r="S1211" i="21" s="1"/>
  <c r="R1210" i="21"/>
  <c r="S1210" i="21" s="1"/>
  <c r="R1209" i="21"/>
  <c r="S1209" i="21" s="1"/>
  <c r="R1208" i="21"/>
  <c r="S1208" i="21" s="1"/>
  <c r="R1207" i="21"/>
  <c r="S1207" i="21" s="1"/>
  <c r="R1206" i="21"/>
  <c r="S1206" i="21" s="1"/>
  <c r="R1205" i="21"/>
  <c r="S1205" i="21" s="1"/>
  <c r="R1204" i="21"/>
  <c r="R1203" i="21"/>
  <c r="R1202" i="21"/>
  <c r="S1202" i="21" s="1"/>
  <c r="R1201" i="21"/>
  <c r="S1201" i="21" s="1"/>
  <c r="R1200" i="21"/>
  <c r="R1199" i="21"/>
  <c r="S1199" i="21" s="1"/>
  <c r="R1198" i="21"/>
  <c r="R1197" i="21"/>
  <c r="R1196" i="21"/>
  <c r="S1196" i="21" s="1"/>
  <c r="R1195" i="21"/>
  <c r="S1195" i="21" s="1"/>
  <c r="R1194" i="21"/>
  <c r="S1194" i="21" s="1"/>
  <c r="R1193" i="21"/>
  <c r="S1193" i="21" s="1"/>
  <c r="R1192" i="21"/>
  <c r="R1191" i="21"/>
  <c r="R1190" i="21"/>
  <c r="R1189" i="21"/>
  <c r="R1188" i="21"/>
  <c r="S1188" i="21" s="1"/>
  <c r="R1187" i="21"/>
  <c r="S1187" i="21" s="1"/>
  <c r="R1186" i="21"/>
  <c r="S1186" i="21" s="1"/>
  <c r="R1185" i="21"/>
  <c r="S1185" i="21" s="1"/>
  <c r="R1184" i="21"/>
  <c r="S1184" i="21" s="1"/>
  <c r="R1183" i="21"/>
  <c r="S1183" i="21" s="1"/>
  <c r="R1182" i="21"/>
  <c r="S1182" i="21" s="1"/>
  <c r="R1181" i="21"/>
  <c r="S1181" i="21" s="1"/>
  <c r="R1180" i="21"/>
  <c r="R1179" i="21"/>
  <c r="S1179" i="21" s="1"/>
  <c r="R1178" i="21"/>
  <c r="S1178" i="21" s="1"/>
  <c r="R1177" i="21"/>
  <c r="R1176" i="21"/>
  <c r="R1175" i="21"/>
  <c r="S1175" i="21" s="1"/>
  <c r="R1174" i="21"/>
  <c r="R1173" i="21"/>
  <c r="S1173" i="21" s="1"/>
  <c r="R1172" i="21"/>
  <c r="S1172" i="21" s="1"/>
  <c r="R1171" i="21"/>
  <c r="S1171" i="21" s="1"/>
  <c r="R1170" i="21"/>
  <c r="S1170" i="21" s="1"/>
  <c r="R1169" i="21"/>
  <c r="S1169" i="21" s="1"/>
  <c r="R1168" i="21"/>
  <c r="R1167" i="21"/>
  <c r="R1166" i="21"/>
  <c r="R1165" i="21"/>
  <c r="S1165" i="21" s="1"/>
  <c r="R1164" i="21"/>
  <c r="S1164" i="21" s="1"/>
  <c r="R1163" i="21"/>
  <c r="R1162" i="21"/>
  <c r="R1161" i="21"/>
  <c r="S1161" i="21" s="1"/>
  <c r="R1160" i="21"/>
  <c r="S1160" i="21" s="1"/>
  <c r="R1159" i="21"/>
  <c r="S1159" i="21" s="1"/>
  <c r="R1158" i="21"/>
  <c r="S1158" i="21" s="1"/>
  <c r="R1157" i="21"/>
  <c r="S1157" i="21" s="1"/>
  <c r="R1156" i="21"/>
  <c r="R1155" i="21"/>
  <c r="R1154" i="21"/>
  <c r="R1153" i="21"/>
  <c r="S1153" i="21" s="1"/>
  <c r="R1152" i="21"/>
  <c r="S1152" i="21" s="1"/>
  <c r="R1151" i="21"/>
  <c r="S1151" i="21" s="1"/>
  <c r="R1150" i="21"/>
  <c r="S1150" i="21" s="1"/>
  <c r="R1149" i="21"/>
  <c r="S1149" i="21" s="1"/>
  <c r="R1148" i="21"/>
  <c r="S1148" i="21" s="1"/>
  <c r="R1147" i="21"/>
  <c r="S1147" i="21" s="1"/>
  <c r="R1146" i="21"/>
  <c r="S1146" i="21" s="1"/>
  <c r="R1145" i="21"/>
  <c r="S1145" i="21" s="1"/>
  <c r="R1144" i="21"/>
  <c r="R1143" i="21"/>
  <c r="R1142" i="21"/>
  <c r="R1141" i="21"/>
  <c r="S1141" i="21" s="1"/>
  <c r="R1140" i="21"/>
  <c r="S1140" i="21" s="1"/>
  <c r="R1139" i="21"/>
  <c r="S1139" i="21" s="1"/>
  <c r="R1138" i="21"/>
  <c r="S1138" i="21" s="1"/>
  <c r="R1137" i="21"/>
  <c r="R1136" i="21"/>
  <c r="S1136" i="21" s="1"/>
  <c r="R1135" i="21"/>
  <c r="S1135" i="21" s="1"/>
  <c r="R1134" i="21"/>
  <c r="S1134" i="21" s="1"/>
  <c r="R1133" i="21"/>
  <c r="S1133" i="21" s="1"/>
  <c r="R1132" i="21"/>
  <c r="S1132" i="21" s="1"/>
  <c r="R1131" i="21"/>
  <c r="R1130" i="21"/>
  <c r="R1129" i="21"/>
  <c r="R1128" i="21"/>
  <c r="S1128" i="21" s="1"/>
  <c r="R1127" i="21"/>
  <c r="S1127" i="21" s="1"/>
  <c r="R1126" i="21"/>
  <c r="S1126" i="21" s="1"/>
  <c r="R1125" i="21"/>
  <c r="S1125" i="21" s="1"/>
  <c r="R1124" i="21"/>
  <c r="S1124" i="21" s="1"/>
  <c r="R1123" i="21"/>
  <c r="S1123" i="21" s="1"/>
  <c r="R1122" i="21"/>
  <c r="S1122" i="21" s="1"/>
  <c r="R1121" i="21"/>
  <c r="S1121" i="21" s="1"/>
  <c r="R1120" i="21"/>
  <c r="R1119" i="21"/>
  <c r="R1118" i="21"/>
  <c r="R1117" i="21"/>
  <c r="R1116" i="21"/>
  <c r="S1116" i="21" s="1"/>
  <c r="R1115" i="21"/>
  <c r="S1115" i="21" s="1"/>
  <c r="R1114" i="21"/>
  <c r="S1114" i="21" s="1"/>
  <c r="R1113" i="21"/>
  <c r="R1112" i="21"/>
  <c r="S1112" i="21" s="1"/>
  <c r="R1111" i="21"/>
  <c r="S1111" i="21" s="1"/>
  <c r="R1110" i="21"/>
  <c r="S1110" i="21" s="1"/>
  <c r="R1109" i="21"/>
  <c r="S1109" i="21" s="1"/>
  <c r="R1108" i="21"/>
  <c r="S1108" i="21" s="1"/>
  <c r="R1107" i="21"/>
  <c r="R1106" i="21"/>
  <c r="R1105" i="21"/>
  <c r="R1104" i="21"/>
  <c r="S1104" i="21" s="1"/>
  <c r="R1103" i="21"/>
  <c r="R1102" i="21"/>
  <c r="S1102" i="21" s="1"/>
  <c r="R1101" i="21"/>
  <c r="S1101" i="21" s="1"/>
  <c r="R1100" i="21"/>
  <c r="S1100" i="21" s="1"/>
  <c r="R1099" i="21"/>
  <c r="S1099" i="21" s="1"/>
  <c r="R1098" i="21"/>
  <c r="S1098" i="21" s="1"/>
  <c r="R1097" i="21"/>
  <c r="S1097" i="21" s="1"/>
  <c r="R1096" i="21"/>
  <c r="R1095" i="21"/>
  <c r="R1094" i="21"/>
  <c r="R1093" i="21"/>
  <c r="R1092" i="21"/>
  <c r="S1092" i="21" s="1"/>
  <c r="R1091" i="21"/>
  <c r="R1090" i="21"/>
  <c r="R1089" i="21"/>
  <c r="R1088" i="21"/>
  <c r="S1088" i="21" s="1"/>
  <c r="R1087" i="21"/>
  <c r="S1087" i="21" s="1"/>
  <c r="R1086" i="21"/>
  <c r="S1086" i="21" s="1"/>
  <c r="R1085" i="21"/>
  <c r="S1085" i="21" s="1"/>
  <c r="R1084" i="21"/>
  <c r="R1083" i="21"/>
  <c r="R1082" i="21"/>
  <c r="R1081" i="21"/>
  <c r="S1081" i="21" s="1"/>
  <c r="R1080" i="21"/>
  <c r="S1080" i="21" s="1"/>
  <c r="R1079" i="21"/>
  <c r="S1079" i="21" s="1"/>
  <c r="R1078" i="21"/>
  <c r="S1078" i="21" s="1"/>
  <c r="R1077" i="21"/>
  <c r="S1077" i="21" s="1"/>
  <c r="R1076" i="21"/>
  <c r="S1076" i="21" s="1"/>
  <c r="R1075" i="21"/>
  <c r="S1075" i="21" s="1"/>
  <c r="R1074" i="21"/>
  <c r="S1074" i="21" s="1"/>
  <c r="R1073" i="21"/>
  <c r="S1073" i="21" s="1"/>
  <c r="R1072" i="21"/>
  <c r="R1071" i="21"/>
  <c r="R1070" i="21"/>
  <c r="R1069" i="21"/>
  <c r="R1068" i="21"/>
  <c r="S1068" i="21" s="1"/>
  <c r="R1067" i="21"/>
  <c r="R1066" i="21"/>
  <c r="R1065" i="21"/>
  <c r="R1064" i="21"/>
  <c r="R1063" i="21"/>
  <c r="S1063" i="21" s="1"/>
  <c r="R1062" i="21"/>
  <c r="S1062" i="21" s="1"/>
  <c r="R1061" i="21"/>
  <c r="S1061" i="21" s="1"/>
  <c r="R1060" i="21"/>
  <c r="R1059" i="21"/>
  <c r="R1058" i="21"/>
  <c r="R1057" i="21"/>
  <c r="R1056" i="21"/>
  <c r="S1056" i="21" s="1"/>
  <c r="R1055" i="21"/>
  <c r="S1055" i="21" s="1"/>
  <c r="R1054" i="21"/>
  <c r="R1053" i="21"/>
  <c r="S1053" i="21" s="1"/>
  <c r="R1052" i="21"/>
  <c r="S1052" i="21" s="1"/>
  <c r="R1051" i="21"/>
  <c r="S1051" i="21" s="1"/>
  <c r="R1050" i="21"/>
  <c r="S1050" i="21" s="1"/>
  <c r="R1049" i="21"/>
  <c r="S1049" i="21" s="1"/>
  <c r="R1048" i="21"/>
  <c r="S1048" i="21" s="1"/>
  <c r="R1047" i="21"/>
  <c r="R1046" i="21"/>
  <c r="R1045" i="21"/>
  <c r="R1044" i="21"/>
  <c r="S1044" i="21" s="1"/>
  <c r="R1043" i="21"/>
  <c r="R1042" i="21"/>
  <c r="S1042" i="21" s="1"/>
  <c r="R1041" i="21"/>
  <c r="R1040" i="21"/>
  <c r="R1039" i="21"/>
  <c r="S1039" i="21" s="1"/>
  <c r="R1038" i="21"/>
  <c r="S1038" i="21" s="1"/>
  <c r="R1037" i="21"/>
  <c r="S1037" i="21" s="1"/>
  <c r="R1036" i="21"/>
  <c r="R1035" i="21"/>
  <c r="R1034" i="21"/>
  <c r="R1033" i="21"/>
  <c r="R1032" i="21"/>
  <c r="S1032" i="21" s="1"/>
  <c r="R1031" i="21"/>
  <c r="S1031" i="21" s="1"/>
  <c r="R1030" i="21"/>
  <c r="S1030" i="21" s="1"/>
  <c r="R1029" i="21"/>
  <c r="S1029" i="21" s="1"/>
  <c r="R1028" i="21"/>
  <c r="S1028" i="21" s="1"/>
  <c r="R1027" i="21"/>
  <c r="S1027" i="21" s="1"/>
  <c r="R1026" i="21"/>
  <c r="S1026" i="21" s="1"/>
  <c r="R1025" i="21"/>
  <c r="S1025" i="21" s="1"/>
  <c r="R1024" i="21"/>
  <c r="R1023" i="21"/>
  <c r="R1022" i="21"/>
  <c r="R1021" i="21"/>
  <c r="S1021" i="21" s="1"/>
  <c r="R1020" i="21"/>
  <c r="S1020" i="21" s="1"/>
  <c r="R1019" i="21"/>
  <c r="R1018" i="21"/>
  <c r="R1017" i="21"/>
  <c r="R1016" i="21"/>
  <c r="S1016" i="21" s="1"/>
  <c r="R1015" i="21"/>
  <c r="S1015" i="21" s="1"/>
  <c r="R1014" i="21"/>
  <c r="S1014" i="21" s="1"/>
  <c r="R1013" i="21"/>
  <c r="S1013" i="21" s="1"/>
  <c r="R1012" i="21"/>
  <c r="R1011" i="21"/>
  <c r="R1010" i="21"/>
  <c r="R1009" i="21"/>
  <c r="S1009" i="21" s="1"/>
  <c r="R1008" i="21"/>
  <c r="S1008" i="21" s="1"/>
  <c r="R1007" i="21"/>
  <c r="S1007" i="21" s="1"/>
  <c r="R1006" i="21"/>
  <c r="R1005" i="21"/>
  <c r="S1005" i="21" s="1"/>
  <c r="R1004" i="21"/>
  <c r="S1004" i="21" s="1"/>
  <c r="R1003" i="21"/>
  <c r="S1003" i="21" s="1"/>
  <c r="R1002" i="21"/>
  <c r="S1002" i="21" s="1"/>
  <c r="R1001" i="21"/>
  <c r="S1001" i="21" s="1"/>
  <c r="R1000" i="21"/>
  <c r="R999" i="21"/>
  <c r="R998" i="21"/>
  <c r="R997" i="21"/>
  <c r="S997" i="21" s="1"/>
  <c r="R996" i="21"/>
  <c r="S996" i="21" s="1"/>
  <c r="R995" i="21"/>
  <c r="S995" i="21" s="1"/>
  <c r="R994" i="21"/>
  <c r="S994" i="21" s="1"/>
  <c r="R993" i="21"/>
  <c r="S993" i="21" s="1"/>
  <c r="R992" i="21"/>
  <c r="S992" i="21" s="1"/>
  <c r="R991" i="21"/>
  <c r="S991" i="21" s="1"/>
  <c r="R990" i="21"/>
  <c r="S990" i="21" s="1"/>
  <c r="R989" i="21"/>
  <c r="S989" i="21" s="1"/>
  <c r="R988" i="21"/>
  <c r="R987" i="21"/>
  <c r="R986" i="21"/>
  <c r="R985" i="21"/>
  <c r="R984" i="21"/>
  <c r="S984" i="21" s="1"/>
  <c r="R983" i="21"/>
  <c r="S983" i="21" s="1"/>
  <c r="R982" i="21"/>
  <c r="S982" i="21" s="1"/>
  <c r="R981" i="21"/>
  <c r="R980" i="21"/>
  <c r="S980" i="21" s="1"/>
  <c r="R979" i="21"/>
  <c r="S979" i="21" s="1"/>
  <c r="R978" i="21"/>
  <c r="S978" i="21" s="1"/>
  <c r="R977" i="21"/>
  <c r="S977" i="21" s="1"/>
  <c r="R976" i="21"/>
  <c r="R975" i="21"/>
  <c r="R974" i="21"/>
  <c r="R973" i="21"/>
  <c r="R972" i="21"/>
  <c r="R971" i="21"/>
  <c r="S971" i="21" s="1"/>
  <c r="R970" i="21"/>
  <c r="S970" i="21" s="1"/>
  <c r="R969" i="21"/>
  <c r="S969" i="21" s="1"/>
  <c r="R968" i="21"/>
  <c r="S968" i="21" s="1"/>
  <c r="R967" i="21"/>
  <c r="S967" i="21" s="1"/>
  <c r="R966" i="21"/>
  <c r="S966" i="21" s="1"/>
  <c r="R965" i="21"/>
  <c r="S965" i="21" s="1"/>
  <c r="R964" i="21"/>
  <c r="R963" i="21"/>
  <c r="R962" i="21"/>
  <c r="S962" i="21" s="1"/>
  <c r="R961" i="21"/>
  <c r="S961" i="21" s="1"/>
  <c r="R960" i="21"/>
  <c r="S960" i="21" s="1"/>
  <c r="R959" i="21"/>
  <c r="S959" i="21" s="1"/>
  <c r="R958" i="21"/>
  <c r="S958" i="21" s="1"/>
  <c r="R957" i="21"/>
  <c r="R956" i="21"/>
  <c r="S956" i="21" s="1"/>
  <c r="R955" i="21"/>
  <c r="S955" i="21" s="1"/>
  <c r="R954" i="21"/>
  <c r="S954" i="21" s="1"/>
  <c r="R953" i="21"/>
  <c r="S953" i="21" s="1"/>
  <c r="R952" i="21"/>
  <c r="R951" i="21"/>
  <c r="R950" i="21"/>
  <c r="R949" i="21"/>
  <c r="R948" i="21"/>
  <c r="S948" i="21" s="1"/>
  <c r="R947" i="21"/>
  <c r="R946" i="21"/>
  <c r="R945" i="21"/>
  <c r="S945" i="21" s="1"/>
  <c r="R944" i="21"/>
  <c r="S944" i="21" s="1"/>
  <c r="R943" i="21"/>
  <c r="S943" i="21" s="1"/>
  <c r="R942" i="21"/>
  <c r="S942" i="21" s="1"/>
  <c r="R941" i="21"/>
  <c r="S941" i="21" s="1"/>
  <c r="R940" i="21"/>
  <c r="R939" i="21"/>
  <c r="S939" i="21" s="1"/>
  <c r="R938" i="21"/>
  <c r="S938" i="21" s="1"/>
  <c r="R937" i="21"/>
  <c r="S937" i="21" s="1"/>
  <c r="R936" i="21"/>
  <c r="R935" i="21"/>
  <c r="R934" i="21"/>
  <c r="R933" i="21"/>
  <c r="R932" i="21"/>
  <c r="S932" i="21" s="1"/>
  <c r="R931" i="21"/>
  <c r="S931" i="21" s="1"/>
  <c r="R930" i="21"/>
  <c r="S930" i="21" s="1"/>
  <c r="R929" i="21"/>
  <c r="S929" i="21" s="1"/>
  <c r="R928" i="21"/>
  <c r="R927" i="21"/>
  <c r="R926" i="21"/>
  <c r="R925" i="21"/>
  <c r="R924" i="21"/>
  <c r="S924" i="21" s="1"/>
  <c r="R923" i="21"/>
  <c r="S923" i="21" s="1"/>
  <c r="R922" i="21"/>
  <c r="S922" i="21" s="1"/>
  <c r="R921" i="21"/>
  <c r="S921" i="21" s="1"/>
  <c r="R920" i="21"/>
  <c r="S920" i="21" s="1"/>
  <c r="R919" i="21"/>
  <c r="S919" i="21" s="1"/>
  <c r="R918" i="21"/>
  <c r="S918" i="21" s="1"/>
  <c r="R917" i="21"/>
  <c r="S917" i="21" s="1"/>
  <c r="R916" i="21"/>
  <c r="S916" i="21" s="1"/>
  <c r="R915" i="21"/>
  <c r="S915" i="21" s="1"/>
  <c r="R914" i="21"/>
  <c r="R913" i="21"/>
  <c r="R912" i="21"/>
  <c r="R911" i="21"/>
  <c r="S911" i="21" s="1"/>
  <c r="R910" i="21"/>
  <c r="R909" i="21"/>
  <c r="R908" i="21"/>
  <c r="R907" i="21"/>
  <c r="S907" i="21" s="1"/>
  <c r="R906" i="21"/>
  <c r="S906" i="21" s="1"/>
  <c r="R905" i="21"/>
  <c r="S905" i="21" s="1"/>
  <c r="R904" i="21"/>
  <c r="R903" i="21"/>
  <c r="R902" i="21"/>
  <c r="R901" i="21"/>
  <c r="R900" i="21"/>
  <c r="S900" i="21" s="1"/>
  <c r="R899" i="21"/>
  <c r="R898" i="21"/>
  <c r="S898" i="21" s="1"/>
  <c r="R897" i="21"/>
  <c r="S897" i="21" s="1"/>
  <c r="R896" i="21"/>
  <c r="S896" i="21" s="1"/>
  <c r="R895" i="21"/>
  <c r="S895" i="21" s="1"/>
  <c r="R894" i="21"/>
  <c r="R893" i="21"/>
  <c r="S893" i="21" s="1"/>
  <c r="R892" i="21"/>
  <c r="R891" i="21"/>
  <c r="R890" i="21"/>
  <c r="R889" i="21"/>
  <c r="R888" i="21"/>
  <c r="S888" i="21" s="1"/>
  <c r="R887" i="21"/>
  <c r="R886" i="21"/>
  <c r="S886" i="21" s="1"/>
  <c r="R885" i="21"/>
  <c r="S885" i="21" s="1"/>
  <c r="R884" i="21"/>
  <c r="S884" i="21" s="1"/>
  <c r="R883" i="21"/>
  <c r="S883" i="21" s="1"/>
  <c r="R882" i="21"/>
  <c r="S882" i="21" s="1"/>
  <c r="R881" i="21"/>
  <c r="S881" i="21" s="1"/>
  <c r="R880" i="21"/>
  <c r="S880" i="21" s="1"/>
  <c r="R879" i="21"/>
  <c r="R878" i="21"/>
  <c r="R877" i="21"/>
  <c r="S877" i="21" s="1"/>
  <c r="R876" i="21"/>
  <c r="S876" i="21" s="1"/>
  <c r="R875" i="21"/>
  <c r="S875" i="21" s="1"/>
  <c r="R874" i="21"/>
  <c r="S874" i="21" s="1"/>
  <c r="R873" i="21"/>
  <c r="S873" i="21" s="1"/>
  <c r="R872" i="21"/>
  <c r="S872" i="21" s="1"/>
  <c r="R871" i="21"/>
  <c r="S871" i="21" s="1"/>
  <c r="R870" i="21"/>
  <c r="S870" i="21" s="1"/>
  <c r="R869" i="21"/>
  <c r="S869" i="21" s="1"/>
  <c r="R868" i="21"/>
  <c r="R867" i="21"/>
  <c r="R866" i="21"/>
  <c r="R865" i="21"/>
  <c r="S865" i="21" s="1"/>
  <c r="R864" i="21"/>
  <c r="S864" i="21" s="1"/>
  <c r="R863" i="21"/>
  <c r="S863" i="21" s="1"/>
  <c r="R862" i="21"/>
  <c r="R861" i="21"/>
  <c r="R860" i="21"/>
  <c r="R859" i="21"/>
  <c r="S859" i="21" s="1"/>
  <c r="R858" i="21"/>
  <c r="S858" i="21" s="1"/>
  <c r="R857" i="21"/>
  <c r="S857" i="21" s="1"/>
  <c r="R856" i="21"/>
  <c r="R855" i="21"/>
  <c r="S855" i="21" s="1"/>
  <c r="R854" i="21"/>
  <c r="S854" i="21" s="1"/>
  <c r="R853" i="21"/>
  <c r="S853" i="21" s="1"/>
  <c r="R852" i="21"/>
  <c r="S852" i="21" s="1"/>
  <c r="R851" i="21"/>
  <c r="S851" i="21" s="1"/>
  <c r="R850" i="21"/>
  <c r="S850" i="21" s="1"/>
  <c r="R849" i="21"/>
  <c r="S849" i="21" s="1"/>
  <c r="R848" i="21"/>
  <c r="S848" i="21" s="1"/>
  <c r="R847" i="21"/>
  <c r="S847" i="21" s="1"/>
  <c r="R846" i="21"/>
  <c r="S846" i="21" s="1"/>
  <c r="R845" i="21"/>
  <c r="S845" i="21" s="1"/>
  <c r="R844" i="21"/>
  <c r="R843" i="21"/>
  <c r="R842" i="21"/>
  <c r="R841" i="21"/>
  <c r="R840" i="21"/>
  <c r="S840" i="21" s="1"/>
  <c r="R839" i="21"/>
  <c r="S839" i="21" s="1"/>
  <c r="R838" i="21"/>
  <c r="S838" i="21" s="1"/>
  <c r="R837" i="21"/>
  <c r="R836" i="21"/>
  <c r="R835" i="21"/>
  <c r="S835" i="21" s="1"/>
  <c r="R834" i="21"/>
  <c r="S834" i="21" s="1"/>
  <c r="R833" i="21"/>
  <c r="S833" i="21" s="1"/>
  <c r="R832" i="21"/>
  <c r="R831" i="21"/>
  <c r="R830" i="21"/>
  <c r="S830" i="21" s="1"/>
  <c r="R829" i="21"/>
  <c r="S829" i="21" s="1"/>
  <c r="R828" i="21"/>
  <c r="R827" i="21"/>
  <c r="S827" i="21" s="1"/>
  <c r="R826" i="21"/>
  <c r="S826" i="21" s="1"/>
  <c r="R825" i="21"/>
  <c r="S825" i="21" s="1"/>
  <c r="R824" i="21"/>
  <c r="S824" i="21" s="1"/>
  <c r="R823" i="21"/>
  <c r="S823" i="21" s="1"/>
  <c r="R822" i="21"/>
  <c r="S822" i="21" s="1"/>
  <c r="R821" i="21"/>
  <c r="S821" i="21" s="1"/>
  <c r="R820" i="21"/>
  <c r="R819" i="21"/>
  <c r="R818" i="21"/>
  <c r="R817" i="21"/>
  <c r="R816" i="21"/>
  <c r="R815" i="21"/>
  <c r="R814" i="21"/>
  <c r="S814" i="21" s="1"/>
  <c r="R813" i="21"/>
  <c r="R812" i="21"/>
  <c r="S812" i="21" s="1"/>
  <c r="R811" i="21"/>
  <c r="S811" i="21" s="1"/>
  <c r="R810" i="21"/>
  <c r="S810" i="21" s="1"/>
  <c r="R809" i="21"/>
  <c r="S809" i="21" s="1"/>
  <c r="R808" i="21"/>
  <c r="R807" i="21"/>
  <c r="R806" i="21"/>
  <c r="R805" i="21"/>
  <c r="R804" i="21"/>
  <c r="S804" i="21" s="1"/>
  <c r="R803" i="21"/>
  <c r="S803" i="21" s="1"/>
  <c r="R802" i="21"/>
  <c r="S802" i="21" s="1"/>
  <c r="R801" i="21"/>
  <c r="S801" i="21" s="1"/>
  <c r="R800" i="21"/>
  <c r="S800" i="21" s="1"/>
  <c r="R799" i="21"/>
  <c r="S799" i="21" s="1"/>
  <c r="R798" i="21"/>
  <c r="S798" i="21" s="1"/>
  <c r="R797" i="21"/>
  <c r="S797" i="21" s="1"/>
  <c r="R796" i="21"/>
  <c r="R795" i="21"/>
  <c r="R794" i="21"/>
  <c r="R793" i="21"/>
  <c r="S793" i="21" s="1"/>
  <c r="R792" i="21"/>
  <c r="R791" i="21"/>
  <c r="R790" i="21"/>
  <c r="S790" i="21" s="1"/>
  <c r="R789" i="21"/>
  <c r="R788" i="21"/>
  <c r="S788" i="21" s="1"/>
  <c r="R787" i="21"/>
  <c r="S787" i="21" s="1"/>
  <c r="R786" i="21"/>
  <c r="S786" i="21" s="1"/>
  <c r="R785" i="21"/>
  <c r="S785" i="21" s="1"/>
  <c r="R784" i="21"/>
  <c r="R783" i="21"/>
  <c r="R782" i="21"/>
  <c r="R781" i="21"/>
  <c r="R780" i="21"/>
  <c r="S780" i="21" s="1"/>
  <c r="R779" i="21"/>
  <c r="R778" i="21"/>
  <c r="S778" i="21" s="1"/>
  <c r="R777" i="21"/>
  <c r="S777" i="21" s="1"/>
  <c r="R776" i="21"/>
  <c r="S776" i="21" s="1"/>
  <c r="R775" i="21"/>
  <c r="S775" i="21" s="1"/>
  <c r="R774" i="21"/>
  <c r="S774" i="21" s="1"/>
  <c r="R773" i="21"/>
  <c r="S773" i="21" s="1"/>
  <c r="R772" i="21"/>
  <c r="R771" i="21"/>
  <c r="R770" i="21"/>
  <c r="R769" i="21"/>
  <c r="S769" i="21" s="1"/>
  <c r="R768" i="21"/>
  <c r="R767" i="21"/>
  <c r="S767" i="21" s="1"/>
  <c r="R766" i="21"/>
  <c r="S766" i="21" s="1"/>
  <c r="R765" i="21"/>
  <c r="R764" i="21"/>
  <c r="R763" i="21"/>
  <c r="S763" i="21" s="1"/>
  <c r="R762" i="21"/>
  <c r="S762" i="21" s="1"/>
  <c r="R761" i="21"/>
  <c r="S761" i="21" s="1"/>
  <c r="R760" i="21"/>
  <c r="R759" i="21"/>
  <c r="R758" i="21"/>
  <c r="R757" i="21"/>
  <c r="R756" i="21"/>
  <c r="S756" i="21" s="1"/>
  <c r="R755" i="21"/>
  <c r="R754" i="21"/>
  <c r="S754" i="21" s="1"/>
  <c r="R753" i="21"/>
  <c r="S753" i="21" s="1"/>
  <c r="R752" i="21"/>
  <c r="S752" i="21" s="1"/>
  <c r="R751" i="21"/>
  <c r="S751" i="21" s="1"/>
  <c r="R750" i="21"/>
  <c r="S750" i="21" s="1"/>
  <c r="R749" i="21"/>
  <c r="S749" i="21" s="1"/>
  <c r="R748" i="21"/>
  <c r="S748" i="21" s="1"/>
  <c r="R747" i="21"/>
  <c r="R746" i="21"/>
  <c r="R745" i="21"/>
  <c r="R744" i="21"/>
  <c r="R743" i="21"/>
  <c r="R742" i="21"/>
  <c r="R741" i="21"/>
  <c r="S741" i="21" s="1"/>
  <c r="R740" i="21"/>
  <c r="S740" i="21" s="1"/>
  <c r="R739" i="21"/>
  <c r="S739" i="21" s="1"/>
  <c r="R738" i="21"/>
  <c r="S738" i="21" s="1"/>
  <c r="R737" i="21"/>
  <c r="S737" i="21" s="1"/>
  <c r="R736" i="21"/>
  <c r="R735" i="21"/>
  <c r="R734" i="21"/>
  <c r="S734" i="21" s="1"/>
  <c r="R733" i="21"/>
  <c r="S733" i="21" s="1"/>
  <c r="R732" i="21"/>
  <c r="S732" i="21" s="1"/>
  <c r="R731" i="21"/>
  <c r="R730" i="21"/>
  <c r="S730" i="21" s="1"/>
  <c r="R729" i="21"/>
  <c r="R728" i="21"/>
  <c r="S728" i="21" s="1"/>
  <c r="R727" i="21"/>
  <c r="S727" i="21" s="1"/>
  <c r="R726" i="21"/>
  <c r="S726" i="21" s="1"/>
  <c r="R725" i="21"/>
  <c r="S725" i="21" s="1"/>
  <c r="R724" i="21"/>
  <c r="R723" i="21"/>
  <c r="R722" i="21"/>
  <c r="R721" i="21"/>
  <c r="S721" i="21" s="1"/>
  <c r="R720" i="21"/>
  <c r="S720" i="21" s="1"/>
  <c r="R719" i="21"/>
  <c r="S719" i="21" s="1"/>
  <c r="R718" i="21"/>
  <c r="S718" i="21" s="1"/>
  <c r="R717" i="21"/>
  <c r="R716" i="21"/>
  <c r="S716" i="21" s="1"/>
  <c r="R715" i="21"/>
  <c r="S715" i="21" s="1"/>
  <c r="R714" i="21"/>
  <c r="S714" i="21" s="1"/>
  <c r="R713" i="21"/>
  <c r="S713" i="21" s="1"/>
  <c r="R712" i="21"/>
  <c r="R711" i="21"/>
  <c r="R710" i="21"/>
  <c r="R709" i="21"/>
  <c r="S709" i="21" s="1"/>
  <c r="R708" i="21"/>
  <c r="S708" i="21" s="1"/>
  <c r="R707" i="21"/>
  <c r="S707" i="21" s="1"/>
  <c r="R706" i="21"/>
  <c r="S706" i="21" s="1"/>
  <c r="R705" i="21"/>
  <c r="S705" i="21" s="1"/>
  <c r="R704" i="21"/>
  <c r="S704" i="21" s="1"/>
  <c r="R703" i="21"/>
  <c r="S703" i="21" s="1"/>
  <c r="R702" i="21"/>
  <c r="S702" i="21" s="1"/>
  <c r="R701" i="21"/>
  <c r="S701" i="21" s="1"/>
  <c r="R700" i="21"/>
  <c r="R699" i="21"/>
  <c r="R698" i="21"/>
  <c r="R697" i="21"/>
  <c r="R696" i="21"/>
  <c r="S696" i="21" s="1"/>
  <c r="R695" i="21"/>
  <c r="S695" i="21" s="1"/>
  <c r="R694" i="21"/>
  <c r="S694" i="21" s="1"/>
  <c r="R693" i="21"/>
  <c r="R692" i="21"/>
  <c r="R691" i="21"/>
  <c r="S691" i="21" s="1"/>
  <c r="R690" i="21"/>
  <c r="S690" i="21" s="1"/>
  <c r="R689" i="21"/>
  <c r="S689" i="21" s="1"/>
  <c r="R688" i="21"/>
  <c r="R687" i="21"/>
  <c r="R686" i="21"/>
  <c r="R685" i="21"/>
  <c r="R684" i="21"/>
  <c r="S684" i="21" s="1"/>
  <c r="R683" i="21"/>
  <c r="S683" i="21" s="1"/>
  <c r="R682" i="21"/>
  <c r="S682" i="21" s="1"/>
  <c r="R681" i="21"/>
  <c r="S681" i="21" s="1"/>
  <c r="R680" i="21"/>
  <c r="S680" i="21" s="1"/>
  <c r="R679" i="21"/>
  <c r="S679" i="21" s="1"/>
  <c r="R678" i="21"/>
  <c r="S678" i="21" s="1"/>
  <c r="R677" i="21"/>
  <c r="S677" i="21" s="1"/>
  <c r="R676" i="21"/>
  <c r="R675" i="21"/>
  <c r="R674" i="21"/>
  <c r="R673" i="21"/>
  <c r="R672" i="21"/>
  <c r="R671" i="21"/>
  <c r="R670" i="21"/>
  <c r="S670" i="21" s="1"/>
  <c r="R669" i="21"/>
  <c r="S669" i="21" s="1"/>
  <c r="R668" i="21"/>
  <c r="S668" i="21" s="1"/>
  <c r="R667" i="21"/>
  <c r="S667" i="21" s="1"/>
  <c r="R666" i="21"/>
  <c r="S666" i="21" s="1"/>
  <c r="R665" i="21"/>
  <c r="S665" i="21" s="1"/>
  <c r="R664" i="21"/>
  <c r="S664" i="21" s="1"/>
  <c r="R663" i="21"/>
  <c r="R662" i="21"/>
  <c r="R661" i="21"/>
  <c r="R660" i="21"/>
  <c r="S660" i="21" s="1"/>
  <c r="R659" i="21"/>
  <c r="R658" i="21"/>
  <c r="R657" i="21"/>
  <c r="R656" i="21"/>
  <c r="S656" i="21" s="1"/>
  <c r="R655" i="21"/>
  <c r="S655" i="21" s="1"/>
  <c r="R654" i="21"/>
  <c r="S654" i="21" s="1"/>
  <c r="R653" i="21"/>
  <c r="S653" i="21" s="1"/>
  <c r="R652" i="21"/>
  <c r="R651" i="21"/>
  <c r="R650" i="21"/>
  <c r="R649" i="21"/>
  <c r="S649" i="21" s="1"/>
  <c r="R648" i="21"/>
  <c r="S648" i="21" s="1"/>
  <c r="R647" i="21"/>
  <c r="S647" i="21" s="1"/>
  <c r="R646" i="21"/>
  <c r="S646" i="21" s="1"/>
  <c r="R645" i="21"/>
  <c r="S645" i="21" s="1"/>
  <c r="R644" i="21"/>
  <c r="S644" i="21" s="1"/>
  <c r="R643" i="21"/>
  <c r="S643" i="21" s="1"/>
  <c r="R642" i="21"/>
  <c r="S642" i="21" s="1"/>
  <c r="R641" i="21"/>
  <c r="S641" i="21" s="1"/>
  <c r="R640" i="21"/>
  <c r="S640" i="21" s="1"/>
  <c r="R639" i="21"/>
  <c r="R638" i="21"/>
  <c r="R637" i="21"/>
  <c r="R636" i="21"/>
  <c r="S636" i="21" s="1"/>
  <c r="R635" i="21"/>
  <c r="R634" i="21"/>
  <c r="R633" i="21"/>
  <c r="R632" i="21"/>
  <c r="R631" i="21"/>
  <c r="S631" i="21" s="1"/>
  <c r="R630" i="21"/>
  <c r="S630" i="21" s="1"/>
  <c r="R629" i="21"/>
  <c r="S629" i="21" s="1"/>
  <c r="R628" i="21"/>
  <c r="R627" i="21"/>
  <c r="R626" i="21"/>
  <c r="R625" i="21"/>
  <c r="R624" i="21"/>
  <c r="S624" i="21" s="1"/>
  <c r="R623" i="21"/>
  <c r="S623" i="21" s="1"/>
  <c r="R622" i="21"/>
  <c r="S622" i="21" s="1"/>
  <c r="R621" i="21"/>
  <c r="S621" i="21" s="1"/>
  <c r="R620" i="21"/>
  <c r="S620" i="21" s="1"/>
  <c r="R619" i="21"/>
  <c r="S619" i="21" s="1"/>
  <c r="R618" i="21"/>
  <c r="S618" i="21" s="1"/>
  <c r="R617" i="21"/>
  <c r="S617" i="21" s="1"/>
  <c r="R616" i="21"/>
  <c r="R615" i="21"/>
  <c r="R614" i="21"/>
  <c r="R613" i="21"/>
  <c r="R612" i="21"/>
  <c r="S612" i="21" s="1"/>
  <c r="R611" i="21"/>
  <c r="S611" i="21" s="1"/>
  <c r="R610" i="21"/>
  <c r="S610" i="21" s="1"/>
  <c r="R609" i="21"/>
  <c r="R608" i="21"/>
  <c r="R607" i="21"/>
  <c r="S607" i="21" s="1"/>
  <c r="R606" i="21"/>
  <c r="S606" i="21" s="1"/>
  <c r="R605" i="21"/>
  <c r="S605" i="21" s="1"/>
  <c r="R604" i="21"/>
  <c r="R603" i="21"/>
  <c r="R602" i="21"/>
  <c r="R601" i="21"/>
  <c r="S601" i="21" s="1"/>
  <c r="R600" i="21"/>
  <c r="S600" i="21" s="1"/>
  <c r="R599" i="21"/>
  <c r="S599" i="21" s="1"/>
  <c r="R598" i="21"/>
  <c r="S598" i="21" s="1"/>
  <c r="R597" i="21"/>
  <c r="S597" i="21" s="1"/>
  <c r="R596" i="21"/>
  <c r="S596" i="21" s="1"/>
  <c r="R595" i="21"/>
  <c r="S595" i="21" s="1"/>
  <c r="R594" i="21"/>
  <c r="S594" i="21" s="1"/>
  <c r="R593" i="21"/>
  <c r="S593" i="21" s="1"/>
  <c r="R592" i="21"/>
  <c r="R591" i="21"/>
  <c r="R590" i="21"/>
  <c r="R589" i="21"/>
  <c r="S589" i="21" s="1"/>
  <c r="R588" i="21"/>
  <c r="S588" i="21" s="1"/>
  <c r="R587" i="21"/>
  <c r="R586" i="21"/>
  <c r="R585" i="21"/>
  <c r="R584" i="21"/>
  <c r="S584" i="21" s="1"/>
  <c r="R583" i="21"/>
  <c r="S583" i="21" s="1"/>
  <c r="R582" i="21"/>
  <c r="S582" i="21" s="1"/>
  <c r="R581" i="21"/>
  <c r="S581" i="21" s="1"/>
  <c r="R580" i="21"/>
  <c r="R579" i="21"/>
  <c r="S579" i="21" s="1"/>
  <c r="R578" i="21"/>
  <c r="R577" i="21"/>
  <c r="S577" i="21" s="1"/>
  <c r="R576" i="21"/>
  <c r="S576" i="21" s="1"/>
  <c r="R575" i="21"/>
  <c r="R574" i="21"/>
  <c r="R573" i="21"/>
  <c r="S573" i="21" s="1"/>
  <c r="R572" i="21"/>
  <c r="S572" i="21" s="1"/>
  <c r="R571" i="21"/>
  <c r="S571" i="21" s="1"/>
  <c r="R570" i="21"/>
  <c r="S570" i="21" s="1"/>
  <c r="R569" i="21"/>
  <c r="S569" i="21" s="1"/>
  <c r="R568" i="21"/>
  <c r="R567" i="21"/>
  <c r="R566" i="21"/>
  <c r="R565" i="21"/>
  <c r="S565" i="21" s="1"/>
  <c r="R564" i="21"/>
  <c r="S564" i="21" s="1"/>
  <c r="R563" i="21"/>
  <c r="S563" i="21" s="1"/>
  <c r="R562" i="21"/>
  <c r="S562" i="21" s="1"/>
  <c r="R561" i="21"/>
  <c r="R560" i="21"/>
  <c r="R559" i="21"/>
  <c r="S559" i="21" s="1"/>
  <c r="R558" i="21"/>
  <c r="S558" i="21" s="1"/>
  <c r="R557" i="21"/>
  <c r="S557" i="21" s="1"/>
  <c r="R556" i="21"/>
  <c r="S556" i="21" s="1"/>
  <c r="R555" i="21"/>
  <c r="R554" i="21"/>
  <c r="R553" i="21"/>
  <c r="R552" i="21"/>
  <c r="S552" i="21" s="1"/>
  <c r="R551" i="21"/>
  <c r="S551" i="21" s="1"/>
  <c r="R550" i="21"/>
  <c r="S550" i="21" s="1"/>
  <c r="R549" i="21"/>
  <c r="S549" i="21" s="1"/>
  <c r="R548" i="21"/>
  <c r="S548" i="21" s="1"/>
  <c r="R547" i="21"/>
  <c r="S547" i="21" s="1"/>
  <c r="R546" i="21"/>
  <c r="S546" i="21" s="1"/>
  <c r="R545" i="21"/>
  <c r="S545" i="21" s="1"/>
  <c r="R544" i="21"/>
  <c r="R543" i="21"/>
  <c r="R542" i="21"/>
  <c r="R541" i="21"/>
  <c r="R540" i="21"/>
  <c r="R539" i="21"/>
  <c r="S539" i="21" s="1"/>
  <c r="R538" i="21"/>
  <c r="S538" i="21" s="1"/>
  <c r="R537" i="21"/>
  <c r="R536" i="21"/>
  <c r="S536" i="21" s="1"/>
  <c r="R535" i="21"/>
  <c r="R534" i="21"/>
  <c r="R533" i="21"/>
  <c r="S533" i="21" s="1"/>
  <c r="R532" i="21"/>
  <c r="R531" i="21"/>
  <c r="R530" i="21"/>
  <c r="R529" i="21"/>
  <c r="R528" i="21"/>
  <c r="S528" i="21" s="1"/>
  <c r="R527" i="21"/>
  <c r="R526" i="21"/>
  <c r="S526" i="21" s="1"/>
  <c r="R525" i="21"/>
  <c r="S525" i="21" s="1"/>
  <c r="R524" i="21"/>
  <c r="S524" i="21" s="1"/>
  <c r="R523" i="21"/>
  <c r="S523" i="21" s="1"/>
  <c r="R522" i="21"/>
  <c r="S522" i="21" s="1"/>
  <c r="R521" i="21"/>
  <c r="S521" i="21" s="1"/>
  <c r="R520" i="21"/>
  <c r="R519" i="21"/>
  <c r="R518" i="21"/>
  <c r="R517" i="21"/>
  <c r="S517" i="21" s="1"/>
  <c r="R516" i="21"/>
  <c r="S516" i="21" s="1"/>
  <c r="R515" i="21"/>
  <c r="S515" i="21" s="1"/>
  <c r="R514" i="21"/>
  <c r="S514" i="21" s="1"/>
  <c r="R513" i="21"/>
  <c r="R512" i="21"/>
  <c r="S512" i="21" s="1"/>
  <c r="R511" i="21"/>
  <c r="S511" i="21" s="1"/>
  <c r="R510" i="21"/>
  <c r="S510" i="21" s="1"/>
  <c r="R509" i="21"/>
  <c r="S509" i="21" s="1"/>
  <c r="R508" i="21"/>
  <c r="R507" i="21"/>
  <c r="R506" i="21"/>
  <c r="R505" i="21"/>
  <c r="S505" i="21" s="1"/>
  <c r="R504" i="21"/>
  <c r="S504" i="21" s="1"/>
  <c r="R503" i="21"/>
  <c r="R502" i="21"/>
  <c r="R501" i="21"/>
  <c r="S501" i="21" s="1"/>
  <c r="R500" i="21"/>
  <c r="S500" i="21" s="1"/>
  <c r="R499" i="21"/>
  <c r="S499" i="21" s="1"/>
  <c r="R498" i="21"/>
  <c r="S498" i="21" s="1"/>
  <c r="R497" i="21"/>
  <c r="S497" i="21" s="1"/>
  <c r="R496" i="21"/>
  <c r="R495" i="21"/>
  <c r="R494" i="21"/>
  <c r="R493" i="21"/>
  <c r="S493" i="21" s="1"/>
  <c r="R492" i="21"/>
  <c r="S492" i="21" s="1"/>
  <c r="R491" i="21"/>
  <c r="R490" i="21"/>
  <c r="S490" i="21" s="1"/>
  <c r="R489" i="21"/>
  <c r="R488" i="21"/>
  <c r="R487" i="21"/>
  <c r="S487" i="21" s="1"/>
  <c r="R486" i="21"/>
  <c r="S486" i="21" s="1"/>
  <c r="R485" i="21"/>
  <c r="S485" i="21" s="1"/>
  <c r="R484" i="21"/>
  <c r="R483" i="21"/>
  <c r="R482" i="21"/>
  <c r="R481" i="21"/>
  <c r="R480" i="21"/>
  <c r="S480" i="21" s="1"/>
  <c r="R479" i="21"/>
  <c r="S479" i="21" s="1"/>
  <c r="R478" i="21"/>
  <c r="S478" i="21" s="1"/>
  <c r="R477" i="21"/>
  <c r="S477" i="21" s="1"/>
  <c r="R476" i="21"/>
  <c r="S476" i="21" s="1"/>
  <c r="R475" i="21"/>
  <c r="S475" i="21" s="1"/>
  <c r="R474" i="21"/>
  <c r="S474" i="21" s="1"/>
  <c r="R473" i="21"/>
  <c r="S473" i="21" s="1"/>
  <c r="R472" i="21"/>
  <c r="R471" i="21"/>
  <c r="R470" i="21"/>
  <c r="S470" i="21" s="1"/>
  <c r="R469" i="21"/>
  <c r="R468" i="21"/>
  <c r="R467" i="21"/>
  <c r="R466" i="21"/>
  <c r="S466" i="21" s="1"/>
  <c r="R465" i="21"/>
  <c r="R464" i="21"/>
  <c r="R463" i="21"/>
  <c r="S463" i="21" s="1"/>
  <c r="R462" i="21"/>
  <c r="S462" i="21" s="1"/>
  <c r="R461" i="21"/>
  <c r="S461" i="21" s="1"/>
  <c r="R460" i="21"/>
  <c r="R459" i="21"/>
  <c r="R458" i="21"/>
  <c r="R457" i="21"/>
  <c r="R456" i="21"/>
  <c r="S456" i="21" s="1"/>
  <c r="R455" i="21"/>
  <c r="R454" i="21"/>
  <c r="S454" i="21" s="1"/>
  <c r="R453" i="21"/>
  <c r="S453" i="21" s="1"/>
  <c r="R452" i="21"/>
  <c r="S452" i="21" s="1"/>
  <c r="R451" i="21"/>
  <c r="S451" i="21" s="1"/>
  <c r="R450" i="21"/>
  <c r="S450" i="21" s="1"/>
  <c r="R449" i="21"/>
  <c r="S449" i="21" s="1"/>
  <c r="R448" i="21"/>
  <c r="R447" i="21"/>
  <c r="R446" i="21"/>
  <c r="R445" i="21"/>
  <c r="S445" i="21" s="1"/>
  <c r="R444" i="21"/>
  <c r="S444" i="21" s="1"/>
  <c r="R443" i="21"/>
  <c r="R442" i="21"/>
  <c r="R441" i="21"/>
  <c r="S441" i="21" s="1"/>
  <c r="R440" i="21"/>
  <c r="S440" i="21" s="1"/>
  <c r="R439" i="21"/>
  <c r="S439" i="21" s="1"/>
  <c r="R438" i="21"/>
  <c r="S438" i="21" s="1"/>
  <c r="R437" i="21"/>
  <c r="S437" i="21" s="1"/>
  <c r="R436" i="21"/>
  <c r="R435" i="21"/>
  <c r="S435" i="21" s="1"/>
  <c r="R434" i="21"/>
  <c r="R433" i="21"/>
  <c r="S433" i="21" s="1"/>
  <c r="R432" i="21"/>
  <c r="S432" i="21" s="1"/>
  <c r="R431" i="21"/>
  <c r="S431" i="21" s="1"/>
  <c r="R430" i="21"/>
  <c r="S430" i="21" s="1"/>
  <c r="R429" i="21"/>
  <c r="S429" i="21" s="1"/>
  <c r="R428" i="21"/>
  <c r="S428" i="21" s="1"/>
  <c r="R427" i="21"/>
  <c r="S427" i="21" s="1"/>
  <c r="R426" i="21"/>
  <c r="S426" i="21" s="1"/>
  <c r="R425" i="21"/>
  <c r="S425" i="21" s="1"/>
  <c r="R424" i="21"/>
  <c r="R423" i="21"/>
  <c r="R422" i="21"/>
  <c r="R421" i="21"/>
  <c r="S421" i="21" s="1"/>
  <c r="R420" i="21"/>
  <c r="S420" i="21" s="1"/>
  <c r="R419" i="21"/>
  <c r="S419" i="21" s="1"/>
  <c r="R418" i="21"/>
  <c r="R417" i="21"/>
  <c r="R416" i="21"/>
  <c r="S416" i="21" s="1"/>
  <c r="R415" i="21"/>
  <c r="S415" i="21" s="1"/>
  <c r="R414" i="21"/>
  <c r="S414" i="21" s="1"/>
  <c r="R413" i="21"/>
  <c r="S413" i="21" s="1"/>
  <c r="R412" i="21"/>
  <c r="R411" i="21"/>
  <c r="R410" i="21"/>
  <c r="S410" i="21" s="1"/>
  <c r="R409" i="21"/>
  <c r="R408" i="21"/>
  <c r="S408" i="21" s="1"/>
  <c r="R407" i="21"/>
  <c r="S407" i="21" s="1"/>
  <c r="R406" i="21"/>
  <c r="S406" i="21" s="1"/>
  <c r="R405" i="21"/>
  <c r="S405" i="21" s="1"/>
  <c r="R404" i="21"/>
  <c r="S404" i="21" s="1"/>
  <c r="R403" i="21"/>
  <c r="S403" i="21" s="1"/>
  <c r="R402" i="21"/>
  <c r="S402" i="21" s="1"/>
  <c r="R401" i="21"/>
  <c r="S401" i="21" s="1"/>
  <c r="R400" i="21"/>
  <c r="R399" i="21"/>
  <c r="R398" i="21"/>
  <c r="R397" i="21"/>
  <c r="R396" i="21"/>
  <c r="S396" i="21" s="1"/>
  <c r="R395" i="21"/>
  <c r="S395" i="21" s="1"/>
  <c r="R394" i="21"/>
  <c r="S394" i="21" s="1"/>
  <c r="R393" i="21"/>
  <c r="R392" i="21"/>
  <c r="R391" i="21"/>
  <c r="S391" i="21" s="1"/>
  <c r="R390" i="21"/>
  <c r="S390" i="21" s="1"/>
  <c r="R389" i="21"/>
  <c r="S389" i="21" s="1"/>
  <c r="R388" i="21"/>
  <c r="R387" i="21"/>
  <c r="R386" i="21"/>
  <c r="S386" i="21" s="1"/>
  <c r="R385" i="21"/>
  <c r="R384" i="21"/>
  <c r="S384" i="21" s="1"/>
  <c r="R383" i="21"/>
  <c r="S383" i="21" s="1"/>
  <c r="R382" i="21"/>
  <c r="S382" i="21" s="1"/>
  <c r="R381" i="21"/>
  <c r="S381" i="21" s="1"/>
  <c r="R380" i="21"/>
  <c r="S380" i="21" s="1"/>
  <c r="R379" i="21"/>
  <c r="S379" i="21" s="1"/>
  <c r="R378" i="21"/>
  <c r="S378" i="21" s="1"/>
  <c r="R377" i="21"/>
  <c r="S377" i="21" s="1"/>
  <c r="R376" i="21"/>
  <c r="R375" i="21"/>
  <c r="R374" i="21"/>
  <c r="R373" i="21"/>
  <c r="R372" i="21"/>
  <c r="R371" i="21"/>
  <c r="R370" i="21"/>
  <c r="R369" i="21"/>
  <c r="S369" i="21" s="1"/>
  <c r="R368" i="21"/>
  <c r="S368" i="21" s="1"/>
  <c r="R367" i="21"/>
  <c r="S367" i="21" s="1"/>
  <c r="R366" i="21"/>
  <c r="S366" i="21" s="1"/>
  <c r="R365" i="21"/>
  <c r="S365" i="21" s="1"/>
  <c r="R364" i="21"/>
  <c r="S364" i="21" s="1"/>
  <c r="R363" i="21"/>
  <c r="R362" i="21"/>
  <c r="R361" i="21"/>
  <c r="S361" i="21" s="1"/>
  <c r="R360" i="21"/>
  <c r="S360" i="21" s="1"/>
  <c r="R359" i="21"/>
  <c r="R358" i="21"/>
  <c r="R357" i="21"/>
  <c r="S357" i="21" s="1"/>
  <c r="R356" i="21"/>
  <c r="S356" i="21" s="1"/>
  <c r="R355" i="21"/>
  <c r="S355" i="21" s="1"/>
  <c r="R354" i="21"/>
  <c r="S354" i="21" s="1"/>
  <c r="R353" i="21"/>
  <c r="S353" i="21" s="1"/>
  <c r="R352" i="21"/>
  <c r="R351" i="21"/>
  <c r="R350" i="21"/>
  <c r="R349" i="21"/>
  <c r="R348" i="21"/>
  <c r="S348" i="21" s="1"/>
  <c r="R347" i="21"/>
  <c r="S347" i="21" s="1"/>
  <c r="R346" i="21"/>
  <c r="S346" i="21" s="1"/>
  <c r="R345" i="21"/>
  <c r="R344" i="21"/>
  <c r="S344" i="21" s="1"/>
  <c r="R343" i="21"/>
  <c r="S343" i="21" s="1"/>
  <c r="R342" i="21"/>
  <c r="S342" i="21" s="1"/>
  <c r="R341" i="21"/>
  <c r="S341" i="21" s="1"/>
  <c r="R340" i="21"/>
  <c r="R339" i="21"/>
  <c r="R338" i="21"/>
  <c r="R337" i="21"/>
  <c r="R336" i="21"/>
  <c r="R335" i="21"/>
  <c r="S335" i="21" s="1"/>
  <c r="R334" i="21"/>
  <c r="R333" i="21"/>
  <c r="S333" i="21" s="1"/>
  <c r="R332" i="21"/>
  <c r="S332" i="21" s="1"/>
  <c r="R331" i="21"/>
  <c r="S331" i="21" s="1"/>
  <c r="R330" i="21"/>
  <c r="S330" i="21" s="1"/>
  <c r="R329" i="21"/>
  <c r="S329" i="21" s="1"/>
  <c r="R328" i="21"/>
  <c r="R327" i="21"/>
  <c r="R326" i="21"/>
  <c r="R325" i="21"/>
  <c r="S325" i="21" s="1"/>
  <c r="R324" i="21"/>
  <c r="S324" i="21" s="1"/>
  <c r="R323" i="21"/>
  <c r="R322" i="21"/>
  <c r="S322" i="21" s="1"/>
  <c r="R321" i="21"/>
  <c r="S321" i="21" s="1"/>
  <c r="R320" i="21"/>
  <c r="S320" i="21" s="1"/>
  <c r="R319" i="21"/>
  <c r="S319" i="21" s="1"/>
  <c r="R318" i="21"/>
  <c r="S318" i="21" s="1"/>
  <c r="R317" i="21"/>
  <c r="S317" i="21" s="1"/>
  <c r="R316" i="21"/>
  <c r="R315" i="21"/>
  <c r="R314" i="21"/>
  <c r="R313" i="21"/>
  <c r="R312" i="21"/>
  <c r="S312" i="21" s="1"/>
  <c r="R311" i="21"/>
  <c r="R310" i="21"/>
  <c r="S310" i="21" s="1"/>
  <c r="R309" i="21"/>
  <c r="R308" i="21"/>
  <c r="S308" i="21" s="1"/>
  <c r="R307" i="21"/>
  <c r="S307" i="21" s="1"/>
  <c r="R306" i="21"/>
  <c r="S306" i="21" s="1"/>
  <c r="R305" i="21"/>
  <c r="S305" i="21" s="1"/>
  <c r="R304" i="21"/>
  <c r="R303" i="21"/>
  <c r="R302" i="21"/>
  <c r="R301" i="21"/>
  <c r="R300" i="21"/>
  <c r="S300" i="21" s="1"/>
  <c r="R299" i="21"/>
  <c r="S299" i="21" s="1"/>
  <c r="R298" i="21"/>
  <c r="S298" i="21" s="1"/>
  <c r="R297" i="21"/>
  <c r="S297" i="21" s="1"/>
  <c r="R296" i="21"/>
  <c r="S296" i="21" s="1"/>
  <c r="R295" i="21"/>
  <c r="S295" i="21" s="1"/>
  <c r="R294" i="21"/>
  <c r="S294" i="21" s="1"/>
  <c r="R293" i="21"/>
  <c r="S293" i="21" s="1"/>
  <c r="R292" i="21"/>
  <c r="R291" i="21"/>
  <c r="R290" i="21"/>
  <c r="R289" i="21"/>
  <c r="R288" i="21"/>
  <c r="R287" i="21"/>
  <c r="S287" i="21" s="1"/>
  <c r="R286" i="21"/>
  <c r="S286" i="21" s="1"/>
  <c r="R285" i="21"/>
  <c r="S285" i="21" s="1"/>
  <c r="R284" i="21"/>
  <c r="R283" i="21"/>
  <c r="S283" i="21" s="1"/>
  <c r="R282" i="21"/>
  <c r="S282" i="21" s="1"/>
  <c r="R281" i="21"/>
  <c r="S281" i="21" s="1"/>
  <c r="R280" i="21"/>
  <c r="R279" i="21"/>
  <c r="R278" i="21"/>
  <c r="R277" i="21"/>
  <c r="R276" i="21"/>
  <c r="S276" i="21" s="1"/>
  <c r="R275" i="21"/>
  <c r="R274" i="21"/>
  <c r="S274" i="21" s="1"/>
  <c r="R273" i="21"/>
  <c r="S273" i="21" s="1"/>
  <c r="R272" i="21"/>
  <c r="S272" i="21" s="1"/>
  <c r="R271" i="21"/>
  <c r="S271" i="21" s="1"/>
  <c r="R270" i="21"/>
  <c r="S270" i="21" s="1"/>
  <c r="R269" i="21"/>
  <c r="S269" i="21" s="1"/>
  <c r="R268" i="21"/>
  <c r="R267" i="21"/>
  <c r="R266" i="21"/>
  <c r="S266" i="21" s="1"/>
  <c r="R265" i="21"/>
  <c r="R264" i="21"/>
  <c r="R263" i="21"/>
  <c r="R262" i="21"/>
  <c r="S262" i="21" s="1"/>
  <c r="R261" i="21"/>
  <c r="R260" i="21"/>
  <c r="S260" i="21" s="1"/>
  <c r="R259" i="21"/>
  <c r="S259" i="21" s="1"/>
  <c r="R258" i="21"/>
  <c r="S258" i="21" s="1"/>
  <c r="R257" i="21"/>
  <c r="S257" i="21" s="1"/>
  <c r="R256" i="21"/>
  <c r="R255" i="21"/>
  <c r="R254" i="21"/>
  <c r="R253" i="21"/>
  <c r="R252" i="21"/>
  <c r="S252" i="21" s="1"/>
  <c r="R251" i="21"/>
  <c r="R250" i="21"/>
  <c r="S250" i="21" s="1"/>
  <c r="R249" i="21"/>
  <c r="S249" i="21" s="1"/>
  <c r="R248" i="21"/>
  <c r="S248" i="21" s="1"/>
  <c r="R247" i="21"/>
  <c r="S247" i="21" s="1"/>
  <c r="R246" i="21"/>
  <c r="R245" i="21"/>
  <c r="S245" i="21" s="1"/>
  <c r="R244" i="21"/>
  <c r="R243" i="21"/>
  <c r="R242" i="21"/>
  <c r="R241" i="21"/>
  <c r="R240" i="21"/>
  <c r="S240" i="21" s="1"/>
  <c r="R239" i="21"/>
  <c r="R238" i="21"/>
  <c r="S238" i="21" s="1"/>
  <c r="R237" i="21"/>
  <c r="S237" i="21" s="1"/>
  <c r="R236" i="21"/>
  <c r="S236" i="21" s="1"/>
  <c r="R235" i="21"/>
  <c r="S235" i="21" s="1"/>
  <c r="R234" i="21"/>
  <c r="S234" i="21" s="1"/>
  <c r="R233" i="21"/>
  <c r="S233" i="21" s="1"/>
  <c r="R232" i="21"/>
  <c r="R231" i="21"/>
  <c r="S231" i="21" s="1"/>
  <c r="R230" i="21"/>
  <c r="R229" i="21"/>
  <c r="R228" i="21"/>
  <c r="S228" i="21" s="1"/>
  <c r="R227" i="21"/>
  <c r="S227" i="21" s="1"/>
  <c r="R226" i="21"/>
  <c r="S226" i="21" s="1"/>
  <c r="R225" i="21"/>
  <c r="R224" i="21"/>
  <c r="R223" i="21"/>
  <c r="S223" i="21" s="1"/>
  <c r="R222" i="21"/>
  <c r="S222" i="21" s="1"/>
  <c r="R221" i="21"/>
  <c r="S221" i="21" s="1"/>
  <c r="R220" i="21"/>
  <c r="R219" i="21"/>
  <c r="R218" i="21"/>
  <c r="R217" i="21"/>
  <c r="R216" i="21"/>
  <c r="S216" i="21" s="1"/>
  <c r="R215" i="21"/>
  <c r="S215" i="21" s="1"/>
  <c r="R214" i="21"/>
  <c r="S214" i="21" s="1"/>
  <c r="R213" i="21"/>
  <c r="S213" i="21" s="1"/>
  <c r="R212" i="21"/>
  <c r="S212" i="21" s="1"/>
  <c r="R211" i="21"/>
  <c r="S211" i="21" s="1"/>
  <c r="R210" i="21"/>
  <c r="S210" i="21" s="1"/>
  <c r="R209" i="21"/>
  <c r="S209" i="21" s="1"/>
  <c r="R208" i="21"/>
  <c r="S208" i="21" s="1"/>
  <c r="R207" i="21"/>
  <c r="R206" i="21"/>
  <c r="R205" i="21"/>
  <c r="R204" i="21"/>
  <c r="R203" i="21"/>
  <c r="R202" i="21"/>
  <c r="S202" i="21" s="1"/>
  <c r="R201" i="21"/>
  <c r="R200" i="21"/>
  <c r="R199" i="21"/>
  <c r="S199" i="21" s="1"/>
  <c r="R198" i="21"/>
  <c r="S198" i="21" s="1"/>
  <c r="R197" i="21"/>
  <c r="S197" i="21" s="1"/>
  <c r="R196" i="21"/>
  <c r="R195" i="21"/>
  <c r="R194" i="21"/>
  <c r="R193" i="21"/>
  <c r="R192" i="21"/>
  <c r="S192" i="21" s="1"/>
  <c r="R191" i="21"/>
  <c r="R190" i="21"/>
  <c r="S190" i="21" s="1"/>
  <c r="R189" i="21"/>
  <c r="S189" i="21" s="1"/>
  <c r="R188" i="21"/>
  <c r="S188" i="21" s="1"/>
  <c r="R187" i="21"/>
  <c r="S187" i="21" s="1"/>
  <c r="R186" i="21"/>
  <c r="S186" i="21" s="1"/>
  <c r="R185" i="21"/>
  <c r="S185" i="21" s="1"/>
  <c r="R184" i="21"/>
  <c r="R183" i="21"/>
  <c r="R182" i="21"/>
  <c r="R181" i="21"/>
  <c r="R180" i="21"/>
  <c r="S180" i="21" s="1"/>
  <c r="R179" i="21"/>
  <c r="R178" i="21"/>
  <c r="S178" i="21" s="1"/>
  <c r="R177" i="21"/>
  <c r="S177" i="21" s="1"/>
  <c r="R176" i="21"/>
  <c r="S176" i="21" s="1"/>
  <c r="R175" i="21"/>
  <c r="S175" i="21" s="1"/>
  <c r="R174" i="21"/>
  <c r="S174" i="21" s="1"/>
  <c r="R173" i="21"/>
  <c r="S173" i="21" s="1"/>
  <c r="R172" i="21"/>
  <c r="R171" i="21"/>
  <c r="R170" i="21"/>
  <c r="R169" i="21"/>
  <c r="R168" i="21"/>
  <c r="S168" i="21" s="1"/>
  <c r="R167" i="21"/>
  <c r="R166" i="21"/>
  <c r="S166" i="21" s="1"/>
  <c r="R165" i="21"/>
  <c r="R164" i="21"/>
  <c r="R163" i="21"/>
  <c r="S163" i="21" s="1"/>
  <c r="R162" i="21"/>
  <c r="S162" i="21" s="1"/>
  <c r="R161" i="21"/>
  <c r="S161" i="21" s="1"/>
  <c r="R160" i="21"/>
  <c r="R159" i="21"/>
  <c r="R158" i="21"/>
  <c r="R157" i="21"/>
  <c r="S157" i="21" s="1"/>
  <c r="R156" i="21"/>
  <c r="S156" i="21" s="1"/>
  <c r="R155" i="21"/>
  <c r="S155" i="21" s="1"/>
  <c r="R154" i="21"/>
  <c r="S154" i="21" s="1"/>
  <c r="R153" i="21"/>
  <c r="S153" i="21" s="1"/>
  <c r="R152" i="21"/>
  <c r="S152" i="21" s="1"/>
  <c r="R151" i="21"/>
  <c r="S151" i="21" s="1"/>
  <c r="R150" i="21"/>
  <c r="S150" i="21" s="1"/>
  <c r="R149" i="21"/>
  <c r="S149" i="21" s="1"/>
  <c r="R148" i="21"/>
  <c r="R147" i="21"/>
  <c r="R146" i="21"/>
  <c r="R145" i="21"/>
  <c r="R144" i="21"/>
  <c r="R143" i="21"/>
  <c r="S143" i="21" s="1"/>
  <c r="R142" i="21"/>
  <c r="S142" i="21" s="1"/>
  <c r="R141" i="21"/>
  <c r="R140" i="21"/>
  <c r="R139" i="21"/>
  <c r="S139" i="21" s="1"/>
  <c r="R138" i="21"/>
  <c r="S138" i="21" s="1"/>
  <c r="R137" i="21"/>
  <c r="S137" i="21" s="1"/>
  <c r="R136" i="21"/>
  <c r="R135" i="21"/>
  <c r="R134" i="21"/>
  <c r="S134" i="21" s="1"/>
  <c r="R133" i="21"/>
  <c r="S133" i="21" s="1"/>
  <c r="R132" i="21"/>
  <c r="S132" i="21" s="1"/>
  <c r="R131" i="21"/>
  <c r="R130" i="21"/>
  <c r="S130" i="21" s="1"/>
  <c r="R129" i="21"/>
  <c r="S129" i="21" s="1"/>
  <c r="R128" i="21"/>
  <c r="S128" i="21" s="1"/>
  <c r="R127" i="21"/>
  <c r="S127" i="21" s="1"/>
  <c r="R126" i="21"/>
  <c r="S126" i="21" s="1"/>
  <c r="R125" i="21"/>
  <c r="S125" i="21" s="1"/>
  <c r="R124" i="21"/>
  <c r="R123" i="21"/>
  <c r="R122" i="21"/>
  <c r="R121" i="21"/>
  <c r="R120" i="21"/>
  <c r="R119" i="21"/>
  <c r="R118" i="21"/>
  <c r="S118" i="21" s="1"/>
  <c r="R117" i="21"/>
  <c r="S117" i="21" s="1"/>
  <c r="R116" i="21"/>
  <c r="S116" i="21" s="1"/>
  <c r="R115" i="21"/>
  <c r="S115" i="21" s="1"/>
  <c r="R114" i="21"/>
  <c r="S114" i="21" s="1"/>
  <c r="R113" i="21"/>
  <c r="S113" i="21" s="1"/>
  <c r="R112" i="21"/>
  <c r="R111" i="21"/>
  <c r="R110" i="21"/>
  <c r="R109" i="21"/>
  <c r="R108" i="21"/>
  <c r="S108" i="21" s="1"/>
  <c r="R107" i="21"/>
  <c r="R106" i="21"/>
  <c r="S106" i="21" s="1"/>
  <c r="R105" i="21"/>
  <c r="R104" i="21"/>
  <c r="R103" i="21"/>
  <c r="R102" i="21"/>
  <c r="R101" i="21"/>
  <c r="S101" i="21" s="1"/>
  <c r="R100" i="21"/>
  <c r="S100" i="21" s="1"/>
  <c r="R99" i="21"/>
  <c r="R98" i="21"/>
  <c r="R97" i="21"/>
  <c r="S97" i="21" s="1"/>
  <c r="R96" i="21"/>
  <c r="S96" i="21" s="1"/>
  <c r="R95" i="21"/>
  <c r="R94" i="21"/>
  <c r="S94" i="21" s="1"/>
  <c r="R93" i="21"/>
  <c r="S93" i="21" s="1"/>
  <c r="R92" i="21"/>
  <c r="S92" i="21" s="1"/>
  <c r="R91" i="21"/>
  <c r="S91" i="21" s="1"/>
  <c r="R90" i="21"/>
  <c r="S90" i="21" s="1"/>
  <c r="R89" i="21"/>
  <c r="S89" i="21" s="1"/>
  <c r="R88" i="21"/>
  <c r="R87" i="21"/>
  <c r="R86" i="21"/>
  <c r="R85" i="21"/>
  <c r="R84" i="21"/>
  <c r="S84" i="21" s="1"/>
  <c r="R83" i="21"/>
  <c r="S83" i="21" s="1"/>
  <c r="R82" i="21"/>
  <c r="S82" i="21" s="1"/>
  <c r="R81" i="21"/>
  <c r="R80" i="21"/>
  <c r="S80" i="21" s="1"/>
  <c r="R79" i="21"/>
  <c r="S79" i="21" s="1"/>
  <c r="R78" i="21"/>
  <c r="S78" i="21" s="1"/>
  <c r="R77" i="21"/>
  <c r="S77" i="21" s="1"/>
  <c r="R76" i="21"/>
  <c r="R75" i="21"/>
  <c r="R74" i="21"/>
  <c r="R73" i="21"/>
  <c r="S73" i="21" s="1"/>
  <c r="R72" i="21"/>
  <c r="S72" i="21" s="1"/>
  <c r="R71" i="21"/>
  <c r="S71" i="21" s="1"/>
  <c r="R70" i="21"/>
  <c r="S70" i="21" s="1"/>
  <c r="R69" i="21"/>
  <c r="S69" i="21" s="1"/>
  <c r="R68" i="21"/>
  <c r="S68" i="21" s="1"/>
  <c r="R67" i="21"/>
  <c r="S67" i="21" s="1"/>
  <c r="R66" i="21"/>
  <c r="S66" i="21" s="1"/>
  <c r="R65" i="21"/>
  <c r="S65" i="21" s="1"/>
  <c r="R64" i="21"/>
  <c r="R63" i="21"/>
  <c r="R62" i="21"/>
  <c r="R61" i="21"/>
  <c r="R60" i="21"/>
  <c r="S60" i="21" s="1"/>
  <c r="R59" i="21"/>
  <c r="R58" i="21"/>
  <c r="S58" i="21" s="1"/>
  <c r="R57" i="21"/>
  <c r="R56" i="21"/>
  <c r="R55" i="21"/>
  <c r="S55" i="21" s="1"/>
  <c r="R54" i="21"/>
  <c r="S54" i="21" s="1"/>
  <c r="R53" i="21"/>
  <c r="S53" i="21" s="1"/>
  <c r="R52" i="21"/>
  <c r="R51" i="21"/>
  <c r="R50" i="21"/>
  <c r="R49" i="21"/>
  <c r="R48" i="21"/>
  <c r="R47" i="21"/>
  <c r="R46" i="21"/>
  <c r="S46" i="21" s="1"/>
  <c r="R45" i="21"/>
  <c r="S45" i="21" s="1"/>
  <c r="R44" i="21"/>
  <c r="S44" i="21" s="1"/>
  <c r="R43" i="21"/>
  <c r="S43" i="21" s="1"/>
  <c r="R42" i="21"/>
  <c r="S42" i="21" s="1"/>
  <c r="R41" i="21"/>
  <c r="S41" i="21" s="1"/>
  <c r="R40" i="21"/>
  <c r="R39" i="21"/>
  <c r="R38" i="21"/>
  <c r="R37" i="21"/>
  <c r="R36" i="21"/>
  <c r="S36" i="21" s="1"/>
  <c r="R35" i="21"/>
  <c r="R34" i="21"/>
  <c r="S34" i="21" s="1"/>
  <c r="R33" i="21"/>
  <c r="S33" i="21" s="1"/>
  <c r="R32" i="21"/>
  <c r="S32" i="21" s="1"/>
  <c r="R31" i="21"/>
  <c r="S31" i="21" s="1"/>
  <c r="R30" i="21"/>
  <c r="S30" i="21" s="1"/>
  <c r="R29" i="21"/>
  <c r="S29" i="21" s="1"/>
  <c r="R28" i="21"/>
  <c r="R27" i="21"/>
  <c r="R26" i="21"/>
  <c r="S26" i="21" s="1"/>
  <c r="R25" i="21"/>
  <c r="R24" i="21"/>
  <c r="S24" i="21" s="1"/>
  <c r="R23" i="21"/>
  <c r="R22" i="21"/>
  <c r="S22" i="21" s="1"/>
  <c r="R21" i="21"/>
  <c r="R20" i="21"/>
  <c r="R19" i="21"/>
  <c r="S19" i="21" s="1"/>
  <c r="R18" i="21"/>
  <c r="S18" i="21" s="1"/>
  <c r="R17" i="21"/>
  <c r="S17" i="21" s="1"/>
  <c r="R16" i="21"/>
  <c r="R15" i="21"/>
  <c r="R14" i="21"/>
  <c r="R13" i="21"/>
  <c r="R12" i="21"/>
  <c r="S12" i="21" s="1"/>
  <c r="R11" i="21"/>
  <c r="S11" i="21" s="1"/>
  <c r="R10" i="21"/>
  <c r="S10" i="21" s="1"/>
  <c r="R9" i="21"/>
  <c r="S9" i="21" s="1"/>
  <c r="R8" i="21"/>
  <c r="S8" i="21" s="1"/>
  <c r="R7" i="21"/>
  <c r="S7" i="21" s="1"/>
  <c r="R6" i="21"/>
  <c r="S6" i="21" s="1"/>
  <c r="R5" i="21"/>
  <c r="S5" i="21" s="1"/>
  <c r="R4" i="21"/>
  <c r="R3" i="21"/>
  <c r="S3" i="21" s="1"/>
  <c r="S1348" i="21"/>
  <c r="S1347" i="21"/>
  <c r="S1346" i="21"/>
  <c r="S1336" i="21"/>
  <c r="S1335" i="21"/>
  <c r="S1334" i="21"/>
  <c r="S1329" i="21"/>
  <c r="S1324" i="21"/>
  <c r="S1323" i="21"/>
  <c r="S1312" i="21"/>
  <c r="S1311" i="21"/>
  <c r="S1310" i="21"/>
  <c r="S1309" i="21"/>
  <c r="S1308" i="21"/>
  <c r="S1305" i="21"/>
  <c r="S1300" i="21"/>
  <c r="S1297" i="21"/>
  <c r="S1288" i="21"/>
  <c r="S1287" i="21"/>
  <c r="S1286" i="21"/>
  <c r="S1281" i="21"/>
  <c r="S1280" i="21"/>
  <c r="S1276" i="21"/>
  <c r="S1273" i="21"/>
  <c r="S1264" i="21"/>
  <c r="S1263" i="21"/>
  <c r="S1262" i="21"/>
  <c r="S1261" i="21"/>
  <c r="S1260" i="21"/>
  <c r="S1258" i="21"/>
  <c r="S1257" i="21"/>
  <c r="S1250" i="21"/>
  <c r="S1249" i="21"/>
  <c r="S1245" i="21"/>
  <c r="S1240" i="21"/>
  <c r="S1239" i="21"/>
  <c r="S1238" i="21"/>
  <c r="S1234" i="21"/>
  <c r="S1226" i="21"/>
  <c r="S1221" i="21"/>
  <c r="S1220" i="21"/>
  <c r="S1216" i="21"/>
  <c r="S1215" i="21"/>
  <c r="S1214" i="21"/>
  <c r="S1213" i="21"/>
  <c r="S1204" i="21"/>
  <c r="S1203" i="21"/>
  <c r="S1200" i="21"/>
  <c r="S1198" i="21"/>
  <c r="S1197" i="21"/>
  <c r="S1192" i="21"/>
  <c r="S1191" i="21"/>
  <c r="S1190" i="21"/>
  <c r="S1189" i="21"/>
  <c r="S1180" i="21"/>
  <c r="S1177" i="21"/>
  <c r="S1176" i="21"/>
  <c r="S1174" i="21"/>
  <c r="S1168" i="21"/>
  <c r="S1167" i="21"/>
  <c r="S1166" i="21"/>
  <c r="S1163" i="21"/>
  <c r="S1162" i="21"/>
  <c r="S1156" i="21"/>
  <c r="S1155" i="21"/>
  <c r="S1154" i="21"/>
  <c r="S1144" i="21"/>
  <c r="S1143" i="21"/>
  <c r="S1142" i="21"/>
  <c r="S1137" i="21"/>
  <c r="S1131" i="21"/>
  <c r="S1130" i="21"/>
  <c r="S1129" i="21"/>
  <c r="S1120" i="21"/>
  <c r="S1119" i="21"/>
  <c r="S1118" i="21"/>
  <c r="S1117" i="21"/>
  <c r="S1113" i="21"/>
  <c r="S1107" i="21"/>
  <c r="S1106" i="21"/>
  <c r="S1105" i="21"/>
  <c r="S1103" i="21"/>
  <c r="S1096" i="21"/>
  <c r="S1095" i="21"/>
  <c r="S1094" i="21"/>
  <c r="S1093" i="21"/>
  <c r="S1091" i="21"/>
  <c r="S1090" i="21"/>
  <c r="S1089" i="21"/>
  <c r="S1084" i="21"/>
  <c r="S1083" i="21"/>
  <c r="S1082" i="21"/>
  <c r="S1072" i="21"/>
  <c r="S1071" i="21"/>
  <c r="S1070" i="21"/>
  <c r="S1069" i="21"/>
  <c r="S1067" i="21"/>
  <c r="S1066" i="21"/>
  <c r="S1065" i="21"/>
  <c r="S1064" i="21"/>
  <c r="S1060" i="21"/>
  <c r="S1059" i="21"/>
  <c r="S1058" i="21"/>
  <c r="S1057" i="21"/>
  <c r="S1054" i="21"/>
  <c r="S1047" i="21"/>
  <c r="S1046" i="21"/>
  <c r="S1045" i="21"/>
  <c r="S1043" i="21"/>
  <c r="S1041" i="21"/>
  <c r="S1040" i="21"/>
  <c r="S1036" i="21"/>
  <c r="S1035" i="21"/>
  <c r="S1034" i="21"/>
  <c r="S1033" i="21"/>
  <c r="S1024" i="21"/>
  <c r="S1023" i="21"/>
  <c r="S1022" i="21"/>
  <c r="S1019" i="21"/>
  <c r="S1018" i="21"/>
  <c r="S1017" i="21"/>
  <c r="S1012" i="21"/>
  <c r="S1011" i="21"/>
  <c r="S1010" i="21"/>
  <c r="S1006" i="21"/>
  <c r="S1000" i="21"/>
  <c r="S999" i="21"/>
  <c r="S998" i="21"/>
  <c r="S988" i="21"/>
  <c r="S987" i="21"/>
  <c r="S986" i="21"/>
  <c r="S985" i="21"/>
  <c r="S981" i="21"/>
  <c r="S976" i="21"/>
  <c r="S975" i="21"/>
  <c r="S974" i="21"/>
  <c r="S973" i="21"/>
  <c r="S972" i="21"/>
  <c r="S964" i="21"/>
  <c r="S963" i="21"/>
  <c r="S957" i="21"/>
  <c r="S952" i="21"/>
  <c r="S951" i="21"/>
  <c r="S950" i="21"/>
  <c r="S949" i="21"/>
  <c r="S947" i="21"/>
  <c r="S946" i="21"/>
  <c r="S940" i="21"/>
  <c r="S936" i="21"/>
  <c r="S935" i="21"/>
  <c r="S934" i="21"/>
  <c r="S933" i="21"/>
  <c r="S928" i="21"/>
  <c r="S927" i="21"/>
  <c r="S926" i="21"/>
  <c r="S925" i="21"/>
  <c r="S914" i="21"/>
  <c r="S913" i="21"/>
  <c r="S912" i="21"/>
  <c r="S910" i="21"/>
  <c r="S909" i="21"/>
  <c r="S908" i="21"/>
  <c r="S904" i="21"/>
  <c r="S903" i="21"/>
  <c r="S902" i="21"/>
  <c r="S901" i="21"/>
  <c r="S899" i="21"/>
  <c r="S894" i="21"/>
  <c r="S892" i="21"/>
  <c r="S891" i="21"/>
  <c r="S890" i="21"/>
  <c r="S889" i="21"/>
  <c r="S887" i="21"/>
  <c r="S879" i="21"/>
  <c r="S878" i="21"/>
  <c r="S868" i="21"/>
  <c r="S867" i="21"/>
  <c r="S866" i="21"/>
  <c r="S862" i="21"/>
  <c r="S861" i="21"/>
  <c r="S860" i="21"/>
  <c r="S856" i="21"/>
  <c r="S844" i="21"/>
  <c r="S843" i="21"/>
  <c r="S842" i="21"/>
  <c r="S841" i="21"/>
  <c r="S837" i="21"/>
  <c r="S836" i="21"/>
  <c r="S832" i="21"/>
  <c r="S831" i="21"/>
  <c r="S828" i="21"/>
  <c r="S820" i="21"/>
  <c r="S819" i="21"/>
  <c r="S818" i="21"/>
  <c r="S817" i="21"/>
  <c r="S816" i="21"/>
  <c r="S815" i="21"/>
  <c r="S813" i="21"/>
  <c r="S808" i="21"/>
  <c r="S807" i="21"/>
  <c r="S806" i="21"/>
  <c r="S805" i="21"/>
  <c r="S796" i="21"/>
  <c r="S795" i="21"/>
  <c r="S794" i="21"/>
  <c r="S792" i="21"/>
  <c r="S791" i="21"/>
  <c r="S789" i="21"/>
  <c r="S784" i="21"/>
  <c r="S783" i="21"/>
  <c r="S782" i="21"/>
  <c r="S781" i="21"/>
  <c r="S779" i="21"/>
  <c r="S772" i="21"/>
  <c r="S771" i="21"/>
  <c r="S770" i="21"/>
  <c r="S768" i="21"/>
  <c r="S765" i="21"/>
  <c r="S764" i="21"/>
  <c r="S760" i="21"/>
  <c r="S759" i="21"/>
  <c r="S758" i="21"/>
  <c r="S757" i="21"/>
  <c r="S755" i="21"/>
  <c r="S747" i="21"/>
  <c r="S746" i="21"/>
  <c r="S745" i="21"/>
  <c r="S744" i="21"/>
  <c r="S743" i="21"/>
  <c r="S742" i="21"/>
  <c r="S736" i="21"/>
  <c r="S735" i="21"/>
  <c r="S731" i="21"/>
  <c r="S729" i="21"/>
  <c r="S724" i="21"/>
  <c r="S723" i="21"/>
  <c r="S722" i="21"/>
  <c r="S717" i="21"/>
  <c r="S712" i="21"/>
  <c r="S711" i="21"/>
  <c r="S710" i="21"/>
  <c r="S700" i="21"/>
  <c r="S699" i="21"/>
  <c r="S698" i="21"/>
  <c r="S697" i="21"/>
  <c r="S693" i="21"/>
  <c r="S692" i="21"/>
  <c r="S688" i="21"/>
  <c r="S687" i="21"/>
  <c r="S686" i="21"/>
  <c r="S685" i="21"/>
  <c r="S676" i="21"/>
  <c r="S675" i="21"/>
  <c r="S674" i="21"/>
  <c r="S673" i="21"/>
  <c r="S672" i="21"/>
  <c r="S671" i="21"/>
  <c r="S663" i="21"/>
  <c r="S662" i="21"/>
  <c r="S661" i="21"/>
  <c r="S659" i="21"/>
  <c r="S658" i="21"/>
  <c r="S657" i="21"/>
  <c r="S652" i="21"/>
  <c r="S651" i="21"/>
  <c r="S650" i="21"/>
  <c r="S639" i="21"/>
  <c r="S638" i="21"/>
  <c r="S637" i="21"/>
  <c r="S635" i="21"/>
  <c r="S634" i="21"/>
  <c r="S633" i="21"/>
  <c r="S632" i="21"/>
  <c r="S628" i="21"/>
  <c r="S627" i="21"/>
  <c r="S626" i="21"/>
  <c r="S625" i="21"/>
  <c r="S616" i="21"/>
  <c r="S615" i="21"/>
  <c r="S614" i="21"/>
  <c r="S613" i="21"/>
  <c r="S609" i="21"/>
  <c r="S608" i="21"/>
  <c r="S604" i="21"/>
  <c r="S603" i="21"/>
  <c r="S602" i="21"/>
  <c r="S592" i="21"/>
  <c r="S591" i="21"/>
  <c r="S590" i="21"/>
  <c r="S587" i="21"/>
  <c r="S586" i="21"/>
  <c r="S585" i="21"/>
  <c r="S580" i="21"/>
  <c r="S578" i="21"/>
  <c r="S575" i="21"/>
  <c r="S574" i="21"/>
  <c r="S568" i="21"/>
  <c r="S567" i="21"/>
  <c r="S566" i="21"/>
  <c r="S561" i="21"/>
  <c r="S560" i="21"/>
  <c r="S555" i="21"/>
  <c r="S554" i="21"/>
  <c r="S553" i="21"/>
  <c r="S544" i="21"/>
  <c r="S543" i="21"/>
  <c r="S542" i="21"/>
  <c r="S541" i="21"/>
  <c r="S540" i="21"/>
  <c r="S537" i="21"/>
  <c r="S535" i="21"/>
  <c r="S534" i="21"/>
  <c r="S532" i="21"/>
  <c r="S531" i="21"/>
  <c r="S530" i="21"/>
  <c r="S529" i="21"/>
  <c r="S527" i="21"/>
  <c r="S520" i="21"/>
  <c r="S519" i="21"/>
  <c r="S518" i="21"/>
  <c r="S513" i="21"/>
  <c r="S508" i="21"/>
  <c r="S507" i="21"/>
  <c r="S506" i="21"/>
  <c r="S503" i="21"/>
  <c r="S502" i="21"/>
  <c r="S496" i="21"/>
  <c r="S495" i="21"/>
  <c r="S494" i="21"/>
  <c r="S491" i="21"/>
  <c r="S489" i="21"/>
  <c r="S488" i="21"/>
  <c r="S484" i="21"/>
  <c r="S483" i="21"/>
  <c r="S482" i="21"/>
  <c r="S481" i="21"/>
  <c r="S472" i="21"/>
  <c r="S471" i="21"/>
  <c r="S469" i="21"/>
  <c r="S468" i="21"/>
  <c r="S467" i="21"/>
  <c r="S465" i="21"/>
  <c r="S464" i="21"/>
  <c r="S460" i="21"/>
  <c r="S459" i="21"/>
  <c r="S458" i="21"/>
  <c r="S457" i="21"/>
  <c r="S455" i="21"/>
  <c r="S448" i="21"/>
  <c r="S447" i="21"/>
  <c r="S446" i="21"/>
  <c r="S443" i="21"/>
  <c r="S442" i="21"/>
  <c r="S436" i="21"/>
  <c r="S434" i="21"/>
  <c r="S424" i="21"/>
  <c r="S423" i="21"/>
  <c r="S422" i="21"/>
  <c r="S418" i="21"/>
  <c r="S417" i="21"/>
  <c r="S412" i="21"/>
  <c r="S411" i="21"/>
  <c r="S409" i="21"/>
  <c r="S400" i="21"/>
  <c r="S399" i="21"/>
  <c r="S398" i="21"/>
  <c r="S397" i="21"/>
  <c r="S393" i="21"/>
  <c r="S392" i="21"/>
  <c r="S388" i="21"/>
  <c r="S387" i="21"/>
  <c r="S385" i="21"/>
  <c r="S376" i="21"/>
  <c r="S375" i="21"/>
  <c r="S374" i="21"/>
  <c r="S373" i="21"/>
  <c r="S372" i="21"/>
  <c r="S371" i="21"/>
  <c r="S370" i="21"/>
  <c r="S363" i="21"/>
  <c r="S362" i="21"/>
  <c r="S359" i="21"/>
  <c r="S358" i="21"/>
  <c r="S352" i="21"/>
  <c r="S351" i="21"/>
  <c r="S350" i="21"/>
  <c r="S349" i="21"/>
  <c r="S345" i="21"/>
  <c r="S340" i="21"/>
  <c r="S339" i="21"/>
  <c r="S338" i="21"/>
  <c r="S337" i="21"/>
  <c r="S336" i="21"/>
  <c r="S334" i="21"/>
  <c r="S328" i="21"/>
  <c r="S327" i="21"/>
  <c r="S326" i="21"/>
  <c r="S323" i="21"/>
  <c r="S316" i="21"/>
  <c r="S315" i="21"/>
  <c r="S314" i="21"/>
  <c r="S313" i="21"/>
  <c r="S311" i="21"/>
  <c r="S309" i="21"/>
  <c r="S304" i="21"/>
  <c r="S303" i="21"/>
  <c r="S302" i="21"/>
  <c r="S301" i="21"/>
  <c r="S292" i="21"/>
  <c r="S291" i="21"/>
  <c r="S290" i="21"/>
  <c r="S289" i="21"/>
  <c r="S288" i="21"/>
  <c r="S284" i="21"/>
  <c r="S280" i="21"/>
  <c r="S279" i="21"/>
  <c r="S278" i="21"/>
  <c r="S277" i="21"/>
  <c r="S275" i="21"/>
  <c r="S268" i="21"/>
  <c r="S267" i="21"/>
  <c r="S265" i="21"/>
  <c r="S264" i="21"/>
  <c r="S263" i="21"/>
  <c r="S261" i="21"/>
  <c r="S256" i="21"/>
  <c r="S255" i="21"/>
  <c r="S254" i="21"/>
  <c r="S253" i="21"/>
  <c r="S251" i="21"/>
  <c r="S246" i="21"/>
  <c r="S244" i="21"/>
  <c r="S243" i="21"/>
  <c r="S242" i="21"/>
  <c r="S241" i="21"/>
  <c r="S239" i="21"/>
  <c r="S232" i="21"/>
  <c r="S230" i="21"/>
  <c r="S229" i="21"/>
  <c r="S225" i="21"/>
  <c r="S224" i="21"/>
  <c r="S220" i="21"/>
  <c r="S219" i="21"/>
  <c r="S218" i="21"/>
  <c r="S217" i="21"/>
  <c r="S207" i="21"/>
  <c r="S206" i="21"/>
  <c r="S205" i="21"/>
  <c r="S204" i="21"/>
  <c r="S203" i="21"/>
  <c r="S201" i="21"/>
  <c r="S200" i="21"/>
  <c r="S196" i="21"/>
  <c r="S195" i="21"/>
  <c r="S194" i="21"/>
  <c r="S193" i="21"/>
  <c r="S191" i="21"/>
  <c r="S184" i="21"/>
  <c r="S183" i="21"/>
  <c r="S182" i="21"/>
  <c r="S181" i="21"/>
  <c r="S179" i="21"/>
  <c r="S172" i="21"/>
  <c r="S171" i="21"/>
  <c r="S170" i="21"/>
  <c r="S169" i="21"/>
  <c r="S167" i="21"/>
  <c r="S165" i="21"/>
  <c r="S164" i="21"/>
  <c r="S160" i="21"/>
  <c r="S159" i="21"/>
  <c r="S158" i="21"/>
  <c r="S148" i="21"/>
  <c r="S147" i="21"/>
  <c r="S146" i="21"/>
  <c r="S145" i="21"/>
  <c r="S144" i="21"/>
  <c r="S141" i="21"/>
  <c r="S140" i="21"/>
  <c r="S136" i="21"/>
  <c r="S135" i="21"/>
  <c r="S131" i="21"/>
  <c r="S124" i="21"/>
  <c r="S123" i="21"/>
  <c r="S122" i="21"/>
  <c r="S121" i="21"/>
  <c r="S120" i="21"/>
  <c r="S119" i="21"/>
  <c r="S112" i="21"/>
  <c r="S111" i="21"/>
  <c r="S110" i="21"/>
  <c r="S109" i="21"/>
  <c r="S107" i="21"/>
  <c r="S105" i="21"/>
  <c r="S104" i="21"/>
  <c r="S103" i="21"/>
  <c r="S102" i="21"/>
  <c r="S99" i="21"/>
  <c r="S98" i="21"/>
  <c r="S95" i="21"/>
  <c r="S88" i="21"/>
  <c r="S87" i="21"/>
  <c r="S86" i="21"/>
  <c r="S85" i="21"/>
  <c r="S81" i="21"/>
  <c r="S76" i="21"/>
  <c r="S75" i="21"/>
  <c r="S74" i="21"/>
  <c r="S64" i="21"/>
  <c r="S63" i="21"/>
  <c r="S62" i="21"/>
  <c r="S61" i="21"/>
  <c r="S59" i="21"/>
  <c r="S57" i="21"/>
  <c r="S56" i="21"/>
  <c r="S52" i="21"/>
  <c r="S51" i="21"/>
  <c r="S50" i="21"/>
  <c r="S49" i="21"/>
  <c r="S48" i="21"/>
  <c r="S47" i="21"/>
  <c r="S40" i="21"/>
  <c r="S39" i="21"/>
  <c r="S38" i="21"/>
  <c r="S37" i="21"/>
  <c r="S35" i="21"/>
  <c r="S28" i="21"/>
  <c r="S27" i="21"/>
  <c r="S25" i="21"/>
  <c r="S23" i="21"/>
  <c r="S21" i="21"/>
  <c r="S20" i="21"/>
  <c r="S16" i="21"/>
  <c r="S15" i="21"/>
  <c r="S14" i="21"/>
  <c r="S13" i="21"/>
  <c r="S4" i="21"/>
  <c r="D1348" i="21"/>
  <c r="D1347" i="21"/>
  <c r="D1346" i="21"/>
  <c r="D1345" i="21"/>
  <c r="D1344" i="21"/>
  <c r="D1343" i="21"/>
  <c r="D1342" i="21"/>
  <c r="D1341" i="21"/>
  <c r="D1340" i="21"/>
  <c r="D1339" i="21"/>
  <c r="D1338" i="21"/>
  <c r="D1337" i="21"/>
  <c r="D1336" i="21"/>
  <c r="D1335" i="21"/>
  <c r="D1334" i="21"/>
  <c r="D1333" i="21"/>
  <c r="D1332" i="21"/>
  <c r="D1331" i="21"/>
  <c r="D1330" i="21"/>
  <c r="D1329" i="21"/>
  <c r="D1328" i="21"/>
  <c r="D1327" i="21"/>
  <c r="D1326" i="21"/>
  <c r="D1325" i="21"/>
  <c r="D1324" i="21"/>
  <c r="D1323" i="21"/>
  <c r="D1322" i="21"/>
  <c r="D1321" i="21"/>
  <c r="D1320" i="21"/>
  <c r="D1319" i="21"/>
  <c r="D1318" i="21"/>
  <c r="D1317" i="21"/>
  <c r="D1316" i="21"/>
  <c r="D1315" i="21"/>
  <c r="D1314" i="21"/>
  <c r="D1313" i="21"/>
  <c r="D1312" i="21"/>
  <c r="D1311" i="21"/>
  <c r="D1310" i="21"/>
  <c r="D1309" i="21"/>
  <c r="D1308" i="21"/>
  <c r="D1307" i="21"/>
  <c r="D1306" i="21"/>
  <c r="D1305" i="21"/>
  <c r="D1304" i="21"/>
  <c r="D1303" i="21"/>
  <c r="D1302" i="21"/>
  <c r="D1301" i="21"/>
  <c r="D1300" i="21"/>
  <c r="D1299" i="21"/>
  <c r="D1298" i="21"/>
  <c r="D1297" i="21"/>
  <c r="D1296" i="21"/>
  <c r="D1295" i="21"/>
  <c r="D1294" i="21"/>
  <c r="D1293" i="21"/>
  <c r="D1292" i="21"/>
  <c r="D1291" i="21"/>
  <c r="D1290" i="21"/>
  <c r="D1289" i="21"/>
  <c r="D1288" i="21"/>
  <c r="D1287" i="21"/>
  <c r="D1286" i="21"/>
  <c r="D1285" i="21"/>
  <c r="D1284" i="21"/>
  <c r="D1283" i="21"/>
  <c r="D1282" i="21"/>
  <c r="D1281" i="21"/>
  <c r="D1280" i="21"/>
  <c r="D1279" i="21"/>
  <c r="D1278" i="21"/>
  <c r="D1277" i="21"/>
  <c r="D1276" i="21"/>
  <c r="D1275" i="21"/>
  <c r="D1274" i="21"/>
  <c r="D1273" i="21"/>
  <c r="D1272" i="21"/>
  <c r="D1271" i="21"/>
  <c r="D1270" i="21"/>
  <c r="D1269" i="21"/>
  <c r="D1268" i="21"/>
  <c r="D1267" i="21"/>
  <c r="D1266" i="21"/>
  <c r="D1265" i="21"/>
  <c r="D1264" i="21"/>
  <c r="D1263" i="21"/>
  <c r="D1262" i="21"/>
  <c r="D1261" i="21"/>
  <c r="D1260" i="21"/>
  <c r="D1259" i="21"/>
  <c r="D1258" i="21"/>
  <c r="D1257" i="21"/>
  <c r="D1256" i="21"/>
  <c r="D1255" i="21"/>
  <c r="D1254" i="21"/>
  <c r="D1253" i="21"/>
  <c r="D1252" i="21"/>
  <c r="D1251" i="21"/>
  <c r="D1250" i="21"/>
  <c r="D1249" i="21"/>
  <c r="D1248" i="21"/>
  <c r="D1247" i="21"/>
  <c r="D1246" i="21"/>
  <c r="D1245" i="21"/>
  <c r="D1244" i="21"/>
  <c r="D1243" i="21"/>
  <c r="D1242" i="21"/>
  <c r="D1241" i="21"/>
  <c r="D1240" i="21"/>
  <c r="D1239" i="21"/>
  <c r="D1238" i="21"/>
  <c r="D1237" i="21"/>
  <c r="D1236" i="21"/>
  <c r="D1235" i="21"/>
  <c r="D1234" i="21"/>
  <c r="D1233" i="21"/>
  <c r="D1232" i="21"/>
  <c r="D1231" i="21"/>
  <c r="D1230" i="21"/>
  <c r="D1229" i="21"/>
  <c r="D1228" i="21"/>
  <c r="D1227" i="21"/>
  <c r="D1226" i="21"/>
  <c r="D1225" i="21"/>
  <c r="D1224" i="21"/>
  <c r="D1223" i="21"/>
  <c r="D1222" i="21"/>
  <c r="D1221" i="21"/>
  <c r="D1220" i="21"/>
  <c r="D1219" i="21"/>
  <c r="D1218" i="21"/>
  <c r="D1217" i="21"/>
  <c r="D1216" i="21"/>
  <c r="D1215" i="21"/>
  <c r="D1214" i="21"/>
  <c r="D1213" i="21"/>
  <c r="D1212" i="21"/>
  <c r="D1211" i="21"/>
  <c r="D1210" i="21"/>
  <c r="D1209" i="21"/>
  <c r="D1208" i="21"/>
  <c r="D1207" i="21"/>
  <c r="D1206" i="21"/>
  <c r="D1205" i="21"/>
  <c r="D1204" i="21"/>
  <c r="D1203" i="21"/>
  <c r="D1202" i="21"/>
  <c r="D1201" i="21"/>
  <c r="D1200" i="21"/>
  <c r="D1199" i="21"/>
  <c r="D1198" i="21"/>
  <c r="D1197" i="21"/>
  <c r="D1196" i="21"/>
  <c r="D1195" i="21"/>
  <c r="D1194" i="21"/>
  <c r="D1193" i="21"/>
  <c r="D1192" i="21"/>
  <c r="D1191" i="21"/>
  <c r="D1190" i="21"/>
  <c r="D1189" i="21"/>
  <c r="D1188" i="21"/>
  <c r="D1187" i="21"/>
  <c r="D1186" i="21"/>
  <c r="D1185" i="21"/>
  <c r="D1184" i="21"/>
  <c r="D1183" i="21"/>
  <c r="D1182" i="21"/>
  <c r="D1181" i="21"/>
  <c r="D1180" i="21"/>
  <c r="D1179" i="21"/>
  <c r="D1178" i="21"/>
  <c r="D1177" i="21"/>
  <c r="D1176" i="21"/>
  <c r="D1175" i="21"/>
  <c r="D1174" i="21"/>
  <c r="D1173" i="21"/>
  <c r="D1172" i="21"/>
  <c r="D1171" i="21"/>
  <c r="D1170" i="21"/>
  <c r="D1169" i="21"/>
  <c r="D1168" i="21"/>
  <c r="D1167" i="21"/>
  <c r="D1166" i="21"/>
  <c r="D1165" i="21"/>
  <c r="D1164" i="21"/>
  <c r="D1163" i="21"/>
  <c r="D1162" i="21"/>
  <c r="D1161" i="21"/>
  <c r="D1160" i="21"/>
  <c r="D1159" i="21"/>
  <c r="D1158" i="21"/>
  <c r="D1157" i="21"/>
  <c r="D1156" i="21"/>
  <c r="D1155" i="21"/>
  <c r="D1154" i="21"/>
  <c r="D1153" i="21"/>
  <c r="D1152" i="21"/>
  <c r="D1151" i="21"/>
  <c r="D1150" i="21"/>
  <c r="D1149" i="21"/>
  <c r="D1148" i="21"/>
  <c r="D1147" i="21"/>
  <c r="D1146" i="21"/>
  <c r="D1145" i="21"/>
  <c r="D1144" i="21"/>
  <c r="D1143" i="21"/>
  <c r="D1142" i="21"/>
  <c r="D1141" i="21"/>
  <c r="D1140" i="21"/>
  <c r="D1139" i="21"/>
  <c r="D1138" i="21"/>
  <c r="D1137" i="21"/>
  <c r="D1136" i="21"/>
  <c r="D1135" i="21"/>
  <c r="D1134" i="21"/>
  <c r="D1133" i="21"/>
  <c r="D1132" i="21"/>
  <c r="D1131" i="21"/>
  <c r="D1130" i="21"/>
  <c r="D1129" i="21"/>
  <c r="D1128" i="21"/>
  <c r="D1127" i="21"/>
  <c r="D1126" i="21"/>
  <c r="D1125" i="21"/>
  <c r="D1124" i="21"/>
  <c r="D1123" i="21"/>
  <c r="D1122" i="21"/>
  <c r="D1121" i="21"/>
  <c r="D1120" i="21"/>
  <c r="D1119" i="21"/>
  <c r="D1118" i="21"/>
  <c r="D1117" i="21"/>
  <c r="D1116" i="21"/>
  <c r="D1115" i="21"/>
  <c r="D1114" i="21"/>
  <c r="D1113" i="21"/>
  <c r="D1112" i="21"/>
  <c r="D1111" i="21"/>
  <c r="D1110" i="21"/>
  <c r="D1109" i="21"/>
  <c r="D1108" i="21"/>
  <c r="D1107" i="21"/>
  <c r="D1106" i="21"/>
  <c r="D1105" i="21"/>
  <c r="D1104" i="21"/>
  <c r="D1103" i="21"/>
  <c r="D1102" i="21"/>
  <c r="D1101" i="21"/>
  <c r="D1100" i="21"/>
  <c r="D1099" i="21"/>
  <c r="D1098" i="21"/>
  <c r="D1097" i="21"/>
  <c r="D1096" i="21"/>
  <c r="D1095" i="21"/>
  <c r="D1094" i="21"/>
  <c r="D1093" i="21"/>
  <c r="D1092" i="21"/>
  <c r="D1091" i="21"/>
  <c r="D1090" i="21"/>
  <c r="D1089" i="21"/>
  <c r="D1088" i="21"/>
  <c r="D1087" i="21"/>
  <c r="D1086" i="21"/>
  <c r="D1085" i="21"/>
  <c r="D1084" i="21"/>
  <c r="D1083" i="21"/>
  <c r="D1082" i="21"/>
  <c r="D1081" i="21"/>
  <c r="D1080" i="21"/>
  <c r="D1079" i="21"/>
  <c r="D1078" i="21"/>
  <c r="D1077" i="21"/>
  <c r="D1076" i="21"/>
  <c r="D1075" i="21"/>
  <c r="D1074" i="21"/>
  <c r="D1073" i="21"/>
  <c r="D1072" i="21"/>
  <c r="D1071" i="21"/>
  <c r="D1070" i="21"/>
  <c r="D1069" i="21"/>
  <c r="D1068" i="21"/>
  <c r="D1067" i="21"/>
  <c r="D1066" i="21"/>
  <c r="D1065" i="21"/>
  <c r="D1064" i="21"/>
  <c r="D1063" i="21"/>
  <c r="D1062" i="21"/>
  <c r="D1061" i="21"/>
  <c r="D1060" i="21"/>
  <c r="D1059" i="21"/>
  <c r="D1058" i="21"/>
  <c r="D1057" i="21"/>
  <c r="D1056" i="21"/>
  <c r="D1055" i="21"/>
  <c r="D1054" i="21"/>
  <c r="D1053" i="21"/>
  <c r="D1052" i="21"/>
  <c r="D1051" i="21"/>
  <c r="D1050" i="21"/>
  <c r="D1049" i="21"/>
  <c r="D1048" i="21"/>
  <c r="D1047" i="21"/>
  <c r="D1046" i="21"/>
  <c r="D1045" i="21"/>
  <c r="D1044" i="21"/>
  <c r="D1043" i="21"/>
  <c r="D1042" i="21"/>
  <c r="D1041" i="21"/>
  <c r="D1040" i="21"/>
  <c r="D1039" i="21"/>
  <c r="D1038" i="21"/>
  <c r="D1037" i="21"/>
  <c r="D1036" i="21"/>
  <c r="D1035" i="21"/>
  <c r="D1034" i="21"/>
  <c r="D1033" i="21"/>
  <c r="D1032" i="21"/>
  <c r="D1031" i="21"/>
  <c r="D1030" i="21"/>
  <c r="D1029" i="21"/>
  <c r="D1028" i="21"/>
  <c r="D1027" i="21"/>
  <c r="D1026" i="21"/>
  <c r="D1025" i="21"/>
  <c r="D1024" i="21"/>
  <c r="D1023" i="21"/>
  <c r="D1022" i="21"/>
  <c r="D1021" i="21"/>
  <c r="D1020" i="21"/>
  <c r="D1019" i="21"/>
  <c r="D1018" i="21"/>
  <c r="D1017" i="21"/>
  <c r="D1016" i="21"/>
  <c r="D1015" i="21"/>
  <c r="D1014" i="21"/>
  <c r="D1013" i="21"/>
  <c r="D1012" i="21"/>
  <c r="D1011" i="21"/>
  <c r="D1010" i="21"/>
  <c r="D1009" i="21"/>
  <c r="D1008" i="21"/>
  <c r="D1007" i="21"/>
  <c r="D1006" i="21"/>
  <c r="D1005" i="21"/>
  <c r="D1004" i="21"/>
  <c r="D1003" i="21"/>
  <c r="D1002" i="21"/>
  <c r="D1001" i="21"/>
  <c r="D1000" i="21"/>
  <c r="D999" i="21"/>
  <c r="D998" i="21"/>
  <c r="D997" i="21"/>
  <c r="D996" i="21"/>
  <c r="D995" i="21"/>
  <c r="D994" i="21"/>
  <c r="D993" i="21"/>
  <c r="D992" i="21"/>
  <c r="D991" i="21"/>
  <c r="D990" i="21"/>
  <c r="D989" i="21"/>
  <c r="D988" i="21"/>
  <c r="D987" i="21"/>
  <c r="D986" i="21"/>
  <c r="D985" i="21"/>
  <c r="D984" i="21"/>
  <c r="D983" i="21"/>
  <c r="D982" i="21"/>
  <c r="D981" i="21"/>
  <c r="D980" i="21"/>
  <c r="D979" i="21"/>
  <c r="D978" i="21"/>
  <c r="D977" i="21"/>
  <c r="D976" i="21"/>
  <c r="D975" i="21"/>
  <c r="D974" i="21"/>
  <c r="D973" i="21"/>
  <c r="D972" i="21"/>
  <c r="D971" i="21"/>
  <c r="D970" i="21"/>
  <c r="D969" i="21"/>
  <c r="D968" i="21"/>
  <c r="D967" i="21"/>
  <c r="D966" i="21"/>
  <c r="D965" i="21"/>
  <c r="D964" i="21"/>
  <c r="D963" i="21"/>
  <c r="D962" i="21"/>
  <c r="D961" i="21"/>
  <c r="D960" i="21"/>
  <c r="D959" i="21"/>
  <c r="D958" i="21"/>
  <c r="D957" i="21"/>
  <c r="D956" i="21"/>
  <c r="D955" i="21"/>
  <c r="D954" i="21"/>
  <c r="D953" i="21"/>
  <c r="D952" i="21"/>
  <c r="D951" i="21"/>
  <c r="D950" i="21"/>
  <c r="D949" i="21"/>
  <c r="D948" i="21"/>
  <c r="D947" i="21"/>
  <c r="D946" i="21"/>
  <c r="D945" i="21"/>
  <c r="D944" i="21"/>
  <c r="D943" i="21"/>
  <c r="D942" i="21"/>
  <c r="D941" i="21"/>
  <c r="D940" i="21"/>
  <c r="D939" i="21"/>
  <c r="D938" i="21"/>
  <c r="D937" i="21"/>
  <c r="D936" i="21"/>
  <c r="D935" i="21"/>
  <c r="D934" i="21"/>
  <c r="D933" i="21"/>
  <c r="D932" i="21"/>
  <c r="D931" i="21"/>
  <c r="D930" i="21"/>
  <c r="D929" i="21"/>
  <c r="D928" i="21"/>
  <c r="D927" i="21"/>
  <c r="D926" i="21"/>
  <c r="D925" i="21"/>
  <c r="D924" i="21"/>
  <c r="D923" i="21"/>
  <c r="D922" i="21"/>
  <c r="D921" i="21"/>
  <c r="D920" i="21"/>
  <c r="D919" i="21"/>
  <c r="D918" i="21"/>
  <c r="D917" i="21"/>
  <c r="D916" i="21"/>
  <c r="D915" i="21"/>
  <c r="D914" i="21"/>
  <c r="D913" i="21"/>
  <c r="D912" i="21"/>
  <c r="D911" i="21"/>
  <c r="D910" i="21"/>
  <c r="D909" i="21"/>
  <c r="D908" i="21"/>
  <c r="D907" i="21"/>
  <c r="D906" i="21"/>
  <c r="D905" i="21"/>
  <c r="D904" i="21"/>
  <c r="D903" i="21"/>
  <c r="D902" i="21"/>
  <c r="D901" i="21"/>
  <c r="D900" i="21"/>
  <c r="D899" i="21"/>
  <c r="D898" i="21"/>
  <c r="D897" i="21"/>
  <c r="D896" i="21"/>
  <c r="D895" i="21"/>
  <c r="D894" i="21"/>
  <c r="D893" i="21"/>
  <c r="D892" i="21"/>
  <c r="D891" i="21"/>
  <c r="D890" i="21"/>
  <c r="D889" i="21"/>
  <c r="D888" i="21"/>
  <c r="D887" i="21"/>
  <c r="D886" i="21"/>
  <c r="D885" i="21"/>
  <c r="D884" i="21"/>
  <c r="D883" i="21"/>
  <c r="D882" i="21"/>
  <c r="D881" i="21"/>
  <c r="D880" i="21"/>
  <c r="D879" i="21"/>
  <c r="D878" i="21"/>
  <c r="D877" i="21"/>
  <c r="D876" i="21"/>
  <c r="D875" i="21"/>
  <c r="D874" i="21"/>
  <c r="D873" i="21"/>
  <c r="D872" i="21"/>
  <c r="D871" i="21"/>
  <c r="D870" i="21"/>
  <c r="D869" i="21"/>
  <c r="D868" i="21"/>
  <c r="D867" i="21"/>
  <c r="D866" i="21"/>
  <c r="D865" i="21"/>
  <c r="D864" i="21"/>
  <c r="D863" i="21"/>
  <c r="D862" i="21"/>
  <c r="D861" i="21"/>
  <c r="D860" i="21"/>
  <c r="D859" i="21"/>
  <c r="D858" i="21"/>
  <c r="D857" i="21"/>
  <c r="D856" i="21"/>
  <c r="D855" i="21"/>
  <c r="D854" i="21"/>
  <c r="D853" i="21"/>
  <c r="D852" i="21"/>
  <c r="D851" i="21"/>
  <c r="D850" i="21"/>
  <c r="D849" i="21"/>
  <c r="D848" i="21"/>
  <c r="D847" i="21"/>
  <c r="D846" i="21"/>
  <c r="D845" i="21"/>
  <c r="D844" i="21"/>
  <c r="D843" i="21"/>
  <c r="D842" i="21"/>
  <c r="D841" i="21"/>
  <c r="D840" i="21"/>
  <c r="D839" i="21"/>
  <c r="D838" i="21"/>
  <c r="D837" i="21"/>
  <c r="D836" i="21"/>
  <c r="D835" i="21"/>
  <c r="D834" i="21"/>
  <c r="D833" i="21"/>
  <c r="D832" i="21"/>
  <c r="D831" i="21"/>
  <c r="D830" i="21"/>
  <c r="D829" i="21"/>
  <c r="D828" i="21"/>
  <c r="D827" i="21"/>
  <c r="D826" i="21"/>
  <c r="D825" i="21"/>
  <c r="D824" i="21"/>
  <c r="D823" i="21"/>
  <c r="D822" i="21"/>
  <c r="D821" i="21"/>
  <c r="D820" i="21"/>
  <c r="D819" i="21"/>
  <c r="D818" i="21"/>
  <c r="D817" i="21"/>
  <c r="D816" i="21"/>
  <c r="D815" i="21"/>
  <c r="D814" i="21"/>
  <c r="D813" i="21"/>
  <c r="D812" i="21"/>
  <c r="D811" i="21"/>
  <c r="D810" i="21"/>
  <c r="D809" i="21"/>
  <c r="D808" i="21"/>
  <c r="D807" i="21"/>
  <c r="D806" i="21"/>
  <c r="D805" i="21"/>
  <c r="D804" i="21"/>
  <c r="D803" i="21"/>
  <c r="D802" i="21"/>
  <c r="D801" i="21"/>
  <c r="D800" i="21"/>
  <c r="D799" i="21"/>
  <c r="D798" i="21"/>
  <c r="D797" i="21"/>
  <c r="D796" i="21"/>
  <c r="D795" i="21"/>
  <c r="D794" i="21"/>
  <c r="D793" i="21"/>
  <c r="D792" i="21"/>
  <c r="D791" i="21"/>
  <c r="D790" i="21"/>
  <c r="D789" i="21"/>
  <c r="D788" i="21"/>
  <c r="D787" i="21"/>
  <c r="D786" i="21"/>
  <c r="D785" i="21"/>
  <c r="D784" i="21"/>
  <c r="D783" i="21"/>
  <c r="D782" i="21"/>
  <c r="D781" i="21"/>
  <c r="D780" i="21"/>
  <c r="D779" i="21"/>
  <c r="D778" i="21"/>
  <c r="D777" i="21"/>
  <c r="D776" i="21"/>
  <c r="D775" i="21"/>
  <c r="D774" i="21"/>
  <c r="D773" i="21"/>
  <c r="D772" i="21"/>
  <c r="D771" i="21"/>
  <c r="D770" i="21"/>
  <c r="D769" i="21"/>
  <c r="D768" i="21"/>
  <c r="D767" i="21"/>
  <c r="D766" i="21"/>
  <c r="D765" i="21"/>
  <c r="D764" i="21"/>
  <c r="D763" i="21"/>
  <c r="D762" i="21"/>
  <c r="D761" i="21"/>
  <c r="D760" i="21"/>
  <c r="D759" i="21"/>
  <c r="D758" i="21"/>
  <c r="D757" i="21"/>
  <c r="D756" i="21"/>
  <c r="D755" i="21"/>
  <c r="D754" i="21"/>
  <c r="D753" i="21"/>
  <c r="D752" i="21"/>
  <c r="D751" i="21"/>
  <c r="D750" i="21"/>
  <c r="D749" i="21"/>
  <c r="D748" i="21"/>
  <c r="D747" i="21"/>
  <c r="D746" i="21"/>
  <c r="D745" i="21"/>
  <c r="D744" i="21"/>
  <c r="D743" i="21"/>
  <c r="D742" i="21"/>
  <c r="D741" i="21"/>
  <c r="D740" i="21"/>
  <c r="D739" i="21"/>
  <c r="D738" i="21"/>
  <c r="D737" i="21"/>
  <c r="D736" i="21"/>
  <c r="D735" i="21"/>
  <c r="D734" i="21"/>
  <c r="D733" i="21"/>
  <c r="D732" i="21"/>
  <c r="D731" i="21"/>
  <c r="D730" i="21"/>
  <c r="D729" i="21"/>
  <c r="D728" i="21"/>
  <c r="D727" i="21"/>
  <c r="D726" i="21"/>
  <c r="D725" i="21"/>
  <c r="D724" i="21"/>
  <c r="D723" i="21"/>
  <c r="D722" i="21"/>
  <c r="D721" i="21"/>
  <c r="D720" i="21"/>
  <c r="D719" i="21"/>
  <c r="D718" i="21"/>
  <c r="D717" i="21"/>
  <c r="D716" i="21"/>
  <c r="D715" i="21"/>
  <c r="D714" i="21"/>
  <c r="D713" i="21"/>
  <c r="D712" i="21"/>
  <c r="D711" i="21"/>
  <c r="D710" i="21"/>
  <c r="D709" i="21"/>
  <c r="D708" i="21"/>
  <c r="D707" i="21"/>
  <c r="D706" i="21"/>
  <c r="D705" i="21"/>
  <c r="D704" i="21"/>
  <c r="D703" i="21"/>
  <c r="D702" i="21"/>
  <c r="D701" i="21"/>
  <c r="D700" i="21"/>
  <c r="D699" i="21"/>
  <c r="D698" i="21"/>
  <c r="D697" i="21"/>
  <c r="D696" i="21"/>
  <c r="D695" i="21"/>
  <c r="D694" i="21"/>
  <c r="D693" i="21"/>
  <c r="D692" i="21"/>
  <c r="D691" i="21"/>
  <c r="D690" i="21"/>
  <c r="D689" i="21"/>
  <c r="D688" i="21"/>
  <c r="D687" i="21"/>
  <c r="D686" i="21"/>
  <c r="D685" i="21"/>
  <c r="D684" i="21"/>
  <c r="D683" i="21"/>
  <c r="D682" i="21"/>
  <c r="D681" i="21"/>
  <c r="D680" i="21"/>
  <c r="D679" i="21"/>
  <c r="D678" i="21"/>
  <c r="D677" i="21"/>
  <c r="D676" i="21"/>
  <c r="D675" i="21"/>
  <c r="D674" i="21"/>
  <c r="D673" i="21"/>
  <c r="D672" i="21"/>
  <c r="D671" i="21"/>
  <c r="D670" i="21"/>
  <c r="D669" i="21"/>
  <c r="D668" i="21"/>
  <c r="D667" i="21"/>
  <c r="D666" i="21"/>
  <c r="D665" i="21"/>
  <c r="D664" i="21"/>
  <c r="D663" i="21"/>
  <c r="D662" i="21"/>
  <c r="D661" i="21"/>
  <c r="D660" i="21"/>
  <c r="D659" i="21"/>
  <c r="D658" i="21"/>
  <c r="D657" i="21"/>
  <c r="D656" i="21"/>
  <c r="D655" i="21"/>
  <c r="D654" i="21"/>
  <c r="D653" i="21"/>
  <c r="D652" i="21"/>
  <c r="D651" i="21"/>
  <c r="D650" i="21"/>
  <c r="D649" i="21"/>
  <c r="D648" i="21"/>
  <c r="D647" i="21"/>
  <c r="D646" i="21"/>
  <c r="D645" i="21"/>
  <c r="D644" i="21"/>
  <c r="D643" i="21"/>
  <c r="D642" i="21"/>
  <c r="D641" i="21"/>
  <c r="D640" i="21"/>
  <c r="D639" i="21"/>
  <c r="D638" i="21"/>
  <c r="D637" i="21"/>
  <c r="D636" i="21"/>
  <c r="D635" i="21"/>
  <c r="D634" i="21"/>
  <c r="D633" i="21"/>
  <c r="D632" i="21"/>
  <c r="D631" i="21"/>
  <c r="D630" i="21"/>
  <c r="D629" i="21"/>
  <c r="D628" i="21"/>
  <c r="D627" i="21"/>
  <c r="D626" i="21"/>
  <c r="D625" i="21"/>
  <c r="D624" i="21"/>
  <c r="D623" i="21"/>
  <c r="D622" i="21"/>
  <c r="D621" i="21"/>
  <c r="D620" i="21"/>
  <c r="D619" i="21"/>
  <c r="D618" i="21"/>
  <c r="D617" i="21"/>
  <c r="D616" i="21"/>
  <c r="D615" i="21"/>
  <c r="D614" i="21"/>
  <c r="D613" i="21"/>
  <c r="D612" i="21"/>
  <c r="D611" i="21"/>
  <c r="D610" i="21"/>
  <c r="D609" i="21"/>
  <c r="D608" i="21"/>
  <c r="D607" i="21"/>
  <c r="D606" i="21"/>
  <c r="D605" i="21"/>
  <c r="D604" i="21"/>
  <c r="D603" i="21"/>
  <c r="D602" i="21"/>
  <c r="D601" i="21"/>
  <c r="D600" i="21"/>
  <c r="D599" i="21"/>
  <c r="D598" i="21"/>
  <c r="D597" i="21"/>
  <c r="D596" i="21"/>
  <c r="D595" i="21"/>
  <c r="D594" i="21"/>
  <c r="D593" i="21"/>
  <c r="D592" i="21"/>
  <c r="D591" i="21"/>
  <c r="D590" i="21"/>
  <c r="D589" i="21"/>
  <c r="D588" i="21"/>
  <c r="D587" i="21"/>
  <c r="D586" i="21"/>
  <c r="D585" i="21"/>
  <c r="D584" i="21"/>
  <c r="D583" i="21"/>
  <c r="D582" i="21"/>
  <c r="D581" i="21"/>
  <c r="D580" i="21"/>
  <c r="D579" i="21"/>
  <c r="D578" i="21"/>
  <c r="D577" i="21"/>
  <c r="D576" i="21"/>
  <c r="D575" i="21"/>
  <c r="D574" i="21"/>
  <c r="D573" i="21"/>
  <c r="D572" i="21"/>
  <c r="D571" i="21"/>
  <c r="D570" i="21"/>
  <c r="D569" i="21"/>
  <c r="D568" i="21"/>
  <c r="D567" i="21"/>
  <c r="D566" i="21"/>
  <c r="D565" i="21"/>
  <c r="D564" i="21"/>
  <c r="D563" i="21"/>
  <c r="D562" i="21"/>
  <c r="D561" i="21"/>
  <c r="D560" i="21"/>
  <c r="D559" i="21"/>
  <c r="D558" i="21"/>
  <c r="D557" i="21"/>
  <c r="D556" i="21"/>
  <c r="D555" i="21"/>
  <c r="D554" i="21"/>
  <c r="D553" i="21"/>
  <c r="D552" i="21"/>
  <c r="D551" i="21"/>
  <c r="D550" i="21"/>
  <c r="D549" i="21"/>
  <c r="D548" i="21"/>
  <c r="D547" i="21"/>
  <c r="D546" i="21"/>
  <c r="D545" i="21"/>
  <c r="D544" i="21"/>
  <c r="D543" i="21"/>
  <c r="D542" i="21"/>
  <c r="D541" i="21"/>
  <c r="D540" i="21"/>
  <c r="D539" i="21"/>
  <c r="D538" i="21"/>
  <c r="D537" i="21"/>
  <c r="D536" i="21"/>
  <c r="D535" i="21"/>
  <c r="D534" i="21"/>
  <c r="D533" i="21"/>
  <c r="D532" i="21"/>
  <c r="D531" i="21"/>
  <c r="D530" i="21"/>
  <c r="D529" i="21"/>
  <c r="D528" i="21"/>
  <c r="D527" i="21"/>
  <c r="D526" i="21"/>
  <c r="D525" i="21"/>
  <c r="D524" i="21"/>
  <c r="D523" i="21"/>
  <c r="D522" i="21"/>
  <c r="D521" i="21"/>
  <c r="D520" i="21"/>
  <c r="D519" i="21"/>
  <c r="D518" i="21"/>
  <c r="D517" i="21"/>
  <c r="D516" i="21"/>
  <c r="D515" i="21"/>
  <c r="D514" i="21"/>
  <c r="D513" i="21"/>
  <c r="D512" i="21"/>
  <c r="D511" i="21"/>
  <c r="D510" i="21"/>
  <c r="D509" i="21"/>
  <c r="D508" i="21"/>
  <c r="D507" i="21"/>
  <c r="D506" i="21"/>
  <c r="D505" i="21"/>
  <c r="D504" i="21"/>
  <c r="D503" i="21"/>
  <c r="D502" i="21"/>
  <c r="D501" i="21"/>
  <c r="D500" i="21"/>
  <c r="D499" i="21"/>
  <c r="D498" i="21"/>
  <c r="D497" i="21"/>
  <c r="D496" i="21"/>
  <c r="D495" i="21"/>
  <c r="D494" i="21"/>
  <c r="D493" i="21"/>
  <c r="D492" i="21"/>
  <c r="D491" i="21"/>
  <c r="D490" i="21"/>
  <c r="D489" i="21"/>
  <c r="D488" i="21"/>
  <c r="D487" i="21"/>
  <c r="D486" i="21"/>
  <c r="D485" i="21"/>
  <c r="D484" i="21"/>
  <c r="D483" i="21"/>
  <c r="D482" i="21"/>
  <c r="D481" i="21"/>
  <c r="D480" i="21"/>
  <c r="D479" i="21"/>
  <c r="D478" i="21"/>
  <c r="D477" i="21"/>
  <c r="D476" i="21"/>
  <c r="D475" i="21"/>
  <c r="D474" i="21"/>
  <c r="D473" i="21"/>
  <c r="D472" i="21"/>
  <c r="D471" i="21"/>
  <c r="D470" i="21"/>
  <c r="D469" i="21"/>
  <c r="D468" i="21"/>
  <c r="D467" i="21"/>
  <c r="D466" i="21"/>
  <c r="D465" i="21"/>
  <c r="D464" i="21"/>
  <c r="D463" i="21"/>
  <c r="D462" i="21"/>
  <c r="D461" i="21"/>
  <c r="D460" i="21"/>
  <c r="D459" i="21"/>
  <c r="D458" i="21"/>
  <c r="D457" i="21"/>
  <c r="D456" i="21"/>
  <c r="D455" i="21"/>
  <c r="D454" i="21"/>
  <c r="D453" i="21"/>
  <c r="D452" i="21"/>
  <c r="D451" i="21"/>
  <c r="D450" i="21"/>
  <c r="D449" i="21"/>
  <c r="D448" i="21"/>
  <c r="D447" i="21"/>
  <c r="D446" i="21"/>
  <c r="D445" i="21"/>
  <c r="D444" i="21"/>
  <c r="D443" i="21"/>
  <c r="D442" i="21"/>
  <c r="D441" i="21"/>
  <c r="D440" i="21"/>
  <c r="D439" i="21"/>
  <c r="D438" i="21"/>
  <c r="D437" i="21"/>
  <c r="D436" i="21"/>
  <c r="D435" i="21"/>
  <c r="D434" i="21"/>
  <c r="D433" i="21"/>
  <c r="D432" i="21"/>
  <c r="D431" i="21"/>
  <c r="D430" i="21"/>
  <c r="D429" i="21"/>
  <c r="D428" i="21"/>
  <c r="D427" i="21"/>
  <c r="D426" i="21"/>
  <c r="D425" i="21"/>
  <c r="D424" i="21"/>
  <c r="D423" i="21"/>
  <c r="D422" i="21"/>
  <c r="D421" i="21"/>
  <c r="D420" i="21"/>
  <c r="D419" i="21"/>
  <c r="D418" i="21"/>
  <c r="D417" i="21"/>
  <c r="D416" i="21"/>
  <c r="D415" i="21"/>
  <c r="D414" i="21"/>
  <c r="D413" i="21"/>
  <c r="D412" i="21"/>
  <c r="D411" i="21"/>
  <c r="D410" i="21"/>
  <c r="D409" i="21"/>
  <c r="D408" i="21"/>
  <c r="D407" i="21"/>
  <c r="D406" i="21"/>
  <c r="D405" i="21"/>
  <c r="D404" i="21"/>
  <c r="D403" i="21"/>
  <c r="D402" i="21"/>
  <c r="D401" i="21"/>
  <c r="D400" i="21"/>
  <c r="D399" i="21"/>
  <c r="D398" i="21"/>
  <c r="D397" i="21"/>
  <c r="D396" i="21"/>
  <c r="D395" i="21"/>
  <c r="D394" i="21"/>
  <c r="D393" i="21"/>
  <c r="D392" i="21"/>
  <c r="D391" i="21"/>
  <c r="D390" i="21"/>
  <c r="D389" i="21"/>
  <c r="D388" i="21"/>
  <c r="D387" i="21"/>
  <c r="D386" i="21"/>
  <c r="D385" i="21"/>
  <c r="D384" i="21"/>
  <c r="D383" i="21"/>
  <c r="D382" i="21"/>
  <c r="D381" i="21"/>
  <c r="D380" i="21"/>
  <c r="D379" i="21"/>
  <c r="D378" i="21"/>
  <c r="D377" i="21"/>
  <c r="D376" i="21"/>
  <c r="D375" i="21"/>
  <c r="D374" i="21"/>
  <c r="D373" i="21"/>
  <c r="D372" i="21"/>
  <c r="D371" i="21"/>
  <c r="D370" i="21"/>
  <c r="D369" i="21"/>
  <c r="D368" i="21"/>
  <c r="D367" i="21"/>
  <c r="D366" i="21"/>
  <c r="D365" i="21"/>
  <c r="D364" i="21"/>
  <c r="D363" i="21"/>
  <c r="D362" i="21"/>
  <c r="D361" i="21"/>
  <c r="D360" i="21"/>
  <c r="D359" i="21"/>
  <c r="D358" i="21"/>
  <c r="D357" i="21"/>
  <c r="D356" i="21"/>
  <c r="D355" i="21"/>
  <c r="D354" i="21"/>
  <c r="D353" i="21"/>
  <c r="D352" i="21"/>
  <c r="D351" i="21"/>
  <c r="D350" i="21"/>
  <c r="D349" i="21"/>
  <c r="D348" i="21"/>
  <c r="D347" i="21"/>
  <c r="D346" i="21"/>
  <c r="D345" i="21"/>
  <c r="D344" i="21"/>
  <c r="D343" i="21"/>
  <c r="D342" i="21"/>
  <c r="D341" i="21"/>
  <c r="D340" i="21"/>
  <c r="D339" i="21"/>
  <c r="D338" i="21"/>
  <c r="D337" i="21"/>
  <c r="D336" i="21"/>
  <c r="D335" i="21"/>
  <c r="D334" i="21"/>
  <c r="D333" i="21"/>
  <c r="D332" i="21"/>
  <c r="D331" i="21"/>
  <c r="D330" i="21"/>
  <c r="D329" i="21"/>
  <c r="D328" i="21"/>
  <c r="D327" i="21"/>
  <c r="D326" i="21"/>
  <c r="D325" i="21"/>
  <c r="D324" i="21"/>
  <c r="D323" i="21"/>
  <c r="D322" i="21"/>
  <c r="D321" i="21"/>
  <c r="D320" i="21"/>
  <c r="D319" i="21"/>
  <c r="D318" i="21"/>
  <c r="D317" i="21"/>
  <c r="D316" i="21"/>
  <c r="D315" i="21"/>
  <c r="D314" i="21"/>
  <c r="D313" i="21"/>
  <c r="D312" i="21"/>
  <c r="D311" i="21"/>
  <c r="D310" i="21"/>
  <c r="D309" i="21"/>
  <c r="D308" i="21"/>
  <c r="D307" i="21"/>
  <c r="D306" i="21"/>
  <c r="D305" i="21"/>
  <c r="D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15" i="17" l="1"/>
  <c r="C15" i="17"/>
  <c r="F15" i="17"/>
  <c r="B15" i="17"/>
  <c r="S1" i="21"/>
  <c r="E15" i="17"/>
  <c r="F2" i="18"/>
  <c r="F8" i="18" s="1"/>
  <c r="E2" i="18"/>
  <c r="E8" i="18" s="1"/>
  <c r="D2" i="18"/>
  <c r="D8" i="18" s="1"/>
  <c r="C2" i="18"/>
  <c r="C8" i="18" s="1"/>
  <c r="B2" i="18"/>
  <c r="F3" i="18"/>
  <c r="F4" i="18" s="1"/>
  <c r="E3" i="18"/>
  <c r="E4" i="18" s="1"/>
  <c r="D3" i="18"/>
  <c r="D4" i="18" s="1"/>
  <c r="C3" i="18"/>
  <c r="C4" i="18" s="1"/>
  <c r="B3" i="18"/>
  <c r="B4" i="18" s="1"/>
  <c r="D61" i="10"/>
  <c r="D62" i="10"/>
  <c r="G18" i="17"/>
  <c r="B9" i="17"/>
  <c r="F7" i="17"/>
  <c r="E7" i="17"/>
  <c r="D7" i="17"/>
  <c r="C7" i="17"/>
  <c r="B7" i="17"/>
  <c r="C62" i="10"/>
  <c r="F4" i="17"/>
  <c r="F6" i="17" s="1"/>
  <c r="E4" i="17"/>
  <c r="E6" i="17" s="1"/>
  <c r="D4" i="17"/>
  <c r="D6" i="17" s="1"/>
  <c r="C4" i="17"/>
  <c r="C6" i="17" s="1"/>
  <c r="B4" i="17"/>
  <c r="F3" i="17"/>
  <c r="F18" i="17" s="1"/>
  <c r="F19" i="17" s="1"/>
  <c r="E3" i="17"/>
  <c r="E18" i="17" s="1"/>
  <c r="E19" i="17" s="1"/>
  <c r="D3" i="17"/>
  <c r="D18" i="17" s="1"/>
  <c r="D19" i="17" s="1"/>
  <c r="C3" i="17"/>
  <c r="C18" i="17" s="1"/>
  <c r="C19" i="17" s="1"/>
  <c r="B3" i="17"/>
  <c r="B18" i="17" s="1"/>
  <c r="B19" i="17" s="1"/>
  <c r="G15" i="17" l="1"/>
  <c r="E9" i="18"/>
  <c r="C9" i="18"/>
  <c r="F9" i="18"/>
  <c r="D9" i="18"/>
  <c r="B6" i="17"/>
  <c r="C11" i="18" l="1"/>
  <c r="C10" i="18"/>
  <c r="D11" i="18"/>
  <c r="D10" i="18"/>
  <c r="F11" i="18"/>
  <c r="F10" i="18"/>
  <c r="E11" i="18"/>
  <c r="E10" i="18"/>
  <c r="N1" i="13" l="1"/>
  <c r="R1" i="21"/>
  <c r="O1348" i="21"/>
  <c r="N1348" i="21"/>
  <c r="O1347" i="21"/>
  <c r="N1347" i="21"/>
  <c r="P1347" i="21" s="1"/>
  <c r="O1346" i="21"/>
  <c r="N1346" i="21"/>
  <c r="O1345" i="21"/>
  <c r="N1345" i="21"/>
  <c r="O1344" i="21"/>
  <c r="N1344" i="21"/>
  <c r="O1343" i="21"/>
  <c r="N1343" i="21"/>
  <c r="O1342" i="21"/>
  <c r="N1342" i="21"/>
  <c r="O1341" i="21"/>
  <c r="N1341" i="21"/>
  <c r="P1341" i="21" s="1"/>
  <c r="O1340" i="21"/>
  <c r="N1340" i="21"/>
  <c r="O1339" i="21"/>
  <c r="N1339" i="21"/>
  <c r="O1338" i="21"/>
  <c r="N1338" i="21"/>
  <c r="O1337" i="21"/>
  <c r="N1337" i="21"/>
  <c r="O1336" i="21"/>
  <c r="N1336" i="21"/>
  <c r="O1335" i="21"/>
  <c r="N1335" i="21"/>
  <c r="O1334" i="21"/>
  <c r="N1334" i="21"/>
  <c r="O1333" i="21"/>
  <c r="N1333" i="21"/>
  <c r="O1332" i="21"/>
  <c r="N1332" i="21"/>
  <c r="O1331" i="21"/>
  <c r="N1331" i="21"/>
  <c r="P1331" i="21" s="1"/>
  <c r="O1330" i="21"/>
  <c r="N1330" i="21"/>
  <c r="O1329" i="21"/>
  <c r="N1329" i="21"/>
  <c r="O1328" i="21"/>
  <c r="N1328" i="21"/>
  <c r="O1327" i="21"/>
  <c r="N1327" i="21"/>
  <c r="O1326" i="21"/>
  <c r="N1326" i="21"/>
  <c r="O1325" i="21"/>
  <c r="N1325" i="21"/>
  <c r="O1324" i="21"/>
  <c r="N1324" i="21"/>
  <c r="O1323" i="21"/>
  <c r="N1323" i="21"/>
  <c r="O1322" i="21"/>
  <c r="N1322" i="21"/>
  <c r="O1321" i="21"/>
  <c r="N1321" i="21"/>
  <c r="O1320" i="21"/>
  <c r="N1320" i="21"/>
  <c r="O1319" i="21"/>
  <c r="N1319" i="21"/>
  <c r="O1318" i="21"/>
  <c r="N1318" i="21"/>
  <c r="O1317" i="21"/>
  <c r="N1317" i="21"/>
  <c r="P1317" i="21" s="1"/>
  <c r="O1316" i="21"/>
  <c r="N1316" i="21"/>
  <c r="O1315" i="21"/>
  <c r="N1315" i="21"/>
  <c r="O1314" i="21"/>
  <c r="N1314" i="21"/>
  <c r="O1313" i="21"/>
  <c r="N1313" i="21"/>
  <c r="O1312" i="21"/>
  <c r="N1312" i="21"/>
  <c r="O1311" i="21"/>
  <c r="N1311" i="21"/>
  <c r="P1311" i="21" s="1"/>
  <c r="O1310" i="21"/>
  <c r="N1310" i="21"/>
  <c r="O1309" i="21"/>
  <c r="N1309" i="21"/>
  <c r="O1308" i="21"/>
  <c r="N1308" i="21"/>
  <c r="O1307" i="21"/>
  <c r="N1307" i="21"/>
  <c r="O1306" i="21"/>
  <c r="N1306" i="21"/>
  <c r="O1305" i="21"/>
  <c r="N1305" i="21"/>
  <c r="O1304" i="21"/>
  <c r="N1304" i="21"/>
  <c r="O1303" i="21"/>
  <c r="N1303" i="21"/>
  <c r="P1303" i="21" s="1"/>
  <c r="O1302" i="21"/>
  <c r="N1302" i="21"/>
  <c r="O1301" i="21"/>
  <c r="N1301" i="21"/>
  <c r="O1300" i="21"/>
  <c r="N1300" i="21"/>
  <c r="O1299" i="21"/>
  <c r="N1299" i="21"/>
  <c r="P1299" i="21" s="1"/>
  <c r="O1298" i="21"/>
  <c r="N1298" i="21"/>
  <c r="O1297" i="21"/>
  <c r="N1297" i="21"/>
  <c r="O1296" i="21"/>
  <c r="N1296" i="21"/>
  <c r="O1295" i="21"/>
  <c r="N1295" i="21"/>
  <c r="O1294" i="21"/>
  <c r="N1294" i="21"/>
  <c r="O1293" i="21"/>
  <c r="N1293" i="21"/>
  <c r="P1293" i="21" s="1"/>
  <c r="O1292" i="21"/>
  <c r="N1292" i="21"/>
  <c r="O1291" i="21"/>
  <c r="N1291" i="21"/>
  <c r="P1291" i="21" s="1"/>
  <c r="O1290" i="21"/>
  <c r="N1290" i="21"/>
  <c r="O1289" i="21"/>
  <c r="N1289" i="21"/>
  <c r="O1288" i="21"/>
  <c r="N1288" i="21"/>
  <c r="O1287" i="21"/>
  <c r="N1287" i="21"/>
  <c r="O1286" i="21"/>
  <c r="N1286" i="21"/>
  <c r="O1285" i="21"/>
  <c r="N1285" i="21"/>
  <c r="P1285" i="21" s="1"/>
  <c r="O1284" i="21"/>
  <c r="N1284" i="21"/>
  <c r="O1283" i="21"/>
  <c r="N1283" i="21"/>
  <c r="O1282" i="21"/>
  <c r="N1282" i="21"/>
  <c r="O1281" i="21"/>
  <c r="N1281" i="21"/>
  <c r="O1280" i="21"/>
  <c r="N1280" i="21"/>
  <c r="O1279" i="21"/>
  <c r="N1279" i="21"/>
  <c r="P1279" i="21" s="1"/>
  <c r="O1278" i="21"/>
  <c r="N1278" i="21"/>
  <c r="O1277" i="21"/>
  <c r="N1277" i="21"/>
  <c r="O1276" i="21"/>
  <c r="N1276" i="21"/>
  <c r="O1275" i="21"/>
  <c r="N1275" i="21"/>
  <c r="P1275" i="21" s="1"/>
  <c r="O1274" i="21"/>
  <c r="N1274" i="21"/>
  <c r="O1273" i="21"/>
  <c r="N1273" i="21"/>
  <c r="P1273" i="21" s="1"/>
  <c r="O1272" i="21"/>
  <c r="N1272" i="21"/>
  <c r="O1271" i="21"/>
  <c r="N1271" i="21"/>
  <c r="O1270" i="21"/>
  <c r="N1270" i="21"/>
  <c r="O1269" i="21"/>
  <c r="N1269" i="21"/>
  <c r="O1268" i="21"/>
  <c r="N1268" i="21"/>
  <c r="O1267" i="21"/>
  <c r="N1267" i="21"/>
  <c r="O1266" i="21"/>
  <c r="N1266" i="21"/>
  <c r="P1266" i="21" s="1"/>
  <c r="O1265" i="21"/>
  <c r="N1265" i="21"/>
  <c r="O1264" i="21"/>
  <c r="N1264" i="21"/>
  <c r="O1263" i="21"/>
  <c r="N1263" i="21"/>
  <c r="O1262" i="21"/>
  <c r="N1262" i="21"/>
  <c r="O1261" i="21"/>
  <c r="N1261" i="21"/>
  <c r="O1260" i="21"/>
  <c r="N1260" i="21"/>
  <c r="O1259" i="21"/>
  <c r="N1259" i="21"/>
  <c r="O1258" i="21"/>
  <c r="N1258" i="21"/>
  <c r="O1257" i="21"/>
  <c r="N1257" i="21"/>
  <c r="O1256" i="21"/>
  <c r="N1256" i="21"/>
  <c r="O1255" i="21"/>
  <c r="N1255" i="21"/>
  <c r="O1254" i="21"/>
  <c r="N1254" i="21"/>
  <c r="P1253" i="21"/>
  <c r="P1252" i="21"/>
  <c r="P1251" i="21"/>
  <c r="P1250" i="21"/>
  <c r="P1249" i="21"/>
  <c r="P1248" i="21"/>
  <c r="P1247" i="21"/>
  <c r="P1246" i="21"/>
  <c r="P1245" i="21"/>
  <c r="P1244" i="21"/>
  <c r="P1243" i="21"/>
  <c r="P1242" i="21"/>
  <c r="P1241" i="21"/>
  <c r="P1240" i="21"/>
  <c r="P1239" i="21"/>
  <c r="P1238" i="21"/>
  <c r="P1237" i="21"/>
  <c r="P1236" i="21"/>
  <c r="P1235" i="21"/>
  <c r="P1234" i="21"/>
  <c r="P1233" i="21"/>
  <c r="P1232" i="21"/>
  <c r="P1231" i="21"/>
  <c r="P1230" i="21"/>
  <c r="P1229" i="21"/>
  <c r="P1228" i="21"/>
  <c r="P1227" i="21"/>
  <c r="P1226" i="21"/>
  <c r="P1225" i="21"/>
  <c r="P1224" i="21"/>
  <c r="P1223" i="21"/>
  <c r="P1222" i="21"/>
  <c r="P1221" i="21"/>
  <c r="P1220" i="21"/>
  <c r="P1219" i="21"/>
  <c r="P1218" i="21"/>
  <c r="P1217" i="21"/>
  <c r="P1216" i="21"/>
  <c r="P1215" i="21"/>
  <c r="P1214" i="21"/>
  <c r="P1213" i="21"/>
  <c r="P1212" i="21"/>
  <c r="P1211" i="21"/>
  <c r="P1210" i="21"/>
  <c r="P1209" i="21"/>
  <c r="P1208" i="21"/>
  <c r="P1207" i="21"/>
  <c r="P1206" i="21"/>
  <c r="P1205" i="21"/>
  <c r="P1204" i="21"/>
  <c r="P1203" i="21"/>
  <c r="P1202" i="21"/>
  <c r="P1201" i="21"/>
  <c r="P1200" i="21"/>
  <c r="P1199" i="21"/>
  <c r="P1198" i="21"/>
  <c r="P1197" i="21"/>
  <c r="P1196" i="21"/>
  <c r="P1195" i="21"/>
  <c r="P1194" i="21"/>
  <c r="P1193" i="21"/>
  <c r="P1192" i="21"/>
  <c r="P1191" i="21"/>
  <c r="P1190" i="21"/>
  <c r="P1189" i="21"/>
  <c r="P1188" i="21"/>
  <c r="P1187" i="21"/>
  <c r="P1186" i="21"/>
  <c r="P1185" i="21"/>
  <c r="P1184" i="21"/>
  <c r="P1183" i="21"/>
  <c r="P1182" i="21"/>
  <c r="P1181" i="21"/>
  <c r="P1180" i="21"/>
  <c r="P1179" i="21"/>
  <c r="P1178" i="21"/>
  <c r="P1177" i="21"/>
  <c r="P1176" i="21"/>
  <c r="P1175" i="21"/>
  <c r="P1174" i="21"/>
  <c r="P1173" i="21"/>
  <c r="P1172" i="21"/>
  <c r="P1171" i="21"/>
  <c r="P1170" i="21"/>
  <c r="P1169" i="21"/>
  <c r="P1168" i="21"/>
  <c r="P1167" i="21"/>
  <c r="P1166" i="21"/>
  <c r="P1165" i="21"/>
  <c r="P1164" i="21"/>
  <c r="P1163" i="21"/>
  <c r="P1162" i="21"/>
  <c r="P1161" i="21"/>
  <c r="P1160" i="21"/>
  <c r="P1159" i="21"/>
  <c r="P1158" i="21"/>
  <c r="P1157" i="21"/>
  <c r="P1156" i="21"/>
  <c r="P1155" i="21"/>
  <c r="P1154" i="21"/>
  <c r="P1153" i="21"/>
  <c r="P1152" i="21"/>
  <c r="P1151" i="21"/>
  <c r="P1150" i="21"/>
  <c r="P1149" i="21"/>
  <c r="P1148" i="21"/>
  <c r="P1147" i="21"/>
  <c r="P1146" i="21"/>
  <c r="P1145" i="21"/>
  <c r="P1144" i="21"/>
  <c r="P1143" i="21"/>
  <c r="P1142" i="21"/>
  <c r="P1141" i="21"/>
  <c r="P1140" i="21"/>
  <c r="P1139" i="21"/>
  <c r="P1138" i="21"/>
  <c r="P1137" i="21"/>
  <c r="P1136" i="21"/>
  <c r="P1135" i="21"/>
  <c r="P1134" i="21"/>
  <c r="P1133" i="21"/>
  <c r="P1132" i="21"/>
  <c r="P1131" i="21"/>
  <c r="P1130" i="21"/>
  <c r="P1129" i="21"/>
  <c r="P1128" i="21"/>
  <c r="P1127" i="21"/>
  <c r="P1126" i="21"/>
  <c r="P1125" i="21"/>
  <c r="P1124" i="21"/>
  <c r="P1123" i="21"/>
  <c r="P1122" i="21"/>
  <c r="P1121" i="21"/>
  <c r="P1120" i="21"/>
  <c r="P1119" i="21"/>
  <c r="P1118" i="21"/>
  <c r="P1117" i="21"/>
  <c r="P1116" i="21"/>
  <c r="P1115" i="21"/>
  <c r="P1114" i="21"/>
  <c r="P1113" i="21"/>
  <c r="P1112" i="21"/>
  <c r="P1111" i="21"/>
  <c r="P1110" i="21"/>
  <c r="P1109" i="21"/>
  <c r="P1108" i="21"/>
  <c r="P1107" i="21"/>
  <c r="P1106" i="21"/>
  <c r="P1105" i="21"/>
  <c r="P1104" i="21"/>
  <c r="P1103" i="21"/>
  <c r="P1102" i="21"/>
  <c r="P1101" i="21"/>
  <c r="P1100" i="21"/>
  <c r="P1099" i="21"/>
  <c r="P1098" i="21"/>
  <c r="P1097" i="21"/>
  <c r="P1096" i="21"/>
  <c r="P1095" i="21"/>
  <c r="P1094" i="21"/>
  <c r="P1093" i="21"/>
  <c r="P1092" i="21"/>
  <c r="P1091" i="21"/>
  <c r="P1090" i="21"/>
  <c r="P1089" i="21"/>
  <c r="P1088" i="21"/>
  <c r="P1087" i="21"/>
  <c r="P1086" i="21"/>
  <c r="P1085" i="21"/>
  <c r="P1084" i="21"/>
  <c r="P1083" i="21"/>
  <c r="P1082" i="21"/>
  <c r="P1081" i="21"/>
  <c r="P1080" i="21"/>
  <c r="P1079" i="21"/>
  <c r="P1078" i="21"/>
  <c r="P1077" i="21"/>
  <c r="P1076" i="21"/>
  <c r="P1075" i="21"/>
  <c r="P1074" i="21"/>
  <c r="P1073" i="21"/>
  <c r="P1072" i="21"/>
  <c r="P1071" i="21"/>
  <c r="P1070" i="21"/>
  <c r="P1069" i="21"/>
  <c r="P1068" i="21"/>
  <c r="P1067" i="21"/>
  <c r="P1066" i="21"/>
  <c r="P1065" i="21"/>
  <c r="P1064" i="21"/>
  <c r="P1063" i="21"/>
  <c r="P1062" i="21"/>
  <c r="P1061" i="21"/>
  <c r="P1060" i="21"/>
  <c r="P1059" i="21"/>
  <c r="P1058" i="21"/>
  <c r="P1057" i="21"/>
  <c r="P1056" i="21"/>
  <c r="P1055" i="21"/>
  <c r="P1054" i="21"/>
  <c r="P1053" i="21"/>
  <c r="P1052" i="21"/>
  <c r="P1051" i="21"/>
  <c r="P1050" i="21"/>
  <c r="P1049" i="21"/>
  <c r="P1048" i="21"/>
  <c r="P1047" i="21"/>
  <c r="P1046" i="21"/>
  <c r="P1045" i="21"/>
  <c r="P1044" i="21"/>
  <c r="P1043" i="21"/>
  <c r="P1042" i="21"/>
  <c r="P1041" i="21"/>
  <c r="P1040" i="21"/>
  <c r="P1039" i="21"/>
  <c r="P1038" i="21"/>
  <c r="P1037" i="21"/>
  <c r="P1036" i="21"/>
  <c r="P1035" i="21"/>
  <c r="P1034" i="21"/>
  <c r="P1033" i="21"/>
  <c r="P1032" i="21"/>
  <c r="P1031" i="21"/>
  <c r="P1030" i="21"/>
  <c r="P1029" i="21"/>
  <c r="P1028" i="21"/>
  <c r="P1027" i="21"/>
  <c r="P1026" i="21"/>
  <c r="P1025" i="21"/>
  <c r="P1024" i="21"/>
  <c r="P1023" i="21"/>
  <c r="P1022" i="21"/>
  <c r="P1021" i="21"/>
  <c r="P1020" i="21"/>
  <c r="P1019" i="21"/>
  <c r="P1018" i="21"/>
  <c r="P1017" i="21"/>
  <c r="P1016" i="21"/>
  <c r="P1015" i="21"/>
  <c r="P1014" i="21"/>
  <c r="P1013" i="21"/>
  <c r="P1012" i="21"/>
  <c r="P1011" i="21"/>
  <c r="P1010" i="21"/>
  <c r="P1009" i="21"/>
  <c r="P1008" i="21"/>
  <c r="P1007" i="21"/>
  <c r="P1006" i="21"/>
  <c r="P1005" i="21"/>
  <c r="P1004" i="21"/>
  <c r="P1003" i="21"/>
  <c r="P1002" i="21"/>
  <c r="P1001" i="21"/>
  <c r="P1000" i="21"/>
  <c r="P999" i="21"/>
  <c r="P998" i="21"/>
  <c r="P997" i="21"/>
  <c r="P996" i="21"/>
  <c r="P995" i="21"/>
  <c r="P994" i="21"/>
  <c r="P993" i="21"/>
  <c r="P992" i="21"/>
  <c r="P991" i="21"/>
  <c r="P990" i="21"/>
  <c r="P989" i="21"/>
  <c r="P988" i="21"/>
  <c r="P987" i="21"/>
  <c r="P986" i="21"/>
  <c r="P985" i="21"/>
  <c r="P984" i="21"/>
  <c r="P983" i="21"/>
  <c r="P982" i="21"/>
  <c r="P981" i="21"/>
  <c r="P980" i="21"/>
  <c r="P979" i="21"/>
  <c r="P978" i="21"/>
  <c r="P977" i="21"/>
  <c r="P976" i="21"/>
  <c r="P975" i="21"/>
  <c r="P974" i="21"/>
  <c r="P973" i="21"/>
  <c r="P972" i="21"/>
  <c r="P971" i="21"/>
  <c r="P970" i="21"/>
  <c r="P969" i="21"/>
  <c r="P968" i="21"/>
  <c r="P967" i="21"/>
  <c r="P966" i="21"/>
  <c r="P965" i="21"/>
  <c r="P964" i="21"/>
  <c r="P963" i="21"/>
  <c r="P962" i="21"/>
  <c r="P961" i="21"/>
  <c r="P960" i="21"/>
  <c r="P959" i="21"/>
  <c r="P958" i="21"/>
  <c r="P957" i="21"/>
  <c r="P956" i="21"/>
  <c r="P955" i="21"/>
  <c r="P954" i="21"/>
  <c r="P953" i="21"/>
  <c r="P952" i="21"/>
  <c r="P951" i="21"/>
  <c r="P950" i="21"/>
  <c r="P949" i="21"/>
  <c r="P948" i="21"/>
  <c r="P947" i="21"/>
  <c r="P946" i="21"/>
  <c r="P945" i="21"/>
  <c r="P944" i="21"/>
  <c r="P943" i="21"/>
  <c r="P942" i="21"/>
  <c r="P941" i="21"/>
  <c r="P940" i="21"/>
  <c r="P939" i="21"/>
  <c r="P938" i="21"/>
  <c r="P937" i="21"/>
  <c r="P936" i="21"/>
  <c r="P935" i="21"/>
  <c r="P934" i="21"/>
  <c r="P933" i="21"/>
  <c r="P932" i="21"/>
  <c r="P931" i="21"/>
  <c r="P930" i="21"/>
  <c r="P929" i="21"/>
  <c r="P928" i="21"/>
  <c r="P927" i="21"/>
  <c r="P926" i="21"/>
  <c r="P925" i="21"/>
  <c r="P924" i="21"/>
  <c r="P923" i="21"/>
  <c r="P922" i="21"/>
  <c r="P921" i="21"/>
  <c r="P920" i="21"/>
  <c r="P919" i="21"/>
  <c r="P918" i="21"/>
  <c r="P917" i="21"/>
  <c r="P916" i="21"/>
  <c r="P915" i="21"/>
  <c r="P914" i="21"/>
  <c r="P913" i="21"/>
  <c r="P912" i="21"/>
  <c r="P911" i="21"/>
  <c r="P910" i="21"/>
  <c r="P909" i="21"/>
  <c r="P908" i="21"/>
  <c r="P907" i="21"/>
  <c r="P906" i="21"/>
  <c r="P905" i="21"/>
  <c r="P904" i="21"/>
  <c r="P903" i="21"/>
  <c r="P902" i="21"/>
  <c r="P901" i="21"/>
  <c r="P900" i="21"/>
  <c r="P899" i="21"/>
  <c r="P898" i="21"/>
  <c r="P897" i="21"/>
  <c r="P896" i="21"/>
  <c r="P895" i="21"/>
  <c r="P894" i="21"/>
  <c r="P893" i="21"/>
  <c r="P892" i="21"/>
  <c r="P891" i="21"/>
  <c r="P890" i="21"/>
  <c r="P889" i="21"/>
  <c r="P888" i="21"/>
  <c r="P887" i="21"/>
  <c r="P886" i="21"/>
  <c r="P885" i="21"/>
  <c r="P884" i="21"/>
  <c r="P883" i="21"/>
  <c r="P882" i="21"/>
  <c r="P881" i="21"/>
  <c r="P880" i="21"/>
  <c r="P879" i="21"/>
  <c r="P878" i="21"/>
  <c r="P877" i="21"/>
  <c r="P876" i="21"/>
  <c r="P875" i="21"/>
  <c r="P874" i="21"/>
  <c r="P873" i="21"/>
  <c r="P872" i="21"/>
  <c r="P871" i="21"/>
  <c r="P870" i="21"/>
  <c r="P869" i="21"/>
  <c r="P868" i="21"/>
  <c r="O867" i="21"/>
  <c r="N867" i="21"/>
  <c r="O866" i="21"/>
  <c r="N866" i="21"/>
  <c r="P866" i="21" s="1"/>
  <c r="O865" i="21"/>
  <c r="N865" i="21"/>
  <c r="O864" i="21"/>
  <c r="N864" i="21"/>
  <c r="O863" i="21"/>
  <c r="N863" i="21"/>
  <c r="O862" i="21"/>
  <c r="N862" i="21"/>
  <c r="O861" i="21"/>
  <c r="N861" i="21"/>
  <c r="O860" i="21"/>
  <c r="N860" i="21"/>
  <c r="O859" i="21"/>
  <c r="N859" i="21"/>
  <c r="O858" i="21"/>
  <c r="N858" i="21"/>
  <c r="O857" i="21"/>
  <c r="N857" i="21"/>
  <c r="O856" i="21"/>
  <c r="N856" i="21"/>
  <c r="O855" i="21"/>
  <c r="N855" i="21"/>
  <c r="O854" i="21"/>
  <c r="N854" i="21"/>
  <c r="P854" i="21" s="1"/>
  <c r="O853" i="21"/>
  <c r="N853" i="21"/>
  <c r="O852" i="21"/>
  <c r="N852" i="21"/>
  <c r="O851" i="21"/>
  <c r="N851" i="21"/>
  <c r="O850" i="21"/>
  <c r="N850" i="21"/>
  <c r="O849" i="21"/>
  <c r="N849" i="21"/>
  <c r="O848" i="21"/>
  <c r="N848" i="21"/>
  <c r="P848" i="21" s="1"/>
  <c r="O847" i="21"/>
  <c r="N847" i="21"/>
  <c r="O846" i="21"/>
  <c r="N846" i="21"/>
  <c r="O845" i="21"/>
  <c r="N845" i="21"/>
  <c r="O844" i="21"/>
  <c r="N844" i="21"/>
  <c r="O843" i="21"/>
  <c r="N843" i="21"/>
  <c r="O842" i="21"/>
  <c r="N842" i="21"/>
  <c r="O841" i="21"/>
  <c r="N841" i="21"/>
  <c r="O840" i="21"/>
  <c r="N840" i="21"/>
  <c r="O839" i="21"/>
  <c r="N839" i="21"/>
  <c r="P839" i="21" s="1"/>
  <c r="O838" i="21"/>
  <c r="N838" i="21"/>
  <c r="O837" i="21"/>
  <c r="N837" i="21"/>
  <c r="O836" i="21"/>
  <c r="N836" i="21"/>
  <c r="O835" i="21"/>
  <c r="N835" i="21"/>
  <c r="P835" i="21" s="1"/>
  <c r="O834" i="21"/>
  <c r="N834" i="21"/>
  <c r="O833" i="21"/>
  <c r="N833" i="21"/>
  <c r="O832" i="21"/>
  <c r="N832" i="21"/>
  <c r="O831" i="21"/>
  <c r="N831" i="21"/>
  <c r="O830" i="21"/>
  <c r="N830" i="21"/>
  <c r="O829" i="21"/>
  <c r="N829" i="21"/>
  <c r="P829" i="21" s="1"/>
  <c r="O828" i="21"/>
  <c r="N828" i="21"/>
  <c r="O827" i="21"/>
  <c r="N827" i="21"/>
  <c r="P827" i="21" s="1"/>
  <c r="O826" i="21"/>
  <c r="N826" i="21"/>
  <c r="O825" i="21"/>
  <c r="N825" i="21"/>
  <c r="O824" i="21"/>
  <c r="N824" i="21"/>
  <c r="O823" i="21"/>
  <c r="N823" i="21"/>
  <c r="O822" i="21"/>
  <c r="N822" i="21"/>
  <c r="O821" i="21"/>
  <c r="N821" i="21"/>
  <c r="P821" i="21" s="1"/>
  <c r="O820" i="21"/>
  <c r="N820" i="21"/>
  <c r="O819" i="21"/>
  <c r="N819" i="21"/>
  <c r="O818" i="21"/>
  <c r="N818" i="21"/>
  <c r="O817" i="21"/>
  <c r="N817" i="21"/>
  <c r="O816" i="21"/>
  <c r="N816" i="21"/>
  <c r="O815" i="21"/>
  <c r="N815" i="21"/>
  <c r="O814" i="21"/>
  <c r="N814" i="21"/>
  <c r="O813" i="21"/>
  <c r="N813" i="21"/>
  <c r="O812" i="21"/>
  <c r="N812" i="21"/>
  <c r="O811" i="21"/>
  <c r="N811" i="21"/>
  <c r="O810" i="21"/>
  <c r="N810" i="21"/>
  <c r="O809" i="21"/>
  <c r="N809" i="21"/>
  <c r="O808" i="21"/>
  <c r="N808" i="21"/>
  <c r="O807" i="21"/>
  <c r="N807" i="21"/>
  <c r="O806" i="21"/>
  <c r="N806" i="21"/>
  <c r="O805" i="21"/>
  <c r="N805" i="21"/>
  <c r="O804" i="21"/>
  <c r="N804" i="21"/>
  <c r="P804" i="21" s="1"/>
  <c r="O803" i="21"/>
  <c r="N803" i="21"/>
  <c r="O802" i="21"/>
  <c r="N802" i="21"/>
  <c r="O801" i="21"/>
  <c r="N801" i="21"/>
  <c r="P801" i="21" s="1"/>
  <c r="O800" i="21"/>
  <c r="N800" i="21"/>
  <c r="O799" i="21"/>
  <c r="N799" i="21"/>
  <c r="P799" i="21" s="1"/>
  <c r="O798" i="21"/>
  <c r="N798" i="21"/>
  <c r="P798" i="21" s="1"/>
  <c r="O797" i="21"/>
  <c r="N797" i="21"/>
  <c r="O796" i="21"/>
  <c r="N796" i="21"/>
  <c r="O795" i="21"/>
  <c r="N795" i="21"/>
  <c r="O794" i="21"/>
  <c r="N794" i="21"/>
  <c r="O793" i="21"/>
  <c r="N793" i="21"/>
  <c r="O792" i="21"/>
  <c r="N792" i="21"/>
  <c r="O791" i="21"/>
  <c r="N791" i="21"/>
  <c r="O790" i="21"/>
  <c r="N790" i="21"/>
  <c r="O789" i="21"/>
  <c r="N789" i="21"/>
  <c r="O788" i="21"/>
  <c r="N788" i="21"/>
  <c r="O787" i="21"/>
  <c r="N787" i="21"/>
  <c r="P787" i="21" s="1"/>
  <c r="O786" i="21"/>
  <c r="N786" i="21"/>
  <c r="P786" i="21" s="1"/>
  <c r="O785" i="21"/>
  <c r="N785" i="21"/>
  <c r="O784" i="21"/>
  <c r="N784" i="21"/>
  <c r="O783" i="21"/>
  <c r="N783" i="21"/>
  <c r="O782" i="21"/>
  <c r="N782" i="21"/>
  <c r="O781" i="21"/>
  <c r="N781" i="21"/>
  <c r="P781" i="21" s="1"/>
  <c r="O780" i="21"/>
  <c r="N780" i="21"/>
  <c r="O779" i="21"/>
  <c r="N779" i="21"/>
  <c r="P779" i="21" s="1"/>
  <c r="O778" i="21"/>
  <c r="N778" i="21"/>
  <c r="O777" i="21"/>
  <c r="N777" i="21"/>
  <c r="P776" i="21"/>
  <c r="O776" i="21"/>
  <c r="N776" i="21"/>
  <c r="O775" i="21"/>
  <c r="N775" i="21"/>
  <c r="O774" i="21"/>
  <c r="N774" i="21"/>
  <c r="O773" i="21"/>
  <c r="N773" i="21"/>
  <c r="O772" i="21"/>
  <c r="N772" i="21"/>
  <c r="O771" i="21"/>
  <c r="N771" i="21"/>
  <c r="O770" i="21"/>
  <c r="N770" i="21"/>
  <c r="O769" i="21"/>
  <c r="N769" i="21"/>
  <c r="O768" i="21"/>
  <c r="N768" i="21"/>
  <c r="P768" i="21" s="1"/>
  <c r="O767" i="21"/>
  <c r="N767" i="21"/>
  <c r="O766" i="21"/>
  <c r="N766" i="21"/>
  <c r="O765" i="21"/>
  <c r="N765" i="21"/>
  <c r="O764" i="21"/>
  <c r="N764" i="21"/>
  <c r="O763" i="21"/>
  <c r="N763" i="21"/>
  <c r="O762" i="21"/>
  <c r="N762" i="21"/>
  <c r="O761" i="21"/>
  <c r="N761" i="21"/>
  <c r="O760" i="21"/>
  <c r="N760" i="21"/>
  <c r="O759" i="21"/>
  <c r="N759" i="21"/>
  <c r="P759" i="21" s="1"/>
  <c r="O758" i="21"/>
  <c r="N758" i="21"/>
  <c r="O757" i="21"/>
  <c r="N757" i="21"/>
  <c r="O756" i="21"/>
  <c r="N756" i="21"/>
  <c r="O755" i="21"/>
  <c r="N755" i="21"/>
  <c r="P755" i="21" s="1"/>
  <c r="O754" i="21"/>
  <c r="N754" i="21"/>
  <c r="O753" i="21"/>
  <c r="N753" i="21"/>
  <c r="P753" i="21" s="1"/>
  <c r="O752" i="21"/>
  <c r="N752" i="21"/>
  <c r="O751" i="21"/>
  <c r="N751" i="21"/>
  <c r="O750" i="21"/>
  <c r="N750" i="21"/>
  <c r="P750" i="21" s="1"/>
  <c r="O749" i="21"/>
  <c r="N749" i="21"/>
  <c r="O748" i="21"/>
  <c r="N748" i="21"/>
  <c r="O747" i="21"/>
  <c r="N747" i="21"/>
  <c r="P747" i="21" s="1"/>
  <c r="O746" i="21"/>
  <c r="N746" i="21"/>
  <c r="O745" i="21"/>
  <c r="N745" i="21"/>
  <c r="O744" i="21"/>
  <c r="N744" i="21"/>
  <c r="O743" i="21"/>
  <c r="N743" i="21"/>
  <c r="O742" i="21"/>
  <c r="N742" i="21"/>
  <c r="O741" i="21"/>
  <c r="N741" i="21"/>
  <c r="P741" i="21" s="1"/>
  <c r="O740" i="21"/>
  <c r="N740" i="21"/>
  <c r="O739" i="21"/>
  <c r="P739" i="21" s="1"/>
  <c r="N739" i="21"/>
  <c r="O738" i="21"/>
  <c r="N738" i="21"/>
  <c r="O737" i="21"/>
  <c r="N737" i="21"/>
  <c r="O736" i="21"/>
  <c r="N736" i="21"/>
  <c r="O735" i="21"/>
  <c r="N735" i="21"/>
  <c r="P735" i="21" s="1"/>
  <c r="O734" i="21"/>
  <c r="N734" i="21"/>
  <c r="O733" i="21"/>
  <c r="N733" i="21"/>
  <c r="O732" i="21"/>
  <c r="N732" i="21"/>
  <c r="P732" i="21" s="1"/>
  <c r="O731" i="21"/>
  <c r="N731" i="21"/>
  <c r="O730" i="21"/>
  <c r="N730" i="21"/>
  <c r="O729" i="21"/>
  <c r="N729" i="21"/>
  <c r="O728" i="21"/>
  <c r="N728" i="21"/>
  <c r="O727" i="21"/>
  <c r="N727" i="21"/>
  <c r="O726" i="21"/>
  <c r="N726" i="21"/>
  <c r="O725" i="21"/>
  <c r="N725" i="21"/>
  <c r="O724" i="21"/>
  <c r="N724" i="21"/>
  <c r="O723" i="21"/>
  <c r="N723" i="21"/>
  <c r="O722" i="21"/>
  <c r="N722" i="21"/>
  <c r="O721" i="21"/>
  <c r="N721" i="21"/>
  <c r="O720" i="21"/>
  <c r="N720" i="21"/>
  <c r="O719" i="21"/>
  <c r="N719" i="21"/>
  <c r="O718" i="21"/>
  <c r="N718" i="21"/>
  <c r="O717" i="21"/>
  <c r="N717" i="21"/>
  <c r="O716" i="21"/>
  <c r="P716" i="21" s="1"/>
  <c r="N716" i="21"/>
  <c r="O715" i="21"/>
  <c r="N715" i="21"/>
  <c r="O714" i="21"/>
  <c r="N714" i="21"/>
  <c r="O713" i="21"/>
  <c r="N713" i="21"/>
  <c r="O712" i="21"/>
  <c r="N712" i="21"/>
  <c r="O711" i="21"/>
  <c r="N711" i="21"/>
  <c r="O710" i="21"/>
  <c r="N710" i="21"/>
  <c r="O709" i="21"/>
  <c r="N709" i="21"/>
  <c r="O708" i="21"/>
  <c r="N708" i="21"/>
  <c r="O707" i="21"/>
  <c r="N707" i="21"/>
  <c r="P707" i="21" s="1"/>
  <c r="O706" i="21"/>
  <c r="N706" i="21"/>
  <c r="O705" i="21"/>
  <c r="N705" i="21"/>
  <c r="O704" i="21"/>
  <c r="N704" i="21"/>
  <c r="O703" i="21"/>
  <c r="N703" i="21"/>
  <c r="O702" i="21"/>
  <c r="N702" i="21"/>
  <c r="O701" i="21"/>
  <c r="N701" i="21"/>
  <c r="O700" i="21"/>
  <c r="N700" i="21"/>
  <c r="O699" i="21"/>
  <c r="N699" i="21"/>
  <c r="O698" i="21"/>
  <c r="N698" i="21"/>
  <c r="O697" i="21"/>
  <c r="N697" i="21"/>
  <c r="O696" i="21"/>
  <c r="N696" i="21"/>
  <c r="O695" i="21"/>
  <c r="N695" i="21"/>
  <c r="P695" i="21" s="1"/>
  <c r="O694" i="21"/>
  <c r="N694" i="21"/>
  <c r="O693" i="21"/>
  <c r="N693" i="21"/>
  <c r="O692" i="21"/>
  <c r="N692" i="21"/>
  <c r="O691" i="21"/>
  <c r="N691" i="21"/>
  <c r="O690" i="21"/>
  <c r="N690" i="21"/>
  <c r="P690" i="21" s="1"/>
  <c r="O689" i="21"/>
  <c r="N689" i="21"/>
  <c r="O688" i="21"/>
  <c r="N688" i="21"/>
  <c r="O687" i="21"/>
  <c r="N687" i="21"/>
  <c r="O686" i="21"/>
  <c r="N686" i="21"/>
  <c r="O685" i="21"/>
  <c r="N685" i="21"/>
  <c r="O684" i="21"/>
  <c r="N684" i="21"/>
  <c r="O683" i="21"/>
  <c r="N683" i="21"/>
  <c r="P683" i="21" s="1"/>
  <c r="O682" i="21"/>
  <c r="N682" i="21"/>
  <c r="O681" i="21"/>
  <c r="N681" i="21"/>
  <c r="O680" i="21"/>
  <c r="N680" i="21"/>
  <c r="O679" i="21"/>
  <c r="N679" i="21"/>
  <c r="O678" i="21"/>
  <c r="N678" i="21"/>
  <c r="P678" i="21" s="1"/>
  <c r="O677" i="21"/>
  <c r="N677" i="21"/>
  <c r="P677" i="21" s="1"/>
  <c r="O676" i="21"/>
  <c r="N676" i="21"/>
  <c r="O675" i="21"/>
  <c r="N675" i="21"/>
  <c r="O674" i="21"/>
  <c r="N674" i="21"/>
  <c r="O673" i="21"/>
  <c r="N673" i="21"/>
  <c r="O672" i="21"/>
  <c r="N672" i="21"/>
  <c r="P672" i="21" s="1"/>
  <c r="O671" i="21"/>
  <c r="N671" i="21"/>
  <c r="P671" i="21" s="1"/>
  <c r="O670" i="21"/>
  <c r="N670" i="21"/>
  <c r="O669" i="21"/>
  <c r="N669" i="21"/>
  <c r="O668" i="21"/>
  <c r="N668" i="21"/>
  <c r="O667" i="21"/>
  <c r="N667" i="21"/>
  <c r="O666" i="21"/>
  <c r="N666" i="21"/>
  <c r="O665" i="21"/>
  <c r="N665" i="21"/>
  <c r="P665" i="21" s="1"/>
  <c r="O664" i="21"/>
  <c r="N664" i="21"/>
  <c r="O663" i="21"/>
  <c r="N663" i="21"/>
  <c r="P663" i="21" s="1"/>
  <c r="O662" i="21"/>
  <c r="N662" i="21"/>
  <c r="O661" i="21"/>
  <c r="N661" i="21"/>
  <c r="O660" i="21"/>
  <c r="N660" i="21"/>
  <c r="O659" i="21"/>
  <c r="N659" i="21"/>
  <c r="O658" i="21"/>
  <c r="N658" i="21"/>
  <c r="O657" i="21"/>
  <c r="N657" i="21"/>
  <c r="O656" i="21"/>
  <c r="N656" i="21"/>
  <c r="O655" i="21"/>
  <c r="N655" i="21"/>
  <c r="O654" i="21"/>
  <c r="N654" i="21"/>
  <c r="O653" i="21"/>
  <c r="N653" i="21"/>
  <c r="O652" i="21"/>
  <c r="N652" i="21"/>
  <c r="O651" i="21"/>
  <c r="N651" i="21"/>
  <c r="O650" i="21"/>
  <c r="N650" i="21"/>
  <c r="O649" i="21"/>
  <c r="N649" i="21"/>
  <c r="O648" i="21"/>
  <c r="N648" i="21"/>
  <c r="O647" i="21"/>
  <c r="N647" i="21"/>
  <c r="O646" i="21"/>
  <c r="N646" i="21"/>
  <c r="P646" i="21" s="1"/>
  <c r="O645" i="21"/>
  <c r="N645" i="21"/>
  <c r="O644" i="21"/>
  <c r="N644" i="21"/>
  <c r="O643" i="21"/>
  <c r="N643" i="21"/>
  <c r="P643" i="21" s="1"/>
  <c r="O642" i="21"/>
  <c r="N642" i="21"/>
  <c r="O641" i="21"/>
  <c r="N641" i="21"/>
  <c r="O640" i="21"/>
  <c r="N640" i="21"/>
  <c r="O639" i="21"/>
  <c r="N639" i="21"/>
  <c r="O638" i="21"/>
  <c r="N638" i="21"/>
  <c r="O637" i="21"/>
  <c r="N637" i="21"/>
  <c r="P637" i="21" s="1"/>
  <c r="O636" i="21"/>
  <c r="N636" i="21"/>
  <c r="O635" i="21"/>
  <c r="N635" i="21"/>
  <c r="O634" i="21"/>
  <c r="N634" i="21"/>
  <c r="O633" i="21"/>
  <c r="N633" i="21"/>
  <c r="O632" i="21"/>
  <c r="N632" i="21"/>
  <c r="O631" i="21"/>
  <c r="N631" i="21"/>
  <c r="P631" i="21" s="1"/>
  <c r="O630" i="21"/>
  <c r="N630" i="21"/>
  <c r="O629" i="21"/>
  <c r="N629" i="21"/>
  <c r="O628" i="21"/>
  <c r="N628" i="21"/>
  <c r="O627" i="21"/>
  <c r="N627" i="21"/>
  <c r="O626" i="21"/>
  <c r="N626" i="21"/>
  <c r="P626" i="21" s="1"/>
  <c r="O625" i="21"/>
  <c r="N625" i="21"/>
  <c r="P625" i="21" s="1"/>
  <c r="O624" i="21"/>
  <c r="N624" i="21"/>
  <c r="O623" i="21"/>
  <c r="N623" i="21"/>
  <c r="O622" i="21"/>
  <c r="N622" i="21"/>
  <c r="O621" i="21"/>
  <c r="N621" i="21"/>
  <c r="O620" i="21"/>
  <c r="N620" i="21"/>
  <c r="P620" i="21" s="1"/>
  <c r="O619" i="21"/>
  <c r="N619" i="21"/>
  <c r="P619" i="21" s="1"/>
  <c r="O618" i="21"/>
  <c r="N618" i="21"/>
  <c r="O617" i="21"/>
  <c r="N617" i="21"/>
  <c r="O616" i="21"/>
  <c r="N616" i="21"/>
  <c r="O615" i="21"/>
  <c r="N615" i="21"/>
  <c r="O614" i="21"/>
  <c r="N614" i="21"/>
  <c r="P614" i="21" s="1"/>
  <c r="O613" i="21"/>
  <c r="N613" i="21"/>
  <c r="O612" i="21"/>
  <c r="N612" i="21"/>
  <c r="P612" i="21" s="1"/>
  <c r="O611" i="21"/>
  <c r="N611" i="21"/>
  <c r="O610" i="21"/>
  <c r="N610" i="21"/>
  <c r="O609" i="21"/>
  <c r="N609" i="21"/>
  <c r="O608" i="21"/>
  <c r="N608" i="21"/>
  <c r="O607" i="21"/>
  <c r="N607" i="21"/>
  <c r="P607" i="21" s="1"/>
  <c r="O606" i="21"/>
  <c r="N606" i="21"/>
  <c r="O605" i="21"/>
  <c r="N605" i="21"/>
  <c r="O604" i="21"/>
  <c r="N604" i="21"/>
  <c r="P603" i="21"/>
  <c r="O603" i="21"/>
  <c r="N603" i="21"/>
  <c r="O602" i="21"/>
  <c r="N602" i="21"/>
  <c r="O601" i="21"/>
  <c r="N601" i="21"/>
  <c r="O600" i="21"/>
  <c r="N600" i="21"/>
  <c r="P600" i="21" s="1"/>
  <c r="O599" i="21"/>
  <c r="P599" i="21" s="1"/>
  <c r="N599" i="21"/>
  <c r="O598" i="21"/>
  <c r="N598" i="21"/>
  <c r="O597" i="21"/>
  <c r="N597" i="21"/>
  <c r="P597" i="21" s="1"/>
  <c r="O596" i="21"/>
  <c r="N596" i="21"/>
  <c r="O595" i="21"/>
  <c r="N595" i="21"/>
  <c r="O594" i="21"/>
  <c r="N594" i="21"/>
  <c r="P594" i="21" s="1"/>
  <c r="O593" i="21"/>
  <c r="N593" i="21"/>
  <c r="O592" i="21"/>
  <c r="N592" i="21"/>
  <c r="O591" i="21"/>
  <c r="N591" i="21"/>
  <c r="P591" i="21" s="1"/>
  <c r="O590" i="21"/>
  <c r="N590" i="21"/>
  <c r="O589" i="21"/>
  <c r="N589" i="21"/>
  <c r="O588" i="21"/>
  <c r="N588" i="21"/>
  <c r="O587" i="21"/>
  <c r="N587" i="21"/>
  <c r="O586" i="21"/>
  <c r="N586" i="21"/>
  <c r="O585" i="21"/>
  <c r="N585" i="21"/>
  <c r="P585" i="21" s="1"/>
  <c r="O584" i="21"/>
  <c r="N584" i="21"/>
  <c r="O583" i="21"/>
  <c r="N583" i="21"/>
  <c r="O582" i="21"/>
  <c r="N582" i="21"/>
  <c r="P582" i="21" s="1"/>
  <c r="O581" i="21"/>
  <c r="N581" i="21"/>
  <c r="O580" i="21"/>
  <c r="N580" i="21"/>
  <c r="O579" i="21"/>
  <c r="N579" i="21"/>
  <c r="O578" i="21"/>
  <c r="N578" i="21"/>
  <c r="O577" i="21"/>
  <c r="N577" i="21"/>
  <c r="O576" i="21"/>
  <c r="N576" i="21"/>
  <c r="O575" i="21"/>
  <c r="N575" i="21"/>
  <c r="O574" i="21"/>
  <c r="N574" i="21"/>
  <c r="O573" i="21"/>
  <c r="N573" i="21"/>
  <c r="O572" i="21"/>
  <c r="N572" i="21"/>
  <c r="O571" i="21"/>
  <c r="N571" i="21"/>
  <c r="O570" i="21"/>
  <c r="N570" i="21"/>
  <c r="O569" i="21"/>
  <c r="N569" i="21"/>
  <c r="O568" i="21"/>
  <c r="N568" i="21"/>
  <c r="O567" i="21"/>
  <c r="N567" i="21"/>
  <c r="P567" i="21" s="1"/>
  <c r="O566" i="21"/>
  <c r="N566" i="21"/>
  <c r="O565" i="21"/>
  <c r="N565" i="21"/>
  <c r="O564" i="21"/>
  <c r="N564" i="21"/>
  <c r="P564" i="21" s="1"/>
  <c r="O563" i="21"/>
  <c r="N563" i="21"/>
  <c r="O562" i="21"/>
  <c r="N562" i="21"/>
  <c r="O561" i="21"/>
  <c r="N561" i="21"/>
  <c r="P561" i="21" s="1"/>
  <c r="O560" i="21"/>
  <c r="N560" i="21"/>
  <c r="O559" i="21"/>
  <c r="N559" i="21"/>
  <c r="O558" i="21"/>
  <c r="N558" i="21"/>
  <c r="P558" i="21" s="1"/>
  <c r="O557" i="21"/>
  <c r="P557" i="21" s="1"/>
  <c r="N557" i="21"/>
  <c r="O556" i="21"/>
  <c r="N556" i="21"/>
  <c r="O555" i="21"/>
  <c r="N555" i="21"/>
  <c r="O554" i="21"/>
  <c r="N554" i="21"/>
  <c r="O553" i="21"/>
  <c r="N553" i="21"/>
  <c r="O552" i="21"/>
  <c r="N552" i="21"/>
  <c r="P552" i="21" s="1"/>
  <c r="O551" i="21"/>
  <c r="N551" i="21"/>
  <c r="O550" i="21"/>
  <c r="N550" i="21"/>
  <c r="O549" i="21"/>
  <c r="N549" i="21"/>
  <c r="P549" i="21" s="1"/>
  <c r="O548" i="21"/>
  <c r="N548" i="21"/>
  <c r="O547" i="21"/>
  <c r="N547" i="21"/>
  <c r="P547" i="21" s="1"/>
  <c r="O546" i="21"/>
  <c r="N546" i="21"/>
  <c r="O545" i="21"/>
  <c r="N545" i="21"/>
  <c r="O544" i="21"/>
  <c r="N544" i="21"/>
  <c r="O543" i="21"/>
  <c r="N543" i="21"/>
  <c r="O542" i="21"/>
  <c r="N542" i="21"/>
  <c r="O541" i="21"/>
  <c r="N541" i="21"/>
  <c r="P541" i="21" s="1"/>
  <c r="O540" i="21"/>
  <c r="N540" i="21"/>
  <c r="O539" i="21"/>
  <c r="N539" i="21"/>
  <c r="O538" i="21"/>
  <c r="N538" i="21"/>
  <c r="O537" i="21"/>
  <c r="N537" i="21"/>
  <c r="O536" i="21"/>
  <c r="N536" i="21"/>
  <c r="O535" i="21"/>
  <c r="N535" i="21"/>
  <c r="P535" i="21" s="1"/>
  <c r="O534" i="21"/>
  <c r="N534" i="21"/>
  <c r="O533" i="21"/>
  <c r="N533" i="21"/>
  <c r="O532" i="21"/>
  <c r="N532" i="21"/>
  <c r="O531" i="21"/>
  <c r="N531" i="21"/>
  <c r="O530" i="21"/>
  <c r="N530" i="21"/>
  <c r="O529" i="21"/>
  <c r="N529" i="21"/>
  <c r="O528" i="21"/>
  <c r="N528" i="21"/>
  <c r="O527" i="21"/>
  <c r="N527" i="21"/>
  <c r="O526" i="21"/>
  <c r="N526" i="21"/>
  <c r="O525" i="21"/>
  <c r="N525" i="21"/>
  <c r="P525" i="21" s="1"/>
  <c r="O524" i="21"/>
  <c r="N524" i="21"/>
  <c r="O523" i="21"/>
  <c r="N523" i="21"/>
  <c r="P523" i="21" s="1"/>
  <c r="O522" i="21"/>
  <c r="N522" i="21"/>
  <c r="O521" i="21"/>
  <c r="P521" i="21" s="1"/>
  <c r="N521" i="21"/>
  <c r="O520" i="21"/>
  <c r="N520" i="21"/>
  <c r="P520" i="21" s="1"/>
  <c r="O519" i="21"/>
  <c r="N519" i="21"/>
  <c r="O518" i="21"/>
  <c r="N518" i="21"/>
  <c r="O517" i="21"/>
  <c r="N517" i="21"/>
  <c r="O516" i="21"/>
  <c r="N516" i="21"/>
  <c r="O515" i="21"/>
  <c r="N515" i="21"/>
  <c r="O514" i="21"/>
  <c r="N514" i="21"/>
  <c r="O513" i="21"/>
  <c r="N513" i="21"/>
  <c r="O512" i="21"/>
  <c r="N512" i="21"/>
  <c r="O511" i="21"/>
  <c r="N511" i="21"/>
  <c r="P511" i="21" s="1"/>
  <c r="O510" i="21"/>
  <c r="N510" i="21"/>
  <c r="O509" i="21"/>
  <c r="N509" i="21"/>
  <c r="O508" i="21"/>
  <c r="N508" i="21"/>
  <c r="P508" i="21" s="1"/>
  <c r="O507" i="21"/>
  <c r="N507" i="21"/>
  <c r="O506" i="21"/>
  <c r="N506" i="21"/>
  <c r="O505" i="21"/>
  <c r="N505" i="21"/>
  <c r="P505" i="21" s="1"/>
  <c r="O504" i="21"/>
  <c r="N504" i="21"/>
  <c r="O503" i="21"/>
  <c r="N503" i="21"/>
  <c r="O502" i="21"/>
  <c r="N502" i="21"/>
  <c r="P502" i="21" s="1"/>
  <c r="O501" i="21"/>
  <c r="N501" i="21"/>
  <c r="O500" i="21"/>
  <c r="N500" i="21"/>
  <c r="O499" i="21"/>
  <c r="N499" i="21"/>
  <c r="O498" i="21"/>
  <c r="N498" i="21"/>
  <c r="O497" i="21"/>
  <c r="N497" i="21"/>
  <c r="O496" i="21"/>
  <c r="N496" i="21"/>
  <c r="P496" i="21" s="1"/>
  <c r="O495" i="21"/>
  <c r="N495" i="21"/>
  <c r="O494" i="21"/>
  <c r="N494" i="21"/>
  <c r="O493" i="21"/>
  <c r="N493" i="21"/>
  <c r="P493" i="21" s="1"/>
  <c r="O492" i="21"/>
  <c r="N492" i="21"/>
  <c r="O491" i="21"/>
  <c r="N491" i="21"/>
  <c r="O490" i="21"/>
  <c r="N490" i="21"/>
  <c r="O489" i="21"/>
  <c r="N489" i="21"/>
  <c r="O488" i="21"/>
  <c r="N488" i="21"/>
  <c r="O487" i="21"/>
  <c r="N487" i="21"/>
  <c r="O486" i="21"/>
  <c r="N486" i="21"/>
  <c r="O485" i="21"/>
  <c r="N485" i="21"/>
  <c r="O484" i="21"/>
  <c r="N484" i="21"/>
  <c r="P484" i="21" s="1"/>
  <c r="O483" i="21"/>
  <c r="N483" i="21"/>
  <c r="O482" i="21"/>
  <c r="N482" i="21"/>
  <c r="O481" i="21"/>
  <c r="N481" i="21"/>
  <c r="O480" i="21"/>
  <c r="N480" i="21"/>
  <c r="O479" i="21"/>
  <c r="N479" i="21"/>
  <c r="O478" i="21"/>
  <c r="N478" i="21"/>
  <c r="P478" i="21" s="1"/>
  <c r="O477" i="21"/>
  <c r="N477" i="21"/>
  <c r="O476" i="21"/>
  <c r="N476" i="21"/>
  <c r="O475" i="21"/>
  <c r="N475" i="21"/>
  <c r="P475" i="21" s="1"/>
  <c r="O474" i="21"/>
  <c r="N474" i="21"/>
  <c r="O473" i="21"/>
  <c r="N473" i="21"/>
  <c r="O472" i="21"/>
  <c r="N472" i="21"/>
  <c r="P472" i="21" s="1"/>
  <c r="O471" i="21"/>
  <c r="N471" i="21"/>
  <c r="O470" i="21"/>
  <c r="N470" i="21"/>
  <c r="O469" i="21"/>
  <c r="N469" i="21"/>
  <c r="O468" i="21"/>
  <c r="N468" i="21"/>
  <c r="O467" i="21"/>
  <c r="N467" i="21"/>
  <c r="O466" i="21"/>
  <c r="N466" i="21"/>
  <c r="P466" i="21" s="1"/>
  <c r="O465" i="21"/>
  <c r="N465" i="21"/>
  <c r="O464" i="21"/>
  <c r="N464" i="21"/>
  <c r="O463" i="21"/>
  <c r="N463" i="21"/>
  <c r="O462" i="21"/>
  <c r="N462" i="21"/>
  <c r="O461" i="21"/>
  <c r="N461" i="21"/>
  <c r="O460" i="21"/>
  <c r="N460" i="21"/>
  <c r="P460" i="21" s="1"/>
  <c r="O459" i="21"/>
  <c r="N459" i="21"/>
  <c r="O458" i="21"/>
  <c r="N458" i="21"/>
  <c r="O457" i="21"/>
  <c r="N457" i="21"/>
  <c r="P457" i="21" s="1"/>
  <c r="O456" i="21"/>
  <c r="N456" i="21"/>
  <c r="O455" i="21"/>
  <c r="N455" i="21"/>
  <c r="O454" i="21"/>
  <c r="N454" i="21"/>
  <c r="O453" i="21"/>
  <c r="N453" i="21"/>
  <c r="O452" i="21"/>
  <c r="N452" i="21"/>
  <c r="O451" i="21"/>
  <c r="N451" i="21"/>
  <c r="P451" i="21" s="1"/>
  <c r="O450" i="21"/>
  <c r="N450" i="21"/>
  <c r="O449" i="21"/>
  <c r="N449" i="21"/>
  <c r="O448" i="21"/>
  <c r="N448" i="21"/>
  <c r="P448" i="21" s="1"/>
  <c r="O447" i="21"/>
  <c r="N447" i="21"/>
  <c r="O446" i="21"/>
  <c r="N446" i="21"/>
  <c r="O445" i="21"/>
  <c r="N445" i="21"/>
  <c r="P445" i="21" s="1"/>
  <c r="O444" i="21"/>
  <c r="N444" i="21"/>
  <c r="O443" i="21"/>
  <c r="N443" i="21"/>
  <c r="O442" i="21"/>
  <c r="N442" i="21"/>
  <c r="O441" i="21"/>
  <c r="N441" i="21"/>
  <c r="O440" i="21"/>
  <c r="N440" i="21"/>
  <c r="O439" i="21"/>
  <c r="N439" i="21"/>
  <c r="P439" i="21" s="1"/>
  <c r="O438" i="21"/>
  <c r="N438" i="21"/>
  <c r="O437" i="21"/>
  <c r="N437" i="21"/>
  <c r="O436" i="21"/>
  <c r="N436" i="21"/>
  <c r="O435" i="21"/>
  <c r="N435" i="21"/>
  <c r="O434" i="21"/>
  <c r="N434" i="21"/>
  <c r="O433" i="21"/>
  <c r="N433" i="21"/>
  <c r="P433" i="21" s="1"/>
  <c r="O432" i="21"/>
  <c r="N432" i="21"/>
  <c r="O431" i="21"/>
  <c r="N431" i="21"/>
  <c r="O430" i="21"/>
  <c r="N430" i="21"/>
  <c r="P430" i="21" s="1"/>
  <c r="O429" i="21"/>
  <c r="N429" i="21"/>
  <c r="O428" i="21"/>
  <c r="P428" i="21" s="1"/>
  <c r="N428" i="21"/>
  <c r="O427" i="21"/>
  <c r="N427" i="21"/>
  <c r="P427" i="21" s="1"/>
  <c r="O426" i="21"/>
  <c r="N426" i="21"/>
  <c r="O425" i="21"/>
  <c r="N425" i="21"/>
  <c r="O424" i="21"/>
  <c r="N424" i="21"/>
  <c r="P424" i="21" s="1"/>
  <c r="O423" i="21"/>
  <c r="N423" i="21"/>
  <c r="O422" i="21"/>
  <c r="N422" i="21"/>
  <c r="O421" i="21"/>
  <c r="N421" i="21"/>
  <c r="O420" i="21"/>
  <c r="N420" i="21"/>
  <c r="O419" i="21"/>
  <c r="N419" i="21"/>
  <c r="O418" i="21"/>
  <c r="N418" i="21"/>
  <c r="P418" i="21" s="1"/>
  <c r="O417" i="21"/>
  <c r="N417" i="21"/>
  <c r="O416" i="21"/>
  <c r="N416" i="21"/>
  <c r="O415" i="21"/>
  <c r="N415" i="21"/>
  <c r="O414" i="21"/>
  <c r="N414" i="21"/>
  <c r="O413" i="21"/>
  <c r="N413" i="21"/>
  <c r="O412" i="21"/>
  <c r="N412" i="21"/>
  <c r="P412" i="21" s="1"/>
  <c r="O411" i="21"/>
  <c r="N411" i="21"/>
  <c r="O410" i="21"/>
  <c r="N410" i="21"/>
  <c r="O409" i="21"/>
  <c r="N409" i="21"/>
  <c r="O408" i="21"/>
  <c r="N408" i="21"/>
  <c r="O407" i="21"/>
  <c r="N407" i="21"/>
  <c r="O406" i="21"/>
  <c r="N406" i="21"/>
  <c r="O405" i="21"/>
  <c r="N405" i="21"/>
  <c r="O404" i="21"/>
  <c r="N404" i="21"/>
  <c r="O403" i="21"/>
  <c r="N403" i="21"/>
  <c r="O402" i="21"/>
  <c r="N402" i="21"/>
  <c r="O401" i="21"/>
  <c r="N401" i="21"/>
  <c r="O400" i="21"/>
  <c r="N400" i="21"/>
  <c r="O399" i="21"/>
  <c r="N399" i="21"/>
  <c r="O398" i="21"/>
  <c r="N398" i="21"/>
  <c r="O397" i="21"/>
  <c r="N397" i="21"/>
  <c r="O396" i="21"/>
  <c r="N396" i="21"/>
  <c r="O395" i="21"/>
  <c r="N395" i="21"/>
  <c r="O394" i="21"/>
  <c r="N394" i="21"/>
  <c r="P394" i="21" s="1"/>
  <c r="O393" i="21"/>
  <c r="N393" i="21"/>
  <c r="O392" i="21"/>
  <c r="N392" i="21"/>
  <c r="O391" i="21"/>
  <c r="N391" i="21"/>
  <c r="O390" i="21"/>
  <c r="N390" i="21"/>
  <c r="O389" i="21"/>
  <c r="N389" i="21"/>
  <c r="O388" i="21"/>
  <c r="N388" i="21"/>
  <c r="P388" i="21" s="1"/>
  <c r="O387" i="21"/>
  <c r="N387" i="21"/>
  <c r="O386" i="21"/>
  <c r="N386" i="21"/>
  <c r="O385" i="21"/>
  <c r="N385" i="21"/>
  <c r="O384" i="21"/>
  <c r="N384" i="21"/>
  <c r="O383" i="21"/>
  <c r="N383" i="21"/>
  <c r="O382" i="21"/>
  <c r="N382" i="21"/>
  <c r="O381" i="21"/>
  <c r="N381" i="21"/>
  <c r="P381" i="21" s="1"/>
  <c r="O380" i="21"/>
  <c r="N380" i="21"/>
  <c r="O379" i="21"/>
  <c r="N379" i="21"/>
  <c r="O378" i="21"/>
  <c r="N378" i="21"/>
  <c r="O377" i="21"/>
  <c r="N377" i="21"/>
  <c r="O376" i="21"/>
  <c r="N376" i="21"/>
  <c r="O375" i="21"/>
  <c r="N375" i="21"/>
  <c r="P375" i="21" s="1"/>
  <c r="O374" i="21"/>
  <c r="N374" i="21"/>
  <c r="O373" i="21"/>
  <c r="N373" i="21"/>
  <c r="O372" i="21"/>
  <c r="N372" i="21"/>
  <c r="O371" i="21"/>
  <c r="P371" i="21" s="1"/>
  <c r="N371" i="21"/>
  <c r="O370" i="21"/>
  <c r="N370" i="21"/>
  <c r="P370" i="21" s="1"/>
  <c r="O369" i="21"/>
  <c r="N369" i="21"/>
  <c r="O368" i="21"/>
  <c r="N368" i="21"/>
  <c r="O367" i="21"/>
  <c r="N367" i="21"/>
  <c r="O366" i="21"/>
  <c r="N366" i="21"/>
  <c r="O365" i="21"/>
  <c r="N365" i="21"/>
  <c r="O364" i="21"/>
  <c r="N364" i="21"/>
  <c r="P364" i="21" s="1"/>
  <c r="O363" i="21"/>
  <c r="N363" i="21"/>
  <c r="O362" i="21"/>
  <c r="N362" i="21"/>
  <c r="O361" i="21"/>
  <c r="N361" i="21"/>
  <c r="O360" i="21"/>
  <c r="N360" i="21"/>
  <c r="O359" i="21"/>
  <c r="N359" i="21"/>
  <c r="O358" i="21"/>
  <c r="N358" i="21"/>
  <c r="O357" i="21"/>
  <c r="N357" i="21"/>
  <c r="O356" i="21"/>
  <c r="N356" i="21"/>
  <c r="O355" i="21"/>
  <c r="N355" i="21"/>
  <c r="O354" i="21"/>
  <c r="N354" i="21"/>
  <c r="O353" i="21"/>
  <c r="N353" i="21"/>
  <c r="O352" i="21"/>
  <c r="N352" i="21"/>
  <c r="P352" i="21" s="1"/>
  <c r="O351" i="21"/>
  <c r="N351" i="21"/>
  <c r="O350" i="21"/>
  <c r="N350" i="21"/>
  <c r="O349" i="21"/>
  <c r="N349" i="21"/>
  <c r="O348" i="21"/>
  <c r="N348" i="21"/>
  <c r="O347" i="21"/>
  <c r="N347" i="21"/>
  <c r="O346" i="21"/>
  <c r="N346" i="21"/>
  <c r="P346" i="21" s="1"/>
  <c r="O345" i="21"/>
  <c r="N345" i="21"/>
  <c r="O344" i="21"/>
  <c r="N344" i="21"/>
  <c r="O343" i="21"/>
  <c r="N343" i="21"/>
  <c r="O342" i="21"/>
  <c r="N342" i="21"/>
  <c r="O341" i="21"/>
  <c r="N341" i="21"/>
  <c r="O340" i="21"/>
  <c r="N340" i="21"/>
  <c r="P340" i="21" s="1"/>
  <c r="O339" i="21"/>
  <c r="N339" i="21"/>
  <c r="P339" i="21" s="1"/>
  <c r="O338" i="21"/>
  <c r="N338" i="21"/>
  <c r="O337" i="21"/>
  <c r="N337" i="21"/>
  <c r="O336" i="21"/>
  <c r="N336" i="21"/>
  <c r="O335" i="21"/>
  <c r="N335" i="21"/>
  <c r="O334" i="21"/>
  <c r="N334" i="21"/>
  <c r="O333" i="21"/>
  <c r="N333" i="21"/>
  <c r="O332" i="21"/>
  <c r="N332" i="21"/>
  <c r="O331" i="21"/>
  <c r="N331" i="21"/>
  <c r="O330" i="21"/>
  <c r="N330" i="21"/>
  <c r="O329" i="21"/>
  <c r="N329" i="21"/>
  <c r="O328" i="21"/>
  <c r="N328" i="21"/>
  <c r="P328" i="21" s="1"/>
  <c r="O327" i="21"/>
  <c r="N327" i="21"/>
  <c r="P327" i="21" s="1"/>
  <c r="O326" i="21"/>
  <c r="N326" i="21"/>
  <c r="O325" i="21"/>
  <c r="N325" i="21"/>
  <c r="O324" i="21"/>
  <c r="N324" i="21"/>
  <c r="O323" i="21"/>
  <c r="N323" i="21"/>
  <c r="O322" i="21"/>
  <c r="N322" i="21"/>
  <c r="O321" i="21"/>
  <c r="N321" i="21"/>
  <c r="O320" i="21"/>
  <c r="N320" i="21"/>
  <c r="O319" i="21"/>
  <c r="N319" i="21"/>
  <c r="O318" i="21"/>
  <c r="N318" i="21"/>
  <c r="O317" i="21"/>
  <c r="N317" i="21"/>
  <c r="O316" i="21"/>
  <c r="N316" i="21"/>
  <c r="P316" i="21" s="1"/>
  <c r="O315" i="21"/>
  <c r="N315" i="21"/>
  <c r="O314" i="21"/>
  <c r="N314" i="21"/>
  <c r="O313" i="21"/>
  <c r="N313" i="21"/>
  <c r="O312" i="21"/>
  <c r="N312" i="21"/>
  <c r="O311" i="21"/>
  <c r="N311" i="21"/>
  <c r="O310" i="21"/>
  <c r="N310" i="21"/>
  <c r="O309" i="21"/>
  <c r="N309" i="21"/>
  <c r="O308" i="21"/>
  <c r="N308" i="21"/>
  <c r="O307" i="21"/>
  <c r="N307" i="21"/>
  <c r="O306" i="21"/>
  <c r="N306" i="21"/>
  <c r="O305" i="21"/>
  <c r="N305" i="21"/>
  <c r="O304" i="21"/>
  <c r="N304" i="21"/>
  <c r="O303" i="21"/>
  <c r="N303" i="21"/>
  <c r="P303" i="21" s="1"/>
  <c r="O302" i="21"/>
  <c r="N302" i="21"/>
  <c r="O301" i="21"/>
  <c r="N301" i="21"/>
  <c r="O300" i="21"/>
  <c r="N300" i="21"/>
  <c r="O299" i="21"/>
  <c r="N299" i="21"/>
  <c r="O298" i="21"/>
  <c r="N298" i="21"/>
  <c r="O297" i="21"/>
  <c r="N297" i="21"/>
  <c r="O296" i="21"/>
  <c r="N296" i="21"/>
  <c r="O295" i="21"/>
  <c r="N295" i="21"/>
  <c r="O294" i="21"/>
  <c r="N294" i="21"/>
  <c r="O293" i="21"/>
  <c r="N293" i="21"/>
  <c r="O292" i="21"/>
  <c r="N292" i="21"/>
  <c r="P292" i="21" s="1"/>
  <c r="O291" i="21"/>
  <c r="N291" i="21"/>
  <c r="O290" i="21"/>
  <c r="N290" i="21"/>
  <c r="O289" i="21"/>
  <c r="N289" i="21"/>
  <c r="O288" i="21"/>
  <c r="N288" i="21"/>
  <c r="O287" i="21"/>
  <c r="N287" i="21"/>
  <c r="O286" i="21"/>
  <c r="N286" i="21"/>
  <c r="O285" i="21"/>
  <c r="N285" i="21"/>
  <c r="O284" i="21"/>
  <c r="N284" i="21"/>
  <c r="O283" i="21"/>
  <c r="N283" i="21"/>
  <c r="O282" i="21"/>
  <c r="N282" i="21"/>
  <c r="O281" i="21"/>
  <c r="N281" i="21"/>
  <c r="O280" i="21"/>
  <c r="N280" i="21"/>
  <c r="P280" i="21" s="1"/>
  <c r="O279" i="21"/>
  <c r="N279" i="21"/>
  <c r="O278" i="21"/>
  <c r="N278" i="21"/>
  <c r="O277" i="21"/>
  <c r="N277" i="21"/>
  <c r="O276" i="21"/>
  <c r="N276" i="21"/>
  <c r="O275" i="21"/>
  <c r="N275" i="21"/>
  <c r="O274" i="21"/>
  <c r="N274" i="21"/>
  <c r="O273" i="21"/>
  <c r="N273" i="21"/>
  <c r="O272" i="21"/>
  <c r="N272" i="21"/>
  <c r="O271" i="21"/>
  <c r="N271" i="21"/>
  <c r="O270" i="21"/>
  <c r="N270" i="21"/>
  <c r="O269" i="21"/>
  <c r="N269" i="21"/>
  <c r="O268" i="21"/>
  <c r="N268" i="21"/>
  <c r="P268" i="21" s="1"/>
  <c r="O267" i="21"/>
  <c r="N267" i="21"/>
  <c r="O266" i="21"/>
  <c r="N266" i="21"/>
  <c r="O265" i="21"/>
  <c r="N265" i="21"/>
  <c r="O264" i="21"/>
  <c r="N264" i="21"/>
  <c r="O263" i="21"/>
  <c r="N263" i="21"/>
  <c r="O262" i="21"/>
  <c r="N262" i="21"/>
  <c r="O261" i="21"/>
  <c r="N261" i="21"/>
  <c r="O260" i="21"/>
  <c r="N260" i="21"/>
  <c r="O259" i="21"/>
  <c r="N259" i="21"/>
  <c r="O258" i="21"/>
  <c r="N258" i="21"/>
  <c r="O257" i="21"/>
  <c r="N257" i="21"/>
  <c r="O256" i="21"/>
  <c r="N256" i="21"/>
  <c r="P256" i="21" s="1"/>
  <c r="O255" i="21"/>
  <c r="N255" i="21"/>
  <c r="O254" i="21"/>
  <c r="N254" i="21"/>
  <c r="O253" i="21"/>
  <c r="N253" i="21"/>
  <c r="O252" i="21"/>
  <c r="N252" i="21"/>
  <c r="O251" i="21"/>
  <c r="N251" i="21"/>
  <c r="O250" i="21"/>
  <c r="N250" i="21"/>
  <c r="O249" i="21"/>
  <c r="N249" i="21"/>
  <c r="P249" i="21" s="1"/>
  <c r="O248" i="21"/>
  <c r="N248" i="21"/>
  <c r="O247" i="21"/>
  <c r="N247" i="21"/>
  <c r="O246" i="21"/>
  <c r="N246" i="21"/>
  <c r="O245" i="21"/>
  <c r="N245" i="21"/>
  <c r="O244" i="21"/>
  <c r="N244" i="21"/>
  <c r="O243" i="21"/>
  <c r="N243" i="21"/>
  <c r="P243" i="21" s="1"/>
  <c r="O242" i="21"/>
  <c r="N242" i="21"/>
  <c r="O241" i="21"/>
  <c r="N241" i="21"/>
  <c r="O240" i="21"/>
  <c r="N240" i="21"/>
  <c r="O239" i="21"/>
  <c r="N239" i="21"/>
  <c r="O238" i="21"/>
  <c r="N238" i="21"/>
  <c r="P238" i="21" s="1"/>
  <c r="O237" i="21"/>
  <c r="N237" i="21"/>
  <c r="O236" i="21"/>
  <c r="N236" i="21"/>
  <c r="O235" i="21"/>
  <c r="N235" i="21"/>
  <c r="O234" i="21"/>
  <c r="N234" i="21"/>
  <c r="O233" i="21"/>
  <c r="N233" i="21"/>
  <c r="O232" i="21"/>
  <c r="N232" i="21"/>
  <c r="P232" i="21" s="1"/>
  <c r="O231" i="21"/>
  <c r="N231" i="21"/>
  <c r="P231" i="21" s="1"/>
  <c r="O230" i="21"/>
  <c r="N230" i="21"/>
  <c r="O229" i="21"/>
  <c r="N229" i="21"/>
  <c r="O228" i="21"/>
  <c r="N228" i="21"/>
  <c r="O227" i="21"/>
  <c r="N227" i="21"/>
  <c r="O226" i="21"/>
  <c r="N226" i="21"/>
  <c r="O225" i="21"/>
  <c r="N225" i="21"/>
  <c r="P225" i="21" s="1"/>
  <c r="O224" i="21"/>
  <c r="N224" i="21"/>
  <c r="O223" i="21"/>
  <c r="N223" i="21"/>
  <c r="O222" i="21"/>
  <c r="N222" i="21"/>
  <c r="O221" i="21"/>
  <c r="N221" i="21"/>
  <c r="O220" i="21"/>
  <c r="N220" i="21"/>
  <c r="O219" i="21"/>
  <c r="N219" i="21"/>
  <c r="O218" i="21"/>
  <c r="N218" i="21"/>
  <c r="O217" i="21"/>
  <c r="N217" i="21"/>
  <c r="P217" i="21" s="1"/>
  <c r="O216" i="21"/>
  <c r="N216" i="21"/>
  <c r="O215" i="21"/>
  <c r="N215" i="21"/>
  <c r="O214" i="21"/>
  <c r="N214" i="21"/>
  <c r="O213" i="21"/>
  <c r="N213" i="21"/>
  <c r="O212" i="21"/>
  <c r="N212" i="21"/>
  <c r="O211" i="21"/>
  <c r="N211" i="21"/>
  <c r="O210" i="21"/>
  <c r="N210" i="21"/>
  <c r="O209" i="21"/>
  <c r="N209" i="21"/>
  <c r="O208" i="21"/>
  <c r="N208" i="21"/>
  <c r="O207" i="21"/>
  <c r="N207" i="21"/>
  <c r="O206" i="21"/>
  <c r="N206" i="21"/>
  <c r="O205" i="21"/>
  <c r="N205" i="21"/>
  <c r="P205" i="21" s="1"/>
  <c r="O204" i="21"/>
  <c r="N204" i="21"/>
  <c r="O203" i="21"/>
  <c r="N203" i="21"/>
  <c r="O202" i="21"/>
  <c r="N202" i="21"/>
  <c r="P202" i="21" s="1"/>
  <c r="O201" i="21"/>
  <c r="N201" i="21"/>
  <c r="O200" i="21"/>
  <c r="N200" i="21"/>
  <c r="O199" i="21"/>
  <c r="N199" i="21"/>
  <c r="O198" i="21"/>
  <c r="N198" i="21"/>
  <c r="O197" i="21"/>
  <c r="N197" i="21"/>
  <c r="O196" i="21"/>
  <c r="N196" i="21"/>
  <c r="O195" i="21"/>
  <c r="N195" i="21"/>
  <c r="O194" i="21"/>
  <c r="N194" i="21"/>
  <c r="O193" i="21"/>
  <c r="N193" i="21"/>
  <c r="P193" i="21" s="1"/>
  <c r="O192" i="21"/>
  <c r="N192" i="21"/>
  <c r="O191" i="21"/>
  <c r="N191" i="21"/>
  <c r="O190" i="21"/>
  <c r="N190" i="21"/>
  <c r="O189" i="21"/>
  <c r="N189" i="21"/>
  <c r="O188" i="21"/>
  <c r="N188" i="21"/>
  <c r="O187" i="21"/>
  <c r="N187" i="21"/>
  <c r="O186" i="21"/>
  <c r="N186" i="21"/>
  <c r="O185" i="21"/>
  <c r="P185" i="21" s="1"/>
  <c r="N185" i="21"/>
  <c r="O184" i="21"/>
  <c r="N184" i="21"/>
  <c r="P184" i="21" s="1"/>
  <c r="O183" i="21"/>
  <c r="N183" i="21"/>
  <c r="O182" i="21"/>
  <c r="N182" i="21"/>
  <c r="O181" i="21"/>
  <c r="N181" i="21"/>
  <c r="P181" i="21" s="1"/>
  <c r="O180" i="21"/>
  <c r="N180" i="21"/>
  <c r="O179" i="21"/>
  <c r="N179" i="21"/>
  <c r="O178" i="21"/>
  <c r="N178" i="21"/>
  <c r="P178" i="21" s="1"/>
  <c r="O177" i="21"/>
  <c r="N177" i="21"/>
  <c r="O176" i="21"/>
  <c r="N176" i="21"/>
  <c r="O175" i="21"/>
  <c r="N175" i="21"/>
  <c r="O174" i="21"/>
  <c r="N174" i="21"/>
  <c r="O173" i="21"/>
  <c r="N173" i="21"/>
  <c r="O172" i="21"/>
  <c r="N172" i="21"/>
  <c r="O171" i="21"/>
  <c r="N171" i="21"/>
  <c r="O170" i="21"/>
  <c r="N170" i="21"/>
  <c r="O169" i="21"/>
  <c r="N169" i="21"/>
  <c r="P169" i="21" s="1"/>
  <c r="O168" i="21"/>
  <c r="N168" i="21"/>
  <c r="P168" i="21" s="1"/>
  <c r="O167" i="21"/>
  <c r="P167" i="21" s="1"/>
  <c r="N167" i="21"/>
  <c r="O166" i="21"/>
  <c r="N166" i="21"/>
  <c r="O165" i="21"/>
  <c r="N165" i="21"/>
  <c r="O164" i="21"/>
  <c r="N164" i="21"/>
  <c r="O163" i="21"/>
  <c r="N163" i="21"/>
  <c r="O162" i="21"/>
  <c r="N162" i="21"/>
  <c r="O161" i="21"/>
  <c r="N161" i="21"/>
  <c r="O160" i="21"/>
  <c r="N160" i="21"/>
  <c r="P160" i="21" s="1"/>
  <c r="O159" i="21"/>
  <c r="N159" i="21"/>
  <c r="O158" i="21"/>
  <c r="N158" i="21"/>
  <c r="O157" i="21"/>
  <c r="N157" i="21"/>
  <c r="P157" i="21" s="1"/>
  <c r="O156" i="21"/>
  <c r="N156" i="21"/>
  <c r="O155" i="21"/>
  <c r="N155" i="21"/>
  <c r="O154" i="21"/>
  <c r="N154" i="21"/>
  <c r="O153" i="21"/>
  <c r="N153" i="21"/>
  <c r="O152" i="21"/>
  <c r="N152" i="21"/>
  <c r="O151" i="21"/>
  <c r="N151" i="21"/>
  <c r="O150" i="21"/>
  <c r="N150" i="21"/>
  <c r="P150" i="21" s="1"/>
  <c r="O149" i="21"/>
  <c r="P149" i="21" s="1"/>
  <c r="N149" i="21"/>
  <c r="O148" i="21"/>
  <c r="N148" i="21"/>
  <c r="P148" i="21" s="1"/>
  <c r="O147" i="21"/>
  <c r="N147" i="21"/>
  <c r="O146" i="21"/>
  <c r="N146" i="21"/>
  <c r="O145" i="21"/>
  <c r="N145" i="21"/>
  <c r="P145" i="21" s="1"/>
  <c r="O144" i="21"/>
  <c r="N144" i="21"/>
  <c r="P144" i="21" s="1"/>
  <c r="O143" i="21"/>
  <c r="P143" i="21" s="1"/>
  <c r="N143" i="21"/>
  <c r="O142" i="21"/>
  <c r="N142" i="21"/>
  <c r="O141" i="21"/>
  <c r="N141" i="21"/>
  <c r="O140" i="21"/>
  <c r="N140" i="21"/>
  <c r="O139" i="21"/>
  <c r="N139" i="21"/>
  <c r="O138" i="21"/>
  <c r="N138" i="21"/>
  <c r="O137" i="21"/>
  <c r="N137" i="21"/>
  <c r="O136" i="21"/>
  <c r="N136" i="21"/>
  <c r="O135" i="21"/>
  <c r="N135" i="21"/>
  <c r="O134" i="21"/>
  <c r="N134" i="21"/>
  <c r="O133" i="21"/>
  <c r="N133" i="21"/>
  <c r="P133" i="21" s="1"/>
  <c r="O132" i="21"/>
  <c r="N132" i="21"/>
  <c r="P132" i="21" s="1"/>
  <c r="O131" i="21"/>
  <c r="P131" i="21" s="1"/>
  <c r="N131" i="21"/>
  <c r="O130" i="21"/>
  <c r="N130" i="21"/>
  <c r="P130" i="21" s="1"/>
  <c r="O129" i="21"/>
  <c r="N129" i="21"/>
  <c r="O128" i="21"/>
  <c r="N128" i="21"/>
  <c r="O127" i="21"/>
  <c r="N127" i="21"/>
  <c r="O126" i="21"/>
  <c r="N126" i="21"/>
  <c r="P126" i="21" s="1"/>
  <c r="O125" i="21"/>
  <c r="N125" i="21"/>
  <c r="O124" i="21"/>
  <c r="N124" i="21"/>
  <c r="P124" i="21" s="1"/>
  <c r="O123" i="21"/>
  <c r="N123" i="21"/>
  <c r="O122" i="21"/>
  <c r="N122" i="21"/>
  <c r="O121" i="21"/>
  <c r="N121" i="21"/>
  <c r="O120" i="21"/>
  <c r="N120" i="21"/>
  <c r="O119" i="21"/>
  <c r="N119" i="21"/>
  <c r="O118" i="21"/>
  <c r="N118" i="21"/>
  <c r="O117" i="21"/>
  <c r="N117" i="21"/>
  <c r="O116" i="21"/>
  <c r="N116" i="21"/>
  <c r="O115" i="21"/>
  <c r="N115" i="21"/>
  <c r="O114" i="21"/>
  <c r="N114" i="21"/>
  <c r="O113" i="21"/>
  <c r="P113" i="21" s="1"/>
  <c r="N113" i="21"/>
  <c r="O112" i="21"/>
  <c r="N112" i="21"/>
  <c r="P112" i="21" s="1"/>
  <c r="O111" i="21"/>
  <c r="N111" i="21"/>
  <c r="O110" i="21"/>
  <c r="N110" i="21"/>
  <c r="O109" i="21"/>
  <c r="N109" i="21"/>
  <c r="O108" i="21"/>
  <c r="N108" i="21"/>
  <c r="P108" i="21" s="1"/>
  <c r="O107" i="21"/>
  <c r="N107" i="21"/>
  <c r="O106" i="21"/>
  <c r="N106" i="21"/>
  <c r="P106" i="21" s="1"/>
  <c r="O105" i="21"/>
  <c r="N105" i="21"/>
  <c r="O104" i="21"/>
  <c r="N104" i="21"/>
  <c r="O103" i="21"/>
  <c r="N103" i="21"/>
  <c r="O102" i="21"/>
  <c r="N102" i="21"/>
  <c r="O101" i="21"/>
  <c r="N101" i="21"/>
  <c r="O100" i="21"/>
  <c r="N100" i="21"/>
  <c r="O99" i="21"/>
  <c r="N99" i="21"/>
  <c r="O98" i="21"/>
  <c r="N98" i="21"/>
  <c r="O97" i="21"/>
  <c r="N97" i="21"/>
  <c r="P97" i="21" s="1"/>
  <c r="O96" i="21"/>
  <c r="N96" i="21"/>
  <c r="P96" i="21" s="1"/>
  <c r="O95" i="21"/>
  <c r="N95" i="21"/>
  <c r="O94" i="21"/>
  <c r="N94" i="21"/>
  <c r="O93" i="21"/>
  <c r="N93" i="21"/>
  <c r="O92" i="21"/>
  <c r="N92" i="21"/>
  <c r="O91" i="21"/>
  <c r="N91" i="21"/>
  <c r="O90" i="21"/>
  <c r="N90" i="21"/>
  <c r="O89" i="21"/>
  <c r="N89" i="21"/>
  <c r="O88" i="21"/>
  <c r="N88" i="21"/>
  <c r="O87" i="21"/>
  <c r="N87" i="21"/>
  <c r="O86" i="21"/>
  <c r="N86" i="21"/>
  <c r="O85" i="21"/>
  <c r="N85" i="21"/>
  <c r="O84" i="21"/>
  <c r="N84" i="21"/>
  <c r="O83" i="21"/>
  <c r="N83" i="21"/>
  <c r="O82" i="21"/>
  <c r="N82" i="21"/>
  <c r="O81" i="21"/>
  <c r="N81" i="21"/>
  <c r="O80" i="21"/>
  <c r="N80" i="21"/>
  <c r="O79" i="21"/>
  <c r="N79" i="21"/>
  <c r="O78" i="21"/>
  <c r="N78" i="21"/>
  <c r="O77" i="21"/>
  <c r="N77" i="21"/>
  <c r="O76" i="21"/>
  <c r="N76" i="21"/>
  <c r="O75" i="21"/>
  <c r="N75" i="21"/>
  <c r="O74" i="21"/>
  <c r="N74" i="21"/>
  <c r="O73" i="21"/>
  <c r="N73" i="21"/>
  <c r="O72" i="21"/>
  <c r="N72" i="21"/>
  <c r="O71" i="21"/>
  <c r="N71" i="21"/>
  <c r="O70" i="21"/>
  <c r="N70" i="21"/>
  <c r="O69" i="21"/>
  <c r="N69" i="21"/>
  <c r="O68" i="21"/>
  <c r="N68" i="21"/>
  <c r="O67" i="21"/>
  <c r="N67" i="21"/>
  <c r="O66" i="21"/>
  <c r="N66" i="21"/>
  <c r="O65" i="21"/>
  <c r="N65" i="21"/>
  <c r="O64" i="21"/>
  <c r="N64" i="21"/>
  <c r="O63" i="21"/>
  <c r="N63" i="21"/>
  <c r="O62" i="21"/>
  <c r="N62" i="21"/>
  <c r="O61" i="21"/>
  <c r="N61" i="21"/>
  <c r="O60" i="21"/>
  <c r="N60" i="21"/>
  <c r="O59" i="21"/>
  <c r="N59" i="21"/>
  <c r="O58" i="21"/>
  <c r="N58" i="21"/>
  <c r="P58" i="21" s="1"/>
  <c r="O57" i="21"/>
  <c r="N57" i="21"/>
  <c r="O56" i="21"/>
  <c r="N56" i="21"/>
  <c r="O55" i="21"/>
  <c r="N55" i="21"/>
  <c r="O54" i="21"/>
  <c r="N54" i="21"/>
  <c r="O53" i="21"/>
  <c r="N53" i="21"/>
  <c r="O52" i="21"/>
  <c r="N52" i="21"/>
  <c r="P52" i="21" s="1"/>
  <c r="O51" i="21"/>
  <c r="N51" i="21"/>
  <c r="O50" i="21"/>
  <c r="N50" i="21"/>
  <c r="O49" i="21"/>
  <c r="N49" i="21"/>
  <c r="O48" i="21"/>
  <c r="N48" i="21"/>
  <c r="O47" i="21"/>
  <c r="N47" i="21"/>
  <c r="O46" i="21"/>
  <c r="N46" i="21"/>
  <c r="O45" i="21"/>
  <c r="N45" i="21"/>
  <c r="O44" i="21"/>
  <c r="N44" i="21"/>
  <c r="O43" i="21"/>
  <c r="N43" i="21"/>
  <c r="O42" i="21"/>
  <c r="N42" i="21"/>
  <c r="O41" i="21"/>
  <c r="P41" i="21" s="1"/>
  <c r="N41" i="21"/>
  <c r="O40" i="21"/>
  <c r="N40" i="21"/>
  <c r="P40" i="21" s="1"/>
  <c r="O39" i="21"/>
  <c r="N39" i="21"/>
  <c r="O38" i="21"/>
  <c r="N38" i="21"/>
  <c r="O37" i="21"/>
  <c r="N37" i="21"/>
  <c r="P37" i="21" s="1"/>
  <c r="O36" i="21"/>
  <c r="N36" i="21"/>
  <c r="O35" i="21"/>
  <c r="N35" i="21"/>
  <c r="O34" i="21"/>
  <c r="N34" i="21"/>
  <c r="O33" i="21"/>
  <c r="N33" i="21"/>
  <c r="O32" i="21"/>
  <c r="N32" i="21"/>
  <c r="O31" i="21"/>
  <c r="N31" i="21"/>
  <c r="O30" i="21"/>
  <c r="N30" i="21"/>
  <c r="O29" i="21"/>
  <c r="N29" i="21"/>
  <c r="O28" i="21"/>
  <c r="N28" i="21"/>
  <c r="P28" i="21" s="1"/>
  <c r="O27" i="21"/>
  <c r="N27" i="21"/>
  <c r="O26" i="21"/>
  <c r="N26" i="21"/>
  <c r="O25" i="21"/>
  <c r="N25" i="21"/>
  <c r="O24" i="21"/>
  <c r="N24" i="21"/>
  <c r="O23" i="21"/>
  <c r="P23" i="21" s="1"/>
  <c r="N23" i="21"/>
  <c r="O22" i="21"/>
  <c r="N22" i="21"/>
  <c r="O21" i="21"/>
  <c r="N21" i="21"/>
  <c r="O20" i="21"/>
  <c r="N20" i="21"/>
  <c r="O19" i="21"/>
  <c r="N19" i="21"/>
  <c r="O18" i="21"/>
  <c r="N18" i="21"/>
  <c r="O17" i="21"/>
  <c r="N17" i="21"/>
  <c r="O16" i="21"/>
  <c r="N16" i="21"/>
  <c r="O15" i="21"/>
  <c r="N15" i="21"/>
  <c r="O14" i="21"/>
  <c r="N14" i="21"/>
  <c r="O13" i="21"/>
  <c r="N13" i="21"/>
  <c r="P13" i="21" s="1"/>
  <c r="O12" i="21"/>
  <c r="N12" i="21"/>
  <c r="O11" i="21"/>
  <c r="N11" i="21"/>
  <c r="O10" i="21"/>
  <c r="N10" i="21"/>
  <c r="O9" i="21"/>
  <c r="N9" i="21"/>
  <c r="O8" i="21"/>
  <c r="N8" i="21"/>
  <c r="O7" i="21"/>
  <c r="N7" i="21"/>
  <c r="O6" i="21"/>
  <c r="N6" i="21"/>
  <c r="O5" i="21"/>
  <c r="N5" i="21"/>
  <c r="O4" i="21"/>
  <c r="N4" i="21"/>
  <c r="P4" i="21" s="1"/>
  <c r="O3" i="21"/>
  <c r="N3" i="21"/>
  <c r="M1" i="21"/>
  <c r="K1" i="21"/>
  <c r="F10" i="17"/>
  <c r="E10" i="17"/>
  <c r="D10" i="17"/>
  <c r="C10" i="17"/>
  <c r="B10" i="17"/>
  <c r="G8" i="17"/>
  <c r="G7" i="17"/>
  <c r="G4" i="17"/>
  <c r="B7" i="18"/>
  <c r="B8" i="18" s="1"/>
  <c r="B9" i="18" s="1"/>
  <c r="G3" i="18"/>
  <c r="P1337" i="21" l="1"/>
  <c r="P61" i="21"/>
  <c r="P553" i="21"/>
  <c r="P589" i="21"/>
  <c r="P851" i="21"/>
  <c r="P863" i="21"/>
  <c r="P360" i="21"/>
  <c r="P8" i="21"/>
  <c r="P14" i="21"/>
  <c r="P20" i="21"/>
  <c r="P26" i="21"/>
  <c r="P32" i="21"/>
  <c r="P38" i="21"/>
  <c r="P44" i="21"/>
  <c r="P50" i="21"/>
  <c r="P56" i="21"/>
  <c r="P62" i="21"/>
  <c r="P68" i="21"/>
  <c r="P74" i="21"/>
  <c r="P80" i="21"/>
  <c r="P86" i="21"/>
  <c r="P92" i="21"/>
  <c r="P98" i="21"/>
  <c r="P104" i="21"/>
  <c r="P116" i="21"/>
  <c r="P122" i="21"/>
  <c r="P134" i="21"/>
  <c r="P140" i="21"/>
  <c r="P266" i="21"/>
  <c r="P272" i="21"/>
  <c r="P284" i="21"/>
  <c r="P290" i="21"/>
  <c r="P296" i="21"/>
  <c r="P302" i="21"/>
  <c r="P308" i="21"/>
  <c r="P314" i="21"/>
  <c r="P320" i="21"/>
  <c r="P344" i="21"/>
  <c r="P350" i="21"/>
  <c r="P356" i="21"/>
  <c r="P362" i="21"/>
  <c r="P374" i="21"/>
  <c r="P392" i="21"/>
  <c r="P410" i="21"/>
  <c r="P416" i="21"/>
  <c r="P602" i="21"/>
  <c r="P727" i="21"/>
  <c r="P1326" i="21"/>
  <c r="P87" i="21"/>
  <c r="P213" i="21"/>
  <c r="P237" i="21"/>
  <c r="P285" i="21"/>
  <c r="P291" i="21"/>
  <c r="P297" i="21"/>
  <c r="P357" i="21"/>
  <c r="P363" i="21"/>
  <c r="P399" i="21"/>
  <c r="P405" i="21"/>
  <c r="P411" i="21"/>
  <c r="P531" i="21"/>
  <c r="P770" i="21"/>
  <c r="P645" i="21"/>
  <c r="P651" i="21"/>
  <c r="P657" i="21"/>
  <c r="P675" i="21"/>
  <c r="P687" i="21"/>
  <c r="P711" i="21"/>
  <c r="P771" i="21"/>
  <c r="P5" i="21"/>
  <c r="P551" i="21"/>
  <c r="P718" i="21"/>
  <c r="P760" i="21"/>
  <c r="P843" i="21"/>
  <c r="P849" i="21"/>
  <c r="P605" i="21"/>
  <c r="P611" i="21"/>
  <c r="P623" i="21"/>
  <c r="P647" i="21"/>
  <c r="P659" i="21"/>
  <c r="P778" i="21"/>
  <c r="P1270" i="21"/>
  <c r="P1276" i="21"/>
  <c r="P1282" i="21"/>
  <c r="P1288" i="21"/>
  <c r="P1300" i="21"/>
  <c r="P1306" i="21"/>
  <c r="P1312" i="21"/>
  <c r="P1324" i="21"/>
  <c r="P1330" i="21"/>
  <c r="P54" i="21"/>
  <c r="P60" i="21"/>
  <c r="P78" i="21"/>
  <c r="P84" i="21"/>
  <c r="P156" i="21"/>
  <c r="P174" i="21"/>
  <c r="P192" i="21"/>
  <c r="P198" i="21"/>
  <c r="P204" i="21"/>
  <c r="P222" i="21"/>
  <c r="P228" i="21"/>
  <c r="P240" i="21"/>
  <c r="P258" i="21"/>
  <c r="P264" i="21"/>
  <c r="P276" i="21"/>
  <c r="P1313" i="21"/>
  <c r="P25" i="21"/>
  <c r="P73" i="21"/>
  <c r="P85" i="21"/>
  <c r="P763" i="21"/>
  <c r="P816" i="21"/>
  <c r="P617" i="21"/>
  <c r="P712" i="21"/>
  <c r="P758" i="21"/>
  <c r="P1255" i="21"/>
  <c r="P1332" i="21"/>
  <c r="P1338" i="21"/>
  <c r="P1344" i="21"/>
  <c r="P152" i="21"/>
  <c r="P170" i="21"/>
  <c r="P176" i="21"/>
  <c r="P422" i="21"/>
  <c r="P713" i="21"/>
  <c r="P817" i="21"/>
  <c r="P847" i="21"/>
  <c r="P859" i="21"/>
  <c r="P1315" i="21"/>
  <c r="P283" i="21"/>
  <c r="P9" i="21"/>
  <c r="P21" i="21"/>
  <c r="P33" i="21"/>
  <c r="P39" i="21"/>
  <c r="P45" i="21"/>
  <c r="P57" i="21"/>
  <c r="P69" i="21"/>
  <c r="P476" i="21"/>
  <c r="P530" i="21"/>
  <c r="P536" i="21"/>
  <c r="P542" i="21"/>
  <c r="P548" i="21"/>
  <c r="P601" i="21"/>
  <c r="P636" i="21"/>
  <c r="P642" i="21"/>
  <c r="P648" i="21"/>
  <c r="P654" i="21"/>
  <c r="P660" i="21"/>
  <c r="P725" i="21"/>
  <c r="P731" i="21"/>
  <c r="P748" i="21"/>
  <c r="P806" i="21"/>
  <c r="P818" i="21"/>
  <c r="P1268" i="21"/>
  <c r="P1274" i="21"/>
  <c r="P1292" i="21"/>
  <c r="P1298" i="21"/>
  <c r="P1304" i="21"/>
  <c r="P1316" i="21"/>
  <c r="P1322" i="21"/>
  <c r="P1328" i="21"/>
  <c r="P159" i="21"/>
  <c r="P195" i="21"/>
  <c r="P273" i="21"/>
  <c r="P465" i="21"/>
  <c r="P495" i="21"/>
  <c r="P560" i="21"/>
  <c r="P596" i="21"/>
  <c r="P415" i="21"/>
  <c r="P749" i="21"/>
  <c r="P777" i="21"/>
  <c r="P807" i="21"/>
  <c r="P867" i="21"/>
  <c r="P259" i="21"/>
  <c r="P289" i="21"/>
  <c r="P679" i="21"/>
  <c r="P123" i="21"/>
  <c r="P77" i="21"/>
  <c r="P89" i="21"/>
  <c r="P197" i="21"/>
  <c r="P209" i="21"/>
  <c r="P233" i="21"/>
  <c r="P245" i="21"/>
  <c r="P257" i="21"/>
  <c r="P269" i="21"/>
  <c r="P281" i="21"/>
  <c r="P293" i="21"/>
  <c r="P317" i="21"/>
  <c r="P323" i="21"/>
  <c r="P329" i="21"/>
  <c r="P335" i="21"/>
  <c r="P425" i="21"/>
  <c r="P437" i="21"/>
  <c r="P449" i="21"/>
  <c r="P461" i="21"/>
  <c r="P467" i="21"/>
  <c r="P473" i="21"/>
  <c r="P485" i="21"/>
  <c r="P491" i="21"/>
  <c r="P509" i="21"/>
  <c r="P515" i="21"/>
  <c r="P568" i="21"/>
  <c r="P574" i="21"/>
  <c r="P580" i="21"/>
  <c r="P674" i="21"/>
  <c r="P692" i="21"/>
  <c r="P704" i="21"/>
  <c r="P710" i="21"/>
  <c r="P733" i="21"/>
  <c r="P756" i="21"/>
  <c r="P850" i="21"/>
  <c r="P1265" i="21"/>
  <c r="P1336" i="21"/>
  <c r="P1342" i="21"/>
  <c r="P1348" i="21"/>
  <c r="P53" i="21"/>
  <c r="P59" i="21"/>
  <c r="P105" i="21"/>
  <c r="P117" i="21"/>
  <c r="P129" i="21"/>
  <c r="P135" i="21"/>
  <c r="P141" i="21"/>
  <c r="P153" i="21"/>
  <c r="P165" i="21"/>
  <c r="P177" i="21"/>
  <c r="P183" i="21"/>
  <c r="P206" i="21"/>
  <c r="P212" i="21"/>
  <c r="P218" i="21"/>
  <c r="P224" i="21"/>
  <c r="P230" i="21"/>
  <c r="P265" i="21"/>
  <c r="P277" i="21"/>
  <c r="P426" i="21"/>
  <c r="P432" i="21"/>
  <c r="P438" i="21"/>
  <c r="P444" i="21"/>
  <c r="P450" i="21"/>
  <c r="P468" i="21"/>
  <c r="P474" i="21"/>
  <c r="P480" i="21"/>
  <c r="P486" i="21"/>
  <c r="P498" i="21"/>
  <c r="P510" i="21"/>
  <c r="P563" i="21"/>
  <c r="P569" i="21"/>
  <c r="P575" i="21"/>
  <c r="P593" i="21"/>
  <c r="P627" i="21"/>
  <c r="P644" i="21"/>
  <c r="P667" i="21"/>
  <c r="P673" i="21"/>
  <c r="P685" i="21"/>
  <c r="P691" i="21"/>
  <c r="P697" i="21"/>
  <c r="P703" i="21"/>
  <c r="P709" i="21"/>
  <c r="P720" i="21"/>
  <c r="P726" i="21"/>
  <c r="P743" i="21"/>
  <c r="P788" i="21"/>
  <c r="P794" i="21"/>
  <c r="P800" i="21"/>
  <c r="P811" i="21"/>
  <c r="P823" i="21"/>
  <c r="P1254" i="21"/>
  <c r="P1260" i="21"/>
  <c r="P1343" i="21"/>
  <c r="C5" i="17"/>
  <c r="C11" i="17" s="1"/>
  <c r="P6" i="21"/>
  <c r="P12" i="21"/>
  <c r="P18" i="21"/>
  <c r="P24" i="21"/>
  <c r="P30" i="21"/>
  <c r="P65" i="21"/>
  <c r="P88" i="21"/>
  <c r="P94" i="21"/>
  <c r="P189" i="21"/>
  <c r="P201" i="21"/>
  <c r="P242" i="21"/>
  <c r="P248" i="21"/>
  <c r="P254" i="21"/>
  <c r="P301" i="21"/>
  <c r="P313" i="21"/>
  <c r="P349" i="21"/>
  <c r="P355" i="21"/>
  <c r="P361" i="21"/>
  <c r="P391" i="21"/>
  <c r="P397" i="21"/>
  <c r="P403" i="21"/>
  <c r="P522" i="21"/>
  <c r="P528" i="21"/>
  <c r="P610" i="21"/>
  <c r="P616" i="21"/>
  <c r="P622" i="21"/>
  <c r="P639" i="21"/>
  <c r="P656" i="21"/>
  <c r="P715" i="21"/>
  <c r="P738" i="21"/>
  <c r="P783" i="21"/>
  <c r="P840" i="21"/>
  <c r="P846" i="21"/>
  <c r="P864" i="21"/>
  <c r="P1272" i="21"/>
  <c r="P1278" i="21"/>
  <c r="P1284" i="21"/>
  <c r="P1290" i="21"/>
  <c r="P1296" i="21"/>
  <c r="P1302" i="21"/>
  <c r="P1308" i="21"/>
  <c r="P1314" i="21"/>
  <c r="P1320" i="21"/>
  <c r="P463" i="21"/>
  <c r="P576" i="21"/>
  <c r="P628" i="21"/>
  <c r="P789" i="21"/>
  <c r="P795" i="21"/>
  <c r="P812" i="21"/>
  <c r="P1261" i="21"/>
  <c r="P1309" i="21"/>
  <c r="P1321" i="21"/>
  <c r="P1327" i="21"/>
  <c r="P118" i="21"/>
  <c r="P7" i="21"/>
  <c r="P49" i="21"/>
  <c r="P101" i="21"/>
  <c r="P107" i="21"/>
  <c r="P125" i="21"/>
  <c r="P137" i="21"/>
  <c r="P155" i="21"/>
  <c r="P161" i="21"/>
  <c r="P190" i="21"/>
  <c r="P220" i="21"/>
  <c r="P267" i="21"/>
  <c r="P404" i="21"/>
  <c r="P446" i="21"/>
  <c r="P452" i="21"/>
  <c r="P458" i="21"/>
  <c r="P464" i="21"/>
  <c r="P494" i="21"/>
  <c r="P500" i="21"/>
  <c r="P512" i="21"/>
  <c r="P518" i="21"/>
  <c r="P571" i="21"/>
  <c r="P577" i="21"/>
  <c r="P583" i="21"/>
  <c r="P595" i="21"/>
  <c r="P629" i="21"/>
  <c r="P681" i="21"/>
  <c r="P693" i="21"/>
  <c r="P699" i="21"/>
  <c r="P705" i="21"/>
  <c r="P722" i="21"/>
  <c r="P745" i="21"/>
  <c r="P751" i="21"/>
  <c r="P767" i="21"/>
  <c r="P784" i="21"/>
  <c r="P819" i="21"/>
  <c r="P825" i="21"/>
  <c r="P830" i="21"/>
  <c r="P836" i="21"/>
  <c r="P865" i="21"/>
  <c r="P1256" i="21"/>
  <c r="P1262" i="21"/>
  <c r="P1333" i="21"/>
  <c r="P1339" i="21"/>
  <c r="P1345" i="21"/>
  <c r="P203" i="21"/>
  <c r="P321" i="21"/>
  <c r="P351" i="21"/>
  <c r="P393" i="21"/>
  <c r="P429" i="21"/>
  <c r="P435" i="21"/>
  <c r="P447" i="21"/>
  <c r="P477" i="21"/>
  <c r="P483" i="21"/>
  <c r="P501" i="21"/>
  <c r="P507" i="21"/>
  <c r="P513" i="21"/>
  <c r="P524" i="21"/>
  <c r="P566" i="21"/>
  <c r="P572" i="21"/>
  <c r="P578" i="21"/>
  <c r="P584" i="21"/>
  <c r="P590" i="21"/>
  <c r="P624" i="21"/>
  <c r="P630" i="21"/>
  <c r="P670" i="21"/>
  <c r="P688" i="21"/>
  <c r="P694" i="21"/>
  <c r="P717" i="21"/>
  <c r="P723" i="21"/>
  <c r="P740" i="21"/>
  <c r="P746" i="21"/>
  <c r="P752" i="21"/>
  <c r="P774" i="21"/>
  <c r="P791" i="21"/>
  <c r="P797" i="21"/>
  <c r="P808" i="21"/>
  <c r="P814" i="21"/>
  <c r="P820" i="21"/>
  <c r="P831" i="21"/>
  <c r="P860" i="21"/>
  <c r="P1257" i="21"/>
  <c r="P1263" i="21"/>
  <c r="P1340" i="21"/>
  <c r="P1346" i="21"/>
  <c r="P221" i="21"/>
  <c r="P653" i="21"/>
  <c r="P81" i="21"/>
  <c r="P109" i="21"/>
  <c r="P121" i="21"/>
  <c r="P175" i="21"/>
  <c r="P341" i="21"/>
  <c r="P377" i="21"/>
  <c r="P389" i="21"/>
  <c r="P407" i="21"/>
  <c r="P419" i="21"/>
  <c r="P526" i="21"/>
  <c r="P538" i="21"/>
  <c r="P550" i="21"/>
  <c r="P579" i="21"/>
  <c r="P701" i="21"/>
  <c r="P775" i="21"/>
  <c r="P809" i="21"/>
  <c r="P815" i="21"/>
  <c r="P138" i="21"/>
  <c r="P537" i="21"/>
  <c r="P769" i="21"/>
  <c r="P1305" i="21"/>
  <c r="P51" i="21"/>
  <c r="P158" i="21"/>
  <c r="P182" i="21"/>
  <c r="P299" i="21"/>
  <c r="P764" i="21"/>
  <c r="P15" i="21"/>
  <c r="P239" i="21"/>
  <c r="P855" i="21"/>
  <c r="P11" i="21"/>
  <c r="P17" i="21"/>
  <c r="P29" i="21"/>
  <c r="P46" i="21"/>
  <c r="P64" i="21"/>
  <c r="P76" i="21"/>
  <c r="P93" i="21"/>
  <c r="P188" i="21"/>
  <c r="P194" i="21"/>
  <c r="P229" i="21"/>
  <c r="P241" i="21"/>
  <c r="P253" i="21"/>
  <c r="P282" i="21"/>
  <c r="P288" i="21"/>
  <c r="P294" i="21"/>
  <c r="P300" i="21"/>
  <c r="P324" i="21"/>
  <c r="P330" i="21"/>
  <c r="P336" i="21"/>
  <c r="P372" i="21"/>
  <c r="P378" i="21"/>
  <c r="P384" i="21"/>
  <c r="P414" i="21"/>
  <c r="P533" i="21"/>
  <c r="P539" i="21"/>
  <c r="P545" i="21"/>
  <c r="P609" i="21"/>
  <c r="P632" i="21"/>
  <c r="P649" i="21"/>
  <c r="P655" i="21"/>
  <c r="P661" i="21"/>
  <c r="P684" i="21"/>
  <c r="P719" i="21"/>
  <c r="P828" i="21"/>
  <c r="P1271" i="21"/>
  <c r="P1295" i="21"/>
  <c r="P1319" i="21"/>
  <c r="P1325" i="21"/>
  <c r="B11" i="18"/>
  <c r="B10" i="18"/>
  <c r="G5" i="18"/>
  <c r="G6" i="18"/>
  <c r="G8" i="18"/>
  <c r="B10" i="23" s="1"/>
  <c r="P380" i="21"/>
  <c r="P295" i="21"/>
  <c r="P171" i="21"/>
  <c r="P214" i="21"/>
  <c r="P219" i="21"/>
  <c r="P263" i="21"/>
  <c r="P421" i="21"/>
  <c r="P757" i="21"/>
  <c r="P773" i="21"/>
  <c r="P83" i="21"/>
  <c r="P99" i="21"/>
  <c r="P247" i="21"/>
  <c r="P805" i="21"/>
  <c r="P853" i="21"/>
  <c r="P369" i="21"/>
  <c r="P621" i="21"/>
  <c r="P95" i="21"/>
  <c r="P837" i="21"/>
  <c r="P1283" i="21"/>
  <c r="P1289" i="21"/>
  <c r="P207" i="21"/>
  <c r="P664" i="21"/>
  <c r="P841" i="21"/>
  <c r="P166" i="21"/>
  <c r="P16" i="21"/>
  <c r="P42" i="21"/>
  <c r="P48" i="21"/>
  <c r="P63" i="21"/>
  <c r="P90" i="21"/>
  <c r="P162" i="21"/>
  <c r="P173" i="21"/>
  <c r="P337" i="21"/>
  <c r="P343" i="21"/>
  <c r="P354" i="21"/>
  <c r="P366" i="21"/>
  <c r="P383" i="21"/>
  <c r="P400" i="21"/>
  <c r="F5" i="17" s="1"/>
  <c r="F11" i="17" s="1"/>
  <c r="P417" i="21"/>
  <c r="P440" i="21"/>
  <c r="P514" i="21"/>
  <c r="P559" i="21"/>
  <c r="P587" i="21"/>
  <c r="P592" i="21"/>
  <c r="P635" i="21"/>
  <c r="P700" i="21"/>
  <c r="P780" i="21"/>
  <c r="P785" i="21"/>
  <c r="P796" i="21"/>
  <c r="P832" i="21"/>
  <c r="P1301" i="21"/>
  <c r="P234" i="21"/>
  <c r="P186" i="21"/>
  <c r="P1267" i="21"/>
  <c r="P191" i="21"/>
  <c r="P27" i="21"/>
  <c r="P43" i="21"/>
  <c r="P211" i="21"/>
  <c r="P227" i="21"/>
  <c r="P287" i="21"/>
  <c r="P395" i="21"/>
  <c r="P641" i="21"/>
  <c r="P544" i="21"/>
  <c r="P3" i="21"/>
  <c r="P517" i="21"/>
  <c r="P31" i="21"/>
  <c r="P111" i="21"/>
  <c r="P319" i="21"/>
  <c r="P47" i="21"/>
  <c r="P22" i="21"/>
  <c r="P70" i="21"/>
  <c r="P75" i="21"/>
  <c r="P119" i="21"/>
  <c r="P271" i="21"/>
  <c r="P332" i="21"/>
  <c r="P367" i="21"/>
  <c r="P765" i="21"/>
  <c r="P861" i="21"/>
  <c r="P793" i="21"/>
  <c r="P443" i="21"/>
  <c r="P489" i="21"/>
  <c r="P67" i="21"/>
  <c r="P279" i="21"/>
  <c r="P139" i="21"/>
  <c r="P34" i="21"/>
  <c r="P103" i="21"/>
  <c r="P114" i="21"/>
  <c r="P120" i="21"/>
  <c r="P142" i="21"/>
  <c r="P147" i="21"/>
  <c r="P196" i="21"/>
  <c r="P255" i="21"/>
  <c r="P261" i="21"/>
  <c r="P305" i="21"/>
  <c r="P311" i="21"/>
  <c r="P322" i="21"/>
  <c r="P333" i="21"/>
  <c r="P385" i="21"/>
  <c r="P413" i="21"/>
  <c r="P471" i="21"/>
  <c r="P488" i="21"/>
  <c r="P499" i="21"/>
  <c r="P504" i="21"/>
  <c r="P555" i="21"/>
  <c r="P604" i="21"/>
  <c r="P615" i="21"/>
  <c r="P680" i="21"/>
  <c r="P686" i="21"/>
  <c r="P744" i="21"/>
  <c r="P766" i="21"/>
  <c r="P803" i="21"/>
  <c r="P813" i="21"/>
  <c r="P845" i="21"/>
  <c r="P856" i="21"/>
  <c r="P862" i="21"/>
  <c r="P1280" i="21"/>
  <c r="P1286" i="21"/>
  <c r="P79" i="21"/>
  <c r="P100" i="21"/>
  <c r="P110" i="21"/>
  <c r="P115" i="21"/>
  <c r="P136" i="21"/>
  <c r="P146" i="21"/>
  <c r="P151" i="21"/>
  <c r="P172" i="21"/>
  <c r="P187" i="21"/>
  <c r="P208" i="21"/>
  <c r="P223" i="21"/>
  <c r="P244" i="21"/>
  <c r="P260" i="21"/>
  <c r="P270" i="21"/>
  <c r="P275" i="21"/>
  <c r="P286" i="21"/>
  <c r="P307" i="21"/>
  <c r="P312" i="21"/>
  <c r="P318" i="21"/>
  <c r="P334" i="21"/>
  <c r="P345" i="21"/>
  <c r="P368" i="21"/>
  <c r="P373" i="21"/>
  <c r="P379" i="21"/>
  <c r="P390" i="21"/>
  <c r="P396" i="21"/>
  <c r="P401" i="21"/>
  <c r="P423" i="21"/>
  <c r="P456" i="21"/>
  <c r="P462" i="21"/>
  <c r="P479" i="21"/>
  <c r="P490" i="21"/>
  <c r="P506" i="21"/>
  <c r="P516" i="21"/>
  <c r="P527" i="21"/>
  <c r="P532" i="21"/>
  <c r="P543" i="21"/>
  <c r="P554" i="21"/>
  <c r="P565" i="21"/>
  <c r="P581" i="21"/>
  <c r="P586" i="21"/>
  <c r="P640" i="21"/>
  <c r="P676" i="21"/>
  <c r="P696" i="21"/>
  <c r="P706" i="21"/>
  <c r="P721" i="21"/>
  <c r="P736" i="21"/>
  <c r="P761" i="21"/>
  <c r="P782" i="21"/>
  <c r="P792" i="21"/>
  <c r="P822" i="21"/>
  <c r="P842" i="21"/>
  <c r="P852" i="21"/>
  <c r="P857" i="21"/>
  <c r="P1258" i="21"/>
  <c r="P1264" i="21"/>
  <c r="P1269" i="21"/>
  <c r="P1297" i="21"/>
  <c r="P1307" i="21"/>
  <c r="P1318" i="21"/>
  <c r="P1323" i="21"/>
  <c r="P1334" i="21"/>
  <c r="P1329" i="21"/>
  <c r="P1259" i="21"/>
  <c r="P1335" i="21"/>
  <c r="P19" i="21"/>
  <c r="P55" i="21"/>
  <c r="P91" i="21"/>
  <c r="P127" i="21"/>
  <c r="P163" i="21"/>
  <c r="P199" i="21"/>
  <c r="P235" i="21"/>
  <c r="P347" i="21"/>
  <c r="P408" i="21"/>
  <c r="P441" i="21"/>
  <c r="P469" i="21"/>
  <c r="P833" i="21"/>
  <c r="P1281" i="21"/>
  <c r="P1287" i="21"/>
  <c r="P35" i="21"/>
  <c r="P66" i="21"/>
  <c r="P71" i="21"/>
  <c r="P102" i="21"/>
  <c r="P128" i="21"/>
  <c r="P164" i="21"/>
  <c r="P179" i="21"/>
  <c r="P200" i="21"/>
  <c r="P210" i="21"/>
  <c r="P215" i="21"/>
  <c r="P236" i="21"/>
  <c r="P246" i="21"/>
  <c r="P251" i="21"/>
  <c r="P262" i="21"/>
  <c r="P309" i="21"/>
  <c r="P315" i="21"/>
  <c r="P325" i="21"/>
  <c r="P342" i="21"/>
  <c r="P348" i="21"/>
  <c r="P353" i="21"/>
  <c r="P376" i="21"/>
  <c r="P398" i="21"/>
  <c r="P409" i="21"/>
  <c r="P436" i="21"/>
  <c r="P442" i="21"/>
  <c r="P453" i="21"/>
  <c r="P459" i="21"/>
  <c r="P470" i="21"/>
  <c r="P481" i="21"/>
  <c r="P492" i="21"/>
  <c r="P497" i="21"/>
  <c r="P529" i="21"/>
  <c r="P534" i="21"/>
  <c r="P588" i="21"/>
  <c r="P598" i="21"/>
  <c r="P668" i="21"/>
  <c r="P708" i="21"/>
  <c r="P728" i="21"/>
  <c r="P824" i="21"/>
  <c r="P834" i="21"/>
  <c r="P844" i="21"/>
  <c r="P10" i="21"/>
  <c r="P36" i="21"/>
  <c r="P72" i="21"/>
  <c r="P82" i="21"/>
  <c r="P154" i="21"/>
  <c r="P180" i="21"/>
  <c r="P216" i="21"/>
  <c r="P226" i="21"/>
  <c r="P252" i="21"/>
  <c r="P278" i="21"/>
  <c r="P304" i="21"/>
  <c r="P326" i="21"/>
  <c r="P331" i="21"/>
  <c r="P365" i="21"/>
  <c r="P382" i="21"/>
  <c r="P420" i="21"/>
  <c r="P431" i="21"/>
  <c r="P487" i="21"/>
  <c r="P503" i="21"/>
  <c r="P519" i="21"/>
  <c r="P540" i="21"/>
  <c r="P546" i="21"/>
  <c r="P573" i="21"/>
  <c r="P608" i="21"/>
  <c r="P613" i="21"/>
  <c r="P633" i="21"/>
  <c r="P638" i="21"/>
  <c r="P658" i="21"/>
  <c r="P689" i="21"/>
  <c r="P724" i="21"/>
  <c r="P729" i="21"/>
  <c r="P754" i="21"/>
  <c r="P1277" i="21"/>
  <c r="P1294" i="21"/>
  <c r="P1310" i="21"/>
  <c r="P250" i="21"/>
  <c r="P274" i="21"/>
  <c r="P298" i="21"/>
  <c r="P359" i="21"/>
  <c r="P455" i="21"/>
  <c r="P556" i="21"/>
  <c r="P606" i="21"/>
  <c r="P669" i="21"/>
  <c r="P698" i="21"/>
  <c r="P737" i="21"/>
  <c r="P772" i="21"/>
  <c r="P826" i="21"/>
  <c r="N1" i="21"/>
  <c r="P306" i="21"/>
  <c r="P387" i="21"/>
  <c r="P402" i="21"/>
  <c r="P662" i="21"/>
  <c r="P730" i="21"/>
  <c r="P338" i="21"/>
  <c r="P386" i="21"/>
  <c r="P434" i="21"/>
  <c r="P482" i="21"/>
  <c r="P562" i="21"/>
  <c r="P634" i="21"/>
  <c r="P652" i="21"/>
  <c r="P702" i="21"/>
  <c r="P734" i="21"/>
  <c r="P310" i="21"/>
  <c r="P358" i="21"/>
  <c r="P406" i="21"/>
  <c r="P454" i="21"/>
  <c r="P650" i="21"/>
  <c r="P682" i="21"/>
  <c r="P802" i="21"/>
  <c r="P742" i="21"/>
  <c r="P790" i="21"/>
  <c r="P838" i="21"/>
  <c r="P570" i="21"/>
  <c r="P618" i="21"/>
  <c r="P666" i="21"/>
  <c r="P714" i="21"/>
  <c r="P762" i="21"/>
  <c r="P810" i="21"/>
  <c r="P858" i="21"/>
  <c r="G6" i="17"/>
  <c r="G10" i="17"/>
  <c r="C13" i="17" l="1"/>
  <c r="C12" i="17"/>
  <c r="F13" i="17"/>
  <c r="F12" i="17"/>
  <c r="B5" i="17"/>
  <c r="P1" i="21"/>
  <c r="D5" i="17"/>
  <c r="D11" i="17" s="1"/>
  <c r="E5" i="17"/>
  <c r="E11" i="17" s="1"/>
  <c r="G4" i="18"/>
  <c r="G11" i="18"/>
  <c r="G10" i="18"/>
  <c r="G9" i="18"/>
  <c r="E13" i="17" l="1"/>
  <c r="E12" i="17"/>
  <c r="D13" i="17"/>
  <c r="D12" i="17"/>
  <c r="G5" i="17"/>
  <c r="B11" i="17"/>
  <c r="D64" i="10"/>
  <c r="C64" i="10"/>
  <c r="C60" i="10"/>
  <c r="H68" i="10"/>
  <c r="C68" i="10"/>
  <c r="C59" i="10"/>
  <c r="B13" i="17" l="1"/>
  <c r="G13" i="17" s="1"/>
  <c r="B12" i="17"/>
  <c r="G12" i="17" s="1"/>
  <c r="G11" i="17"/>
  <c r="B11" i="23" s="1"/>
  <c r="K65" i="10"/>
  <c r="C69" i="10"/>
  <c r="C63" i="10"/>
  <c r="L1" i="13"/>
  <c r="G59" i="10"/>
  <c r="G60" i="10" s="1"/>
  <c r="F59" i="10"/>
  <c r="F60" i="10" s="1"/>
  <c r="E59" i="10"/>
  <c r="E60" i="10" s="1"/>
  <c r="D59" i="10"/>
  <c r="D60" i="10" s="1"/>
  <c r="K53" i="10"/>
  <c r="C71" i="10"/>
  <c r="C61" i="10" s="1"/>
  <c r="D71" i="10"/>
  <c r="G57" i="10"/>
  <c r="F57" i="10"/>
  <c r="F64" i="10" s="1"/>
  <c r="E57" i="10"/>
  <c r="E64" i="10" s="1"/>
  <c r="D57" i="10"/>
  <c r="F62" i="10"/>
  <c r="E62" i="10"/>
  <c r="G71" i="10"/>
  <c r="F71" i="10"/>
  <c r="F61" i="10" s="1"/>
  <c r="E71" i="10"/>
  <c r="E61" i="10" s="1"/>
  <c r="C56" i="10"/>
  <c r="C57" i="10" s="1"/>
  <c r="H54" i="10"/>
  <c r="H55" i="10"/>
  <c r="B12" i="23" l="1"/>
  <c r="B14" i="23" s="1"/>
  <c r="H59" i="10"/>
  <c r="H61" i="10"/>
  <c r="E65" i="10"/>
  <c r="F65" i="10"/>
  <c r="D65" i="10"/>
  <c r="G64" i="10"/>
  <c r="G65" i="10" s="1"/>
  <c r="H64" i="10" l="1"/>
  <c r="C65" i="10"/>
  <c r="C66" i="10" s="1"/>
  <c r="G67" i="10"/>
  <c r="F67" i="10"/>
  <c r="F66" i="10"/>
  <c r="E67" i="10"/>
  <c r="E66" i="10"/>
  <c r="D67" i="10" l="1"/>
  <c r="G66" i="10"/>
  <c r="D66" i="10"/>
  <c r="H66" i="10" s="1"/>
  <c r="H65" i="10"/>
  <c r="C67" i="10"/>
  <c r="H67" i="10" l="1"/>
  <c r="H60" i="10" l="1"/>
  <c r="H58" i="10" l="1"/>
  <c r="K55" i="10" l="1"/>
  <c r="C40" i="10" l="1"/>
  <c r="G68" i="10" l="1"/>
  <c r="F68" i="10"/>
  <c r="E68" i="10"/>
  <c r="D68" i="10"/>
  <c r="E4" i="10"/>
  <c r="I2" i="10"/>
  <c r="I3" i="10"/>
  <c r="C8" i="10"/>
  <c r="C9" i="10"/>
  <c r="E14" i="10"/>
  <c r="H12" i="10"/>
  <c r="H13" i="10"/>
  <c r="K14" i="10"/>
  <c r="E20" i="10"/>
  <c r="I18" i="10"/>
  <c r="I19" i="10"/>
  <c r="E27" i="10"/>
  <c r="H24" i="10"/>
  <c r="H25" i="10"/>
  <c r="H69" i="10" l="1"/>
  <c r="H14" i="10"/>
  <c r="L14" i="10" s="1"/>
  <c r="C10" i="10"/>
  <c r="I4" i="10"/>
  <c r="I20" i="10"/>
  <c r="H26" i="10"/>
  <c r="M1" i="7"/>
  <c r="K1" i="7"/>
  <c r="M1" i="6"/>
  <c r="K1" i="6"/>
  <c r="M1" i="5"/>
  <c r="K1" i="5"/>
  <c r="M1" i="4"/>
  <c r="K1" i="4"/>
  <c r="M1" i="3"/>
  <c r="K1" i="3"/>
  <c r="M1" i="2"/>
  <c r="K1" i="2"/>
  <c r="M1" i="1"/>
  <c r="K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Feruz Abdurakhmonov</author>
  </authors>
  <commentList>
    <comment ref="A6" authorId="0" shapeId="0" xr:uid="{6EA8A0D0-432E-D743-BDBD-26B6B6025227}">
      <text>
        <r>
          <rPr>
            <b/>
            <sz val="10"/>
            <color rgb="FF000000"/>
            <rFont val="Tahoma"/>
            <family val="2"/>
            <charset val="204"/>
          </rPr>
          <t>Feruz Abdurakhmonov: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Логистика
</t>
        </r>
        <r>
          <rPr>
            <sz val="10"/>
            <color rgb="FF000000"/>
            <rFont val="Tahoma"/>
            <family val="2"/>
            <charset val="204"/>
          </rPr>
          <t>Операторы и склады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Feruz Abdurakhmonov</author>
  </authors>
  <commentList>
    <comment ref="A4" authorId="0" shapeId="0" xr:uid="{E7AA64D9-6F0B-574F-B589-9B7D703399E6}">
      <text>
        <r>
          <rPr>
            <b/>
            <sz val="10"/>
            <color rgb="FF000000"/>
            <rFont val="Tahoma"/>
            <family val="2"/>
            <charset val="204"/>
          </rPr>
          <t>Feruz Abdurakhmonov: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Логистика
</t>
        </r>
        <r>
          <rPr>
            <sz val="10"/>
            <color rgb="FF000000"/>
            <rFont val="Tahoma"/>
            <family val="2"/>
            <charset val="204"/>
          </rPr>
          <t>Операторы и склады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Feruz Abdurakhmonov</author>
  </authors>
  <commentList>
    <comment ref="B60" authorId="0" shapeId="0" xr:uid="{B2359437-0029-894E-8C08-DEBC9AF91D0E}">
      <text>
        <r>
          <rPr>
            <b/>
            <sz val="10"/>
            <color rgb="FF000000"/>
            <rFont val="Tahoma"/>
            <family val="2"/>
            <charset val="204"/>
          </rPr>
          <t>Feruz Abdurakhmonov: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Логистика
</t>
        </r>
        <r>
          <rPr>
            <sz val="10"/>
            <color rgb="FF000000"/>
            <rFont val="Tahoma"/>
            <family val="2"/>
            <charset val="204"/>
          </rPr>
          <t>Операторы и склады</t>
        </r>
      </text>
    </comment>
  </commentList>
</comments>
</file>

<file path=xl/sharedStrings.xml><?xml version="1.0" encoding="utf-8"?>
<sst xmlns="http://schemas.openxmlformats.org/spreadsheetml/2006/main" count="23276" uniqueCount="2210">
  <si>
    <t>Год</t>
  </si>
  <si>
    <t>Месяц</t>
  </si>
  <si>
    <t>Дата</t>
  </si>
  <si>
    <t>Номер СФ</t>
  </si>
  <si>
    <t>Медпредставитель</t>
  </si>
  <si>
    <t>Команда</t>
  </si>
  <si>
    <t>РМ</t>
  </si>
  <si>
    <t>Поставщик</t>
  </si>
  <si>
    <t>Название организации</t>
  </si>
  <si>
    <t>Наименование</t>
  </si>
  <si>
    <t>Количество</t>
  </si>
  <si>
    <t>Цена</t>
  </si>
  <si>
    <t>Сумма</t>
  </si>
  <si>
    <t>% наценки</t>
  </si>
  <si>
    <t>Сумма наценки</t>
  </si>
  <si>
    <t>GB000000662</t>
  </si>
  <si>
    <t>Фотима опа</t>
  </si>
  <si>
    <t>Сирдарьё_Фотима Опа</t>
  </si>
  <si>
    <t>Козим ака</t>
  </si>
  <si>
    <t>GB</t>
  </si>
  <si>
    <t>"Ozodbek-Yan-Farm" Xk</t>
  </si>
  <si>
    <t>Эльфор р-р. для инф  5м/мл</t>
  </si>
  <si>
    <t>GB000000733</t>
  </si>
  <si>
    <t>"Behzod-Farm-Yangiyer" Mchj</t>
  </si>
  <si>
    <t>GB000000770</t>
  </si>
  <si>
    <t>"Baxtiyor Turg'unovich" Ktxf</t>
  </si>
  <si>
    <t>GB000000776</t>
  </si>
  <si>
    <t>GB000000922</t>
  </si>
  <si>
    <t>Asad Jahongir Farm Mchj</t>
  </si>
  <si>
    <t>GB000000954</t>
  </si>
  <si>
    <t>"Askarbinka Vitaminka" Mchj</t>
  </si>
  <si>
    <t>GB000001499</t>
  </si>
  <si>
    <t>Тошкент_0</t>
  </si>
  <si>
    <t>"Profi Pharm Service" Mchj</t>
  </si>
  <si>
    <t>GB000000070</t>
  </si>
  <si>
    <t>Дилнавоз опа (Тош)</t>
  </si>
  <si>
    <t>Ташкент_Дилнавоз опа</t>
  </si>
  <si>
    <t>"CITY PHARM" mas'uliyati cheklangan jamiyati</t>
  </si>
  <si>
    <t>Эпсол раствор для инфузий 12 мг/мл 50 мл</t>
  </si>
  <si>
    <t>GB000000085</t>
  </si>
  <si>
    <t>"Apteka Klassika" Mchj</t>
  </si>
  <si>
    <t>Миранол раствор для инфузий 50 мл</t>
  </si>
  <si>
    <t>GB000000092</t>
  </si>
  <si>
    <t>Мехриддин ака (Нав)</t>
  </si>
  <si>
    <t>Навоий_Мехриддин ака</t>
  </si>
  <si>
    <t>"Jaxon-Farm-Javohir" Mchj</t>
  </si>
  <si>
    <t>Ландиос Раствор для инфузий 100мл стеклянные флаконы</t>
  </si>
  <si>
    <t>GB000000099</t>
  </si>
  <si>
    <t>Дилором опа (Тош)</t>
  </si>
  <si>
    <t>"Health Planeta" Mchj</t>
  </si>
  <si>
    <t>GB000000100</t>
  </si>
  <si>
    <t>"Prosperiti-Farm" Mchj</t>
  </si>
  <si>
    <t>GB000000103</t>
  </si>
  <si>
    <t>"Farhod Buyuk Farm" Mchj</t>
  </si>
  <si>
    <t>GB000000108</t>
  </si>
  <si>
    <t>"Shifo-Pharm 111" Mchj</t>
  </si>
  <si>
    <t>GB000000122</t>
  </si>
  <si>
    <t>"Umar Fayz Farm" Mchj</t>
  </si>
  <si>
    <t>GB000000125</t>
  </si>
  <si>
    <t>Нигора (Тош)</t>
  </si>
  <si>
    <t>World Of Medicine Mchj</t>
  </si>
  <si>
    <t>GB000000127</t>
  </si>
  <si>
    <t>"Vita Pharm Navoiy" Mchj</t>
  </si>
  <si>
    <t>GB000000143</t>
  </si>
  <si>
    <t>"Navbahor Dori Ta`Minoti" Mchj</t>
  </si>
  <si>
    <t>GB000000144</t>
  </si>
  <si>
    <t>"Ashio Pharm" Mchj</t>
  </si>
  <si>
    <t>GB000000169</t>
  </si>
  <si>
    <t>Ситора опа (Тош)</t>
  </si>
  <si>
    <t>"7777 Pharm" Mchj</t>
  </si>
  <si>
    <t>GB000000174</t>
  </si>
  <si>
    <t>"Bio Nur Med" Mchj</t>
  </si>
  <si>
    <t>GB000000175</t>
  </si>
  <si>
    <t>"Madina Shifo Nur" Mchj</t>
  </si>
  <si>
    <t>GB000000181</t>
  </si>
  <si>
    <t>"Tosh-Po'lat Pharm" Mchj</t>
  </si>
  <si>
    <t>GB000000182</t>
  </si>
  <si>
    <t>GB000000192</t>
  </si>
  <si>
    <t>Шохжахон ипс</t>
  </si>
  <si>
    <t>MCHJ Farm Lyuks Invest</t>
  </si>
  <si>
    <t>GB000000213</t>
  </si>
  <si>
    <t>"Pharm 999" Mchj</t>
  </si>
  <si>
    <t>GB000000215</t>
  </si>
  <si>
    <t>"Everest  Medical Center" Mchj</t>
  </si>
  <si>
    <t>GB000000236</t>
  </si>
  <si>
    <t>"Yasmina Omad Farm" Mchj</t>
  </si>
  <si>
    <t>GB000000241</t>
  </si>
  <si>
    <t>GB000000244</t>
  </si>
  <si>
    <t>GB000000272</t>
  </si>
  <si>
    <t>"Gulshoda Nur Farm" Mchj</t>
  </si>
  <si>
    <t>GB000000281</t>
  </si>
  <si>
    <t>"Fito-Farm-Lek" Mchj</t>
  </si>
  <si>
    <t>GB000000297</t>
  </si>
  <si>
    <t>"Zulfiya Med Farm 77" Xk</t>
  </si>
  <si>
    <t>GB000000300</t>
  </si>
  <si>
    <t>GB000000303</t>
  </si>
  <si>
    <t>GB000000323</t>
  </si>
  <si>
    <t>"Chiroy-Pharm" Mchj</t>
  </si>
  <si>
    <t>GB000000324</t>
  </si>
  <si>
    <t>"Azam - Asror" Xk</t>
  </si>
  <si>
    <t>GB000000326</t>
  </si>
  <si>
    <t>GB000000341</t>
  </si>
  <si>
    <t>GB000000374</t>
  </si>
  <si>
    <t>"Akbar Pharm Servis" Mchj</t>
  </si>
  <si>
    <t>GB000000380</t>
  </si>
  <si>
    <t>GB000000385</t>
  </si>
  <si>
    <t>GB000000404</t>
  </si>
  <si>
    <t>GB000000413</t>
  </si>
  <si>
    <t>GB000000435</t>
  </si>
  <si>
    <t>MCHJ Salomatlik-98</t>
  </si>
  <si>
    <t>GB000000440</t>
  </si>
  <si>
    <t>"Leader Pharmgroup" Xk</t>
  </si>
  <si>
    <t>GB000000448</t>
  </si>
  <si>
    <t>"Aisha Neo Farm" Mchj</t>
  </si>
  <si>
    <t>GB000000461</t>
  </si>
  <si>
    <t>GB000000482</t>
  </si>
  <si>
    <t>GB000000498</t>
  </si>
  <si>
    <t>"Grand-Medikal Center" Mchj</t>
  </si>
  <si>
    <t>GB000000501</t>
  </si>
  <si>
    <t>GB000000502</t>
  </si>
  <si>
    <t>"Nata Vigor Pharm" Mchj</t>
  </si>
  <si>
    <t>GB000000505</t>
  </si>
  <si>
    <t>"Xumora Farm" Mchj</t>
  </si>
  <si>
    <t>GB000000507</t>
  </si>
  <si>
    <t>"Be First Farm" Mchj</t>
  </si>
  <si>
    <t>GB000000509</t>
  </si>
  <si>
    <t>GB000000516</t>
  </si>
  <si>
    <t>"Amir Pharmacy" Mchj</t>
  </si>
  <si>
    <t>GB000000522</t>
  </si>
  <si>
    <t>"Zbz Pharm Lyubimaya 8888" Mchj</t>
  </si>
  <si>
    <t>GB000000523</t>
  </si>
  <si>
    <t>GB000000528</t>
  </si>
  <si>
    <t>GB000000562</t>
  </si>
  <si>
    <t>"Aero Pharm Pharmacy" Mchj</t>
  </si>
  <si>
    <t>GB000000013</t>
  </si>
  <si>
    <t>GB000000567</t>
  </si>
  <si>
    <t>GB000000573</t>
  </si>
  <si>
    <t>GB000000576</t>
  </si>
  <si>
    <t>GB000000580</t>
  </si>
  <si>
    <t>GB000000589</t>
  </si>
  <si>
    <t>"NUR ZIYO SHER" mas`uliyati cheklangan jamiyati</t>
  </si>
  <si>
    <t>GB000000594</t>
  </si>
  <si>
    <t>GB000000609</t>
  </si>
  <si>
    <t>"Diyor-Farm" Mchj</t>
  </si>
  <si>
    <t>GB000000614</t>
  </si>
  <si>
    <t>"Damin Gulchehra Farm" Mchj</t>
  </si>
  <si>
    <t>GB000000616</t>
  </si>
  <si>
    <t>GB000000619</t>
  </si>
  <si>
    <t>"Afruza Meditsin" Mchj</t>
  </si>
  <si>
    <t>GB000000640</t>
  </si>
  <si>
    <t>GB000000671</t>
  </si>
  <si>
    <t>GB000000679</t>
  </si>
  <si>
    <t>GB000000681</t>
  </si>
  <si>
    <t>GB000000694</t>
  </si>
  <si>
    <t>GB000000698</t>
  </si>
  <si>
    <t>GB000000714</t>
  </si>
  <si>
    <t>GB000000729</t>
  </si>
  <si>
    <t>GB000000730</t>
  </si>
  <si>
    <t>"Madinaxon Plyus Mubinaxon" Mchj</t>
  </si>
  <si>
    <t>GB000000737</t>
  </si>
  <si>
    <t>GB000000739</t>
  </si>
  <si>
    <t>"Pharmservis" Mchj</t>
  </si>
  <si>
    <t>GB000000769</t>
  </si>
  <si>
    <t>GB000000784</t>
  </si>
  <si>
    <t>GB000000787</t>
  </si>
  <si>
    <t>GB000000794</t>
  </si>
  <si>
    <t>GB000000809</t>
  </si>
  <si>
    <t>GB000000825</t>
  </si>
  <si>
    <t>GB000000841</t>
  </si>
  <si>
    <t>GB000000844</t>
  </si>
  <si>
    <t>Махфуза опа (Тош)</t>
  </si>
  <si>
    <t>GB000000861</t>
  </si>
  <si>
    <t>GB000000863</t>
  </si>
  <si>
    <t>"Ixlos-Farm" Mchj</t>
  </si>
  <si>
    <t>GB000000891</t>
  </si>
  <si>
    <t>GB000000892</t>
  </si>
  <si>
    <t>GB000000896</t>
  </si>
  <si>
    <t>GB000000899</t>
  </si>
  <si>
    <t>GB000000900</t>
  </si>
  <si>
    <t>"Universal-Farm-Plus" Qmj</t>
  </si>
  <si>
    <t>GB000000920</t>
  </si>
  <si>
    <t>GB000000930</t>
  </si>
  <si>
    <t>GB000000941</t>
  </si>
  <si>
    <t>GB000000943</t>
  </si>
  <si>
    <t>GB000000945</t>
  </si>
  <si>
    <t>GB000000947</t>
  </si>
  <si>
    <t>GB000000948</t>
  </si>
  <si>
    <t>"Vaksina Healthcare" Mchj</t>
  </si>
  <si>
    <t>GB000000949</t>
  </si>
  <si>
    <t>GB000000958</t>
  </si>
  <si>
    <t>GB000000964</t>
  </si>
  <si>
    <t>GB000000974</t>
  </si>
  <si>
    <t>GB000000986</t>
  </si>
  <si>
    <t>"Erkin-Med-Pharm" Mchj</t>
  </si>
  <si>
    <t>GB000000992</t>
  </si>
  <si>
    <t>GB000000993</t>
  </si>
  <si>
    <t>GB000000995</t>
  </si>
  <si>
    <t>"Zamin Medikal Farm" Mchj</t>
  </si>
  <si>
    <t>GB000001004</t>
  </si>
  <si>
    <t>"Sofiya Pharm 999" Mchj</t>
  </si>
  <si>
    <t>GB000001012</t>
  </si>
  <si>
    <t>GB000001014</t>
  </si>
  <si>
    <t>GB000001019</t>
  </si>
  <si>
    <t>GB000001021</t>
  </si>
  <si>
    <t>GB000001065</t>
  </si>
  <si>
    <t>"Qudratilla Baraka Savdo" Mchj</t>
  </si>
  <si>
    <t>GB000001067</t>
  </si>
  <si>
    <t>GB000001073</t>
  </si>
  <si>
    <t>"Ssss-Med" Mchj</t>
  </si>
  <si>
    <t>GB000001077</t>
  </si>
  <si>
    <t>"Accees Pharm" Mchj</t>
  </si>
  <si>
    <t>GB000001101</t>
  </si>
  <si>
    <t>GB000001109</t>
  </si>
  <si>
    <t>GB000001159</t>
  </si>
  <si>
    <t>GB000001160</t>
  </si>
  <si>
    <t>GB000001166</t>
  </si>
  <si>
    <t>GB000001200</t>
  </si>
  <si>
    <t>"Yusuf Max Pharm" Mchj</t>
  </si>
  <si>
    <t>GB000001201</t>
  </si>
  <si>
    <t>"Pharma Cosmos" Mchj</t>
  </si>
  <si>
    <t>GB000001205</t>
  </si>
  <si>
    <t>GB000001222</t>
  </si>
  <si>
    <t>GB000001237</t>
  </si>
  <si>
    <t>GB000001241</t>
  </si>
  <si>
    <t>GB000001257</t>
  </si>
  <si>
    <t>GB000001269</t>
  </si>
  <si>
    <t>"Mirzobek Odilbek Med Farm" Mchj</t>
  </si>
  <si>
    <t>GB000001272</t>
  </si>
  <si>
    <t>"Premyer Farm Shifo" Xk</t>
  </si>
  <si>
    <t>GB000001303</t>
  </si>
  <si>
    <t>GB000001304</t>
  </si>
  <si>
    <t>GB000001306</t>
  </si>
  <si>
    <t>GB000001311</t>
  </si>
  <si>
    <t>"Mavjuda Ona Pharm" Mchj</t>
  </si>
  <si>
    <t>GB000001312</t>
  </si>
  <si>
    <t>GB000001313</t>
  </si>
  <si>
    <t>GB000001323</t>
  </si>
  <si>
    <t>"Mannid Farm" Mchj</t>
  </si>
  <si>
    <t>GB000001355</t>
  </si>
  <si>
    <t>GB000001365</t>
  </si>
  <si>
    <t>GB000001369</t>
  </si>
  <si>
    <t>GB000001373</t>
  </si>
  <si>
    <t>GB000001380</t>
  </si>
  <si>
    <t>GB000001384</t>
  </si>
  <si>
    <t>GB000001388</t>
  </si>
  <si>
    <t>GB000001391</t>
  </si>
  <si>
    <t>GB000001392</t>
  </si>
  <si>
    <t>GB000001395</t>
  </si>
  <si>
    <t>GB000001406</t>
  </si>
  <si>
    <t>GB000001412</t>
  </si>
  <si>
    <t>GB000001413</t>
  </si>
  <si>
    <t>PPS00002118</t>
  </si>
  <si>
    <t>Сарварбек ака</t>
  </si>
  <si>
    <t>Сурхондарьё_Сарвар ака</t>
  </si>
  <si>
    <t>Азизбек ака</t>
  </si>
  <si>
    <t>PPS</t>
  </si>
  <si>
    <t>"Nurbek Layt" Xk</t>
  </si>
  <si>
    <t>PPS00002496</t>
  </si>
  <si>
    <t>Нозими опа (Бух)</t>
  </si>
  <si>
    <t>Бухоро_Рустам ака</t>
  </si>
  <si>
    <t>Зикрулло ака</t>
  </si>
  <si>
    <t>"Diabetes Pharma" Mchj</t>
  </si>
  <si>
    <t>PPS00002647</t>
  </si>
  <si>
    <t>"IBN SINO" XK</t>
  </si>
  <si>
    <t>PPS00002691</t>
  </si>
  <si>
    <t>Рустам ака (Т.О)</t>
  </si>
  <si>
    <t>Таш,Обл_Рустам ака</t>
  </si>
  <si>
    <t>"Farma Com Pro" Mchj</t>
  </si>
  <si>
    <t>PPS00003424</t>
  </si>
  <si>
    <t>Sport Plyus Xk</t>
  </si>
  <si>
    <t>PPS00003544</t>
  </si>
  <si>
    <t>Хуршид Ака 3 (Сам)</t>
  </si>
  <si>
    <t>Самарканд_Хуршед ака</t>
  </si>
  <si>
    <t>Алишер</t>
  </si>
  <si>
    <t>"Star Asadbek" Mchj</t>
  </si>
  <si>
    <t>PPS00003551</t>
  </si>
  <si>
    <t>PPS00003627</t>
  </si>
  <si>
    <t>PPS00003759</t>
  </si>
  <si>
    <t>"Buxoro Dori Darmon" Mchj</t>
  </si>
  <si>
    <t>PPS00004467</t>
  </si>
  <si>
    <t>Абдушукур ака (Сир)</t>
  </si>
  <si>
    <t>Сирдарё_Фотима опа</t>
  </si>
  <si>
    <t>ЧП "Aju-Biznes-Star"</t>
  </si>
  <si>
    <t>PPS00004665</t>
  </si>
  <si>
    <t>Фотима опа (Сир)</t>
  </si>
  <si>
    <t>MCHJ Asad Jahongir Farm</t>
  </si>
  <si>
    <t>PPS00004667</t>
  </si>
  <si>
    <t>Гулшода опа (Нав)</t>
  </si>
  <si>
    <t>Навоий_Гулшода опа</t>
  </si>
  <si>
    <t>"NAVBAHOR DORI TA'MINOTI" MChJ</t>
  </si>
  <si>
    <t>PPS00004687</t>
  </si>
  <si>
    <t>PPS00004788</t>
  </si>
  <si>
    <t>ЧП "Ozodbek-Yan-Farm"</t>
  </si>
  <si>
    <t>PPS00004789</t>
  </si>
  <si>
    <t>MCHJ Giyoh 25 Yil</t>
  </si>
  <si>
    <t>PPS00005233</t>
  </si>
  <si>
    <t>"Al-Aziz Ayubhon" Mchj</t>
  </si>
  <si>
    <t>PPS00005306</t>
  </si>
  <si>
    <t>Сарвар ака (Срх)</t>
  </si>
  <si>
    <t>PPS00005436</t>
  </si>
  <si>
    <t>Нилюфар опа (Кшд)</t>
  </si>
  <si>
    <t>Кашкадарьё_Нилуфар опа</t>
  </si>
  <si>
    <t>"Raxmonov Nurbek Nasimovich" Xk</t>
  </si>
  <si>
    <t>PPS00005469</t>
  </si>
  <si>
    <t>Камола опа (Тош)</t>
  </si>
  <si>
    <t>Тошкент_Мохира опа</t>
  </si>
  <si>
    <t>Азам ака</t>
  </si>
  <si>
    <t>ООО "Shohfarm"</t>
  </si>
  <si>
    <t>PPS00005485</t>
  </si>
  <si>
    <t>"Pharmazone 999" Mchj</t>
  </si>
  <si>
    <t>PPS00005544</t>
  </si>
  <si>
    <t>Дурдона опа (Тош)</t>
  </si>
  <si>
    <t>ООО "Madina Shifo Nur"</t>
  </si>
  <si>
    <t>PPS00005853</t>
  </si>
  <si>
    <t>ЧП "Mushtariy-Samira Farm"</t>
  </si>
  <si>
    <t>PPS00005883</t>
  </si>
  <si>
    <t>PPS00005925</t>
  </si>
  <si>
    <t>"Yaqin Pharm" Mchj</t>
  </si>
  <si>
    <t>PPS00005985</t>
  </si>
  <si>
    <t>PPS00006042</t>
  </si>
  <si>
    <t>ООО "Shodlik-Mc"</t>
  </si>
  <si>
    <t>PPS00006103</t>
  </si>
  <si>
    <t>"ZAMIN-FARM-SIFAT" MChJ</t>
  </si>
  <si>
    <t>PPS00006244</t>
  </si>
  <si>
    <t>Nigina-Dilnoza-Jomard Хк</t>
  </si>
  <si>
    <t>PPS00006401</t>
  </si>
  <si>
    <t>PPS00006407</t>
  </si>
  <si>
    <t>"RUSTAMBEK-J.B.B" XK</t>
  </si>
  <si>
    <t>PPS00006440</t>
  </si>
  <si>
    <t>PPS00006456</t>
  </si>
  <si>
    <t>"GIYO SHIFO FARM" MChJ</t>
  </si>
  <si>
    <t>PPS00006592</t>
  </si>
  <si>
    <t>Рано опа (Нав)</t>
  </si>
  <si>
    <t>Навоий_Дильноза опа</t>
  </si>
  <si>
    <t>Jasur Konimex Farm Mchj</t>
  </si>
  <si>
    <t>PPS00006619</t>
  </si>
  <si>
    <t>Дилноза опа (Жиз)</t>
  </si>
  <si>
    <t>Жиззах_Саодат опа</t>
  </si>
  <si>
    <t>"Rasulbek Mega Farm 555" Mchj</t>
  </si>
  <si>
    <t>PPS00006629</t>
  </si>
  <si>
    <t>SUNISTAR FARM</t>
  </si>
  <si>
    <t>PPS00006681</t>
  </si>
  <si>
    <t>"Shaxzod Shoyiqul" Mchj</t>
  </si>
  <si>
    <t>PPS00006687</t>
  </si>
  <si>
    <t>"Malxam-2" Xk</t>
  </si>
  <si>
    <t>PPS00006689</t>
  </si>
  <si>
    <t>"Omad Sahovat Farm" Xk</t>
  </si>
  <si>
    <t>PPS00006712</t>
  </si>
  <si>
    <t>Saidakmal Pharm Mchj</t>
  </si>
  <si>
    <t>PPS00006732</t>
  </si>
  <si>
    <t>"XUJAI-JAXON GRAND" MChJ</t>
  </si>
  <si>
    <t>PPS00006734</t>
  </si>
  <si>
    <t>ООО "Muslima Farmani"</t>
  </si>
  <si>
    <t>PPS00006789</t>
  </si>
  <si>
    <t>Людмила Опа (Срд)</t>
  </si>
  <si>
    <t>Сурхондарьё_Людмила опа</t>
  </si>
  <si>
    <t>"Farxod" Xk</t>
  </si>
  <si>
    <t>PPS00006791</t>
  </si>
  <si>
    <t>"Sandi Farm" Mchj</t>
  </si>
  <si>
    <t>PPS00006800</t>
  </si>
  <si>
    <t>PPS00006805</t>
  </si>
  <si>
    <t>"NAVOIY BINAFSHA" XK</t>
  </si>
  <si>
    <t>PPS00006838</t>
  </si>
  <si>
    <t>PPS00006864</t>
  </si>
  <si>
    <t>"Umid" Xk</t>
  </si>
  <si>
    <t>PPS00006887</t>
  </si>
  <si>
    <t>"Makku-Farm" Mchj</t>
  </si>
  <si>
    <t>PPS00006907</t>
  </si>
  <si>
    <t>"Garden Pharma" Mchj</t>
  </si>
  <si>
    <t>PPS00006917</t>
  </si>
  <si>
    <t>PPS00007032</t>
  </si>
  <si>
    <t>ООО "Behzod-Farm-Yangiyer"</t>
  </si>
  <si>
    <t>PPS00007079</t>
  </si>
  <si>
    <t>PPS00007130</t>
  </si>
  <si>
    <t>PPS00007142</t>
  </si>
  <si>
    <t>"ФАРРУХ-95" ХF</t>
  </si>
  <si>
    <t>PPS00007154</t>
  </si>
  <si>
    <t>PPS00007162</t>
  </si>
  <si>
    <t>"Shaxizodaa Med" Xk</t>
  </si>
  <si>
    <t>PPS00007178</t>
  </si>
  <si>
    <t>PPS00007209</t>
  </si>
  <si>
    <t>PPS00007210</t>
  </si>
  <si>
    <t>"Bio Plus Farm" Mchj</t>
  </si>
  <si>
    <t>PPS00007295</t>
  </si>
  <si>
    <t>"Bunyodbek Farm Expert" Mchj</t>
  </si>
  <si>
    <t>PPS00007298</t>
  </si>
  <si>
    <t>PPS00007393</t>
  </si>
  <si>
    <t>PPS00007411</t>
  </si>
  <si>
    <t>PPS00007521</t>
  </si>
  <si>
    <t>PPS00007563</t>
  </si>
  <si>
    <t>"Soglom Hayot-25" Mchj</t>
  </si>
  <si>
    <t>PPS00007576</t>
  </si>
  <si>
    <t>ООО "Marxamat Med Pharm"</t>
  </si>
  <si>
    <t>PPS00007619</t>
  </si>
  <si>
    <t>PPS00007639</t>
  </si>
  <si>
    <t>PPS00007648</t>
  </si>
  <si>
    <t>"Mubinaxon Shifo Nur" Xk</t>
  </si>
  <si>
    <t>PPS00007660</t>
  </si>
  <si>
    <t>ООО "Sofora Med"</t>
  </si>
  <si>
    <t>PPS00007688</t>
  </si>
  <si>
    <t>Шохжахон (Тош)</t>
  </si>
  <si>
    <t>Тошкент_Шохжахон ака</t>
  </si>
  <si>
    <t>"Grand  Pharm  Trade" Mchj</t>
  </si>
  <si>
    <t>PPS00007799</t>
  </si>
  <si>
    <t>"Olloyor-Bexzod" Xk</t>
  </si>
  <si>
    <t>PPS00007802</t>
  </si>
  <si>
    <t>"Ajr Farm Dorixona" Mchj</t>
  </si>
  <si>
    <t>PPS00007807</t>
  </si>
  <si>
    <t>PPS00007818</t>
  </si>
  <si>
    <t>PPS00007918</t>
  </si>
  <si>
    <t>PPS00007938</t>
  </si>
  <si>
    <t>PPS00007988</t>
  </si>
  <si>
    <t>"Reflective Med Pharm" Mchj</t>
  </si>
  <si>
    <t>PPS00008019</t>
  </si>
  <si>
    <t>Нигора опа (Тош)</t>
  </si>
  <si>
    <t>"Millenium Medikal" Mchj</t>
  </si>
  <si>
    <t>PPS00008024</t>
  </si>
  <si>
    <t>"Dreem Pharmacy" Mchj</t>
  </si>
  <si>
    <t>PPS00008032</t>
  </si>
  <si>
    <t>PPS00008036</t>
  </si>
  <si>
    <t>PPS00008054</t>
  </si>
  <si>
    <t>PPS00008107</t>
  </si>
  <si>
    <t>"Proxima" Xk</t>
  </si>
  <si>
    <t>PPS00008152</t>
  </si>
  <si>
    <t>"Akobir Pharm 444" Mchj</t>
  </si>
  <si>
    <t>PPS00008158</t>
  </si>
  <si>
    <t>Дилдора опа</t>
  </si>
  <si>
    <t>Сурхондарьё_Дилдора опа</t>
  </si>
  <si>
    <t>Кизирик Ттб</t>
  </si>
  <si>
    <t>PPS00008188</t>
  </si>
  <si>
    <t>"Vitamin - Gold Farm" Xk</t>
  </si>
  <si>
    <t>PPS00008247</t>
  </si>
  <si>
    <t>PPS00008271</t>
  </si>
  <si>
    <t>"Fm Apteka Biznes" Mchj</t>
  </si>
  <si>
    <t>PPS00008296</t>
  </si>
  <si>
    <t>"Ulug'bek Med Farm Denov" Xk</t>
  </si>
  <si>
    <t>PPS00008299</t>
  </si>
  <si>
    <t>"Antidard Pharm" Mchj</t>
  </si>
  <si>
    <t>PPS00008308</t>
  </si>
  <si>
    <t>"Faxriddin-Farm Navoiy" Xk</t>
  </si>
  <si>
    <t>PPS00008335</t>
  </si>
  <si>
    <t>PPS00008406</t>
  </si>
  <si>
    <t>PPS00008434</t>
  </si>
  <si>
    <t>"Shifobaxsh" Xk</t>
  </si>
  <si>
    <t>PPS00008443</t>
  </si>
  <si>
    <t>"Usta Maxmud"Xk</t>
  </si>
  <si>
    <t>PPS00008498</t>
  </si>
  <si>
    <t>PPS00008508</t>
  </si>
  <si>
    <t>"Najot Farm Plyus" Mchj</t>
  </si>
  <si>
    <t>PPS00008525</t>
  </si>
  <si>
    <t>PPS00008530</t>
  </si>
  <si>
    <t>MCHJ Ezgu Niyat Ko`P Tarmoqli Tibbiyot Markazi</t>
  </si>
  <si>
    <t>PPS00008532</t>
  </si>
  <si>
    <t>PPS00008568</t>
  </si>
  <si>
    <t>"Nurvita Pharm" Mchj</t>
  </si>
  <si>
    <t>PPS00008598</t>
  </si>
  <si>
    <t>"Mmm-Apteka" Mchj</t>
  </si>
  <si>
    <t>PPS00008605</t>
  </si>
  <si>
    <t>PPS00008624</t>
  </si>
  <si>
    <t>PPS00008634</t>
  </si>
  <si>
    <t>PPS00008650</t>
  </si>
  <si>
    <t>"Sevara-Bio-Farm" Xk</t>
  </si>
  <si>
    <t>PPS00008654</t>
  </si>
  <si>
    <t>Шахло опа (Т.О)</t>
  </si>
  <si>
    <t>Таш.Обл_Шахло опа</t>
  </si>
  <si>
    <t>"LIR" XK</t>
  </si>
  <si>
    <t>Софин раствор для инфузий 5% 100 мл</t>
  </si>
  <si>
    <t>PPS00008704</t>
  </si>
  <si>
    <t>PPS00008717</t>
  </si>
  <si>
    <t>"Navoiy Ultra Diagnostika" Mchj</t>
  </si>
  <si>
    <t>PPS00008738</t>
  </si>
  <si>
    <t>"Pharzam Pharm" Mchj</t>
  </si>
  <si>
    <t>PPS00008752</t>
  </si>
  <si>
    <t>"Super Pharm" Mchj</t>
  </si>
  <si>
    <t>PPS00008769</t>
  </si>
  <si>
    <t>Чарос опа (Шах)</t>
  </si>
  <si>
    <t>Шахрисабз_Мафтуна опа</t>
  </si>
  <si>
    <t>"TURDI RASULOVICH" XK</t>
  </si>
  <si>
    <t>PPS00008784</t>
  </si>
  <si>
    <t>ООО "Lukmoni-Xakim"</t>
  </si>
  <si>
    <t>PPS00008814</t>
  </si>
  <si>
    <t>PPS00008836</t>
  </si>
  <si>
    <t>PPS00008867</t>
  </si>
  <si>
    <t>"Benevitta" Mchj</t>
  </si>
  <si>
    <t>PPS00008871</t>
  </si>
  <si>
    <t>PPS00008884</t>
  </si>
  <si>
    <t>PPS00008904</t>
  </si>
  <si>
    <t>PPS00008908</t>
  </si>
  <si>
    <t>PPS00008922</t>
  </si>
  <si>
    <t>Шерзод ака (Т.О)</t>
  </si>
  <si>
    <t>"111 Tabletok" Mchj</t>
  </si>
  <si>
    <t>PPS00008952</t>
  </si>
  <si>
    <t>"Rayim Farm Invest" Mchj</t>
  </si>
  <si>
    <t>PPS00009008</t>
  </si>
  <si>
    <t>PPS00009066</t>
  </si>
  <si>
    <t>PPS00009069</t>
  </si>
  <si>
    <t>Жавлон ака (Жиз)</t>
  </si>
  <si>
    <t>PPS00009173</t>
  </si>
  <si>
    <t>"ASROR-ShIFOKOR" XK</t>
  </si>
  <si>
    <t>PPS00009175</t>
  </si>
  <si>
    <t>PPS00009249</t>
  </si>
  <si>
    <t>Шахноза опа (Кшд)</t>
  </si>
  <si>
    <t>Кашкадарьё_Феруз ака</t>
  </si>
  <si>
    <t>ЧП "Malxam-Fayz-Dilxush "</t>
  </si>
  <si>
    <t>PPS00009253</t>
  </si>
  <si>
    <t>PPS00009323</t>
  </si>
  <si>
    <t>PPS00009329</t>
  </si>
  <si>
    <t>PPS00009388</t>
  </si>
  <si>
    <t>"Feru-Za Pharm" Xk</t>
  </si>
  <si>
    <t>PPS00009396</t>
  </si>
  <si>
    <t>PPS00009460</t>
  </si>
  <si>
    <t>PPS00009474</t>
  </si>
  <si>
    <t>PPS00009501</t>
  </si>
  <si>
    <t>PPS00009503</t>
  </si>
  <si>
    <t>"FARTUNA-RAMZ-FARM" MChJ</t>
  </si>
  <si>
    <t>PPS00009510</t>
  </si>
  <si>
    <t>"FERUZ PHARM-SERVICE" MChJ</t>
  </si>
  <si>
    <t>PPS00009519</t>
  </si>
  <si>
    <t>"AL NASAFIY KAFOLAT FARM" MChJ</t>
  </si>
  <si>
    <t>PPS00009523</t>
  </si>
  <si>
    <t>"Gullola Media Farm" Xk</t>
  </si>
  <si>
    <t>PPS00009525</t>
  </si>
  <si>
    <t>"Mitti Farm Med Servis" Mchj</t>
  </si>
  <si>
    <t>PPS00009551</t>
  </si>
  <si>
    <t>PPS00009559</t>
  </si>
  <si>
    <t>PPS00009593</t>
  </si>
  <si>
    <t>"FITO-FARM-LEK" MChJ</t>
  </si>
  <si>
    <t>PPS00009598</t>
  </si>
  <si>
    <t>PPS00009638</t>
  </si>
  <si>
    <t>"PLATINUM OPTIMA SERVICE" MChJ</t>
  </si>
  <si>
    <t>PPS00009639</t>
  </si>
  <si>
    <t>"Soliboy Biznes Hamkor" Mchj</t>
  </si>
  <si>
    <t>PPS00009645</t>
  </si>
  <si>
    <t>PPS00009660</t>
  </si>
  <si>
    <t>"Jasmin-Farangiz" Xk</t>
  </si>
  <si>
    <t>PPS00009664</t>
  </si>
  <si>
    <t>"Sof Dori Farm" Mchj</t>
  </si>
  <si>
    <t>PPS00009670</t>
  </si>
  <si>
    <t>MCHJ Saxob-Uchqun Farm</t>
  </si>
  <si>
    <t>PPS00009688</t>
  </si>
  <si>
    <t>PPS00009717</t>
  </si>
  <si>
    <t>Хилола опа (Сир)</t>
  </si>
  <si>
    <t>PPS00009728</t>
  </si>
  <si>
    <t>PPS00009732</t>
  </si>
  <si>
    <t>"Ugiloy Farm" Xk</t>
  </si>
  <si>
    <t>PPS00009773</t>
  </si>
  <si>
    <t>PPS00009789</t>
  </si>
  <si>
    <t>Сардор ака (Т.О)</t>
  </si>
  <si>
    <t>"TO'YTEPA MED FARM" MChJ</t>
  </si>
  <si>
    <t>PPS00009798</t>
  </si>
  <si>
    <t>PPS00009856</t>
  </si>
  <si>
    <t>PPS00009880</t>
  </si>
  <si>
    <t>PPS00009896</t>
  </si>
  <si>
    <t>Дилноза опа (Нав)</t>
  </si>
  <si>
    <t>"Azizjon Gulruxxon" Xk</t>
  </si>
  <si>
    <t>PPS00009899</t>
  </si>
  <si>
    <t>Лобархон опа (Тош)</t>
  </si>
  <si>
    <t>"Ko‘k-Saroy N A Hospital" Mchj</t>
  </si>
  <si>
    <t>PPS00009900</t>
  </si>
  <si>
    <t>MCHJ Askarbinka Vitaminka</t>
  </si>
  <si>
    <t>PPS00009914</t>
  </si>
  <si>
    <t>PPS00009917</t>
  </si>
  <si>
    <t>PPS00009933</t>
  </si>
  <si>
    <t>"Mubina Orzusi 2022" Mchj</t>
  </si>
  <si>
    <t>PPS00009951</t>
  </si>
  <si>
    <t>"Grant Farm   Plyus" Mchj</t>
  </si>
  <si>
    <t>PPS00009978</t>
  </si>
  <si>
    <t>PPS00009983</t>
  </si>
  <si>
    <t>PPS00009999</t>
  </si>
  <si>
    <t>PPS00010012</t>
  </si>
  <si>
    <t>PPS00010021</t>
  </si>
  <si>
    <t>ООО "Zuhur Farm"</t>
  </si>
  <si>
    <t>PPS00010026</t>
  </si>
  <si>
    <t>"Navoiy Farm 999" Mchj</t>
  </si>
  <si>
    <t>PPS00010055</t>
  </si>
  <si>
    <t>Отабек ака (Шах)</t>
  </si>
  <si>
    <t>"Pharma Plus" Mchj</t>
  </si>
  <si>
    <t>PPS00010215</t>
  </si>
  <si>
    <t>PPS00010219</t>
  </si>
  <si>
    <t>PPS00010228</t>
  </si>
  <si>
    <t>PPS00010267</t>
  </si>
  <si>
    <t>"Biosfera Farm" Mchj</t>
  </si>
  <si>
    <t>PPS00010283</t>
  </si>
  <si>
    <t>PPS00010286</t>
  </si>
  <si>
    <t>PPS00010312</t>
  </si>
  <si>
    <t>"Doktor-Bek-Farm" Mchj</t>
  </si>
  <si>
    <t>PPS00010303</t>
  </si>
  <si>
    <t>"Parus-Med-Farm" Mchj</t>
  </si>
  <si>
    <t>PPS00010325</t>
  </si>
  <si>
    <t>"FAYZ SADULLO" MChJ</t>
  </si>
  <si>
    <t>PPS00010329</t>
  </si>
  <si>
    <t>PPS00010343</t>
  </si>
  <si>
    <t>"HOJAT-NUR-FARM" XK</t>
  </si>
  <si>
    <t>PPS00010354</t>
  </si>
  <si>
    <t>PPS00010372</t>
  </si>
  <si>
    <t>PPS00010377</t>
  </si>
  <si>
    <t>"Fazliddin-Biznes" Xk</t>
  </si>
  <si>
    <t>PPS00010384</t>
  </si>
  <si>
    <t>PPS00010387</t>
  </si>
  <si>
    <t>PPS00010393</t>
  </si>
  <si>
    <t>PPS00010400</t>
  </si>
  <si>
    <t>PPS00010410</t>
  </si>
  <si>
    <t>"Азиз-М"Хусусий Фирмаси</t>
  </si>
  <si>
    <t>PPS00010462</t>
  </si>
  <si>
    <t>"DOKTOR MER" XK</t>
  </si>
  <si>
    <t>PPS00010477</t>
  </si>
  <si>
    <t>Сухроб ака (Бух)</t>
  </si>
  <si>
    <t>Бухоро_Мадина опа</t>
  </si>
  <si>
    <t>"MOXLAROYIM SHODLIK" XK</t>
  </si>
  <si>
    <t>PPS00010491</t>
  </si>
  <si>
    <t>Сайёра опа</t>
  </si>
  <si>
    <t>Хоразм_Саййора опа</t>
  </si>
  <si>
    <t>"JALIL JAYXUN FARM" MChJ</t>
  </si>
  <si>
    <t>PPS00010496</t>
  </si>
  <si>
    <t>PPS00010523</t>
  </si>
  <si>
    <t>PPS00010547</t>
  </si>
  <si>
    <t>PPS00010552</t>
  </si>
  <si>
    <t>"NUSRAT ASIL FARM" XK</t>
  </si>
  <si>
    <t>PPS00010580</t>
  </si>
  <si>
    <t>PPS00010604</t>
  </si>
  <si>
    <t>Наргиза опа (Тош/СВ)</t>
  </si>
  <si>
    <t>Тошкент_Наргиза опа (СВ)</t>
  </si>
  <si>
    <t>"Madina-Pharm Toshkent" Mchj</t>
  </si>
  <si>
    <t>PPS00010637</t>
  </si>
  <si>
    <t>PPS00010654</t>
  </si>
  <si>
    <t>PPS00010701</t>
  </si>
  <si>
    <t>PPS00010743</t>
  </si>
  <si>
    <t>PPS00010746</t>
  </si>
  <si>
    <t>PPS00000004</t>
  </si>
  <si>
    <t>PPS00000010</t>
  </si>
  <si>
    <t>PPS00000025</t>
  </si>
  <si>
    <t>PPS00000028</t>
  </si>
  <si>
    <t>PPS00000051</t>
  </si>
  <si>
    <t>PPS00000084</t>
  </si>
  <si>
    <t>PPS00000129</t>
  </si>
  <si>
    <t>"NIGINA FARM SANOAT" XK</t>
  </si>
  <si>
    <t>PPS00000142</t>
  </si>
  <si>
    <t>PPS00000150</t>
  </si>
  <si>
    <t>Саодат опа (Жиз)</t>
  </si>
  <si>
    <t>ООО "Nafis Fayz "</t>
  </si>
  <si>
    <t>PPS00000162</t>
  </si>
  <si>
    <t>PPS00000192</t>
  </si>
  <si>
    <t>PPS00000198</t>
  </si>
  <si>
    <t>PPS00000203</t>
  </si>
  <si>
    <t>"AR-ROZIY FARM" MChJ</t>
  </si>
  <si>
    <t>PPS00000207</t>
  </si>
  <si>
    <t>PPS00000209</t>
  </si>
  <si>
    <t>PPS00000240</t>
  </si>
  <si>
    <t>"Genesis Trade" Mchj</t>
  </si>
  <si>
    <t>PPS00000263</t>
  </si>
  <si>
    <t>PPS00000268</t>
  </si>
  <si>
    <t>"Fizio Pharm" Xk</t>
  </si>
  <si>
    <t>PPS00000284</t>
  </si>
  <si>
    <t>PPS00000301</t>
  </si>
  <si>
    <t>PPS00000308</t>
  </si>
  <si>
    <t>"Biopharm Trade" Mchj</t>
  </si>
  <si>
    <t>PPS00000316</t>
  </si>
  <si>
    <t>PPS00000350</t>
  </si>
  <si>
    <t>"Sebzor Med Davo" Mchj</t>
  </si>
  <si>
    <t>PPS00000354</t>
  </si>
  <si>
    <t>PPS00000373</t>
  </si>
  <si>
    <t>Мохира опа (Тош)</t>
  </si>
  <si>
    <t>PPS00000382</t>
  </si>
  <si>
    <t>Asil Firdavs Shifo Mchj</t>
  </si>
  <si>
    <t>PPS00000385</t>
  </si>
  <si>
    <t>"Madina- Farm Sintez" Mchj</t>
  </si>
  <si>
    <t>PPS00000397</t>
  </si>
  <si>
    <t>PPS00000404</t>
  </si>
  <si>
    <t>MCHJ Amirbek  Madina</t>
  </si>
  <si>
    <t>PPS00000423</t>
  </si>
  <si>
    <t>PPS00000457</t>
  </si>
  <si>
    <t>PPS00000463</t>
  </si>
  <si>
    <t>PPS00000467</t>
  </si>
  <si>
    <t>Зилола опа (Тош)</t>
  </si>
  <si>
    <t>Тошкент_Зилола опа</t>
  </si>
  <si>
    <t>PPS00000472</t>
  </si>
  <si>
    <t>PPS00000485</t>
  </si>
  <si>
    <t>Зилола опа (Т.О)</t>
  </si>
  <si>
    <t>"Sharh-5" Mchj</t>
  </si>
  <si>
    <t>PPS00000502</t>
  </si>
  <si>
    <t>"SITORABONU-FARM-BAXT" MChJ</t>
  </si>
  <si>
    <t>PPS00000504</t>
  </si>
  <si>
    <t>PPS00000505</t>
  </si>
  <si>
    <t>PPS00000511</t>
  </si>
  <si>
    <t>"7777 PHARM" MChJ</t>
  </si>
  <si>
    <t>PPS00000526</t>
  </si>
  <si>
    <t>"Murat Farm" Mchj</t>
  </si>
  <si>
    <t>PPS00000529</t>
  </si>
  <si>
    <t>"Ulug`Bek" Mchj</t>
  </si>
  <si>
    <t>PPS00000532</t>
  </si>
  <si>
    <t>PPS00000538</t>
  </si>
  <si>
    <t>"Qwerty Farm" Mchj</t>
  </si>
  <si>
    <t>PPS00000539</t>
  </si>
  <si>
    <t>PPS00000561</t>
  </si>
  <si>
    <t>PPS00000567</t>
  </si>
  <si>
    <t>PPS00000633</t>
  </si>
  <si>
    <t>"Azimjon Nozim Farm" Mchj</t>
  </si>
  <si>
    <t>PPS00000668</t>
  </si>
  <si>
    <t>PPS00000670</t>
  </si>
  <si>
    <t>PPS00000682</t>
  </si>
  <si>
    <t>PPS00000691</t>
  </si>
  <si>
    <t>"Qamashi Dori-Darmon" Mchj</t>
  </si>
  <si>
    <t>PPS00000701</t>
  </si>
  <si>
    <t>Рузигул опа (Сир)</t>
  </si>
  <si>
    <t>Сирдарьё_Зилола Опа</t>
  </si>
  <si>
    <t>"ILHOMBEK PHARM MEDICAL" MChJ</t>
  </si>
  <si>
    <t>PPS00000725</t>
  </si>
  <si>
    <t>PPS00000744</t>
  </si>
  <si>
    <t>PPS00000749</t>
  </si>
  <si>
    <t>PPS00000755</t>
  </si>
  <si>
    <t>Мадина опа (Бух)</t>
  </si>
  <si>
    <t>"Romitan Med Lab" Mchj</t>
  </si>
  <si>
    <t>PPS00000756</t>
  </si>
  <si>
    <t>PPS00000762</t>
  </si>
  <si>
    <t>PPS00000763</t>
  </si>
  <si>
    <t>PPS00000765</t>
  </si>
  <si>
    <t>PPS00000839</t>
  </si>
  <si>
    <t>PPS00000870</t>
  </si>
  <si>
    <t>PPS00000936</t>
  </si>
  <si>
    <t>"Farmiya" Mchj</t>
  </si>
  <si>
    <t>PPS00000942</t>
  </si>
  <si>
    <t>ООО  "Darmon As-Sabur"</t>
  </si>
  <si>
    <t>PPS00000943</t>
  </si>
  <si>
    <t>PPS00000960</t>
  </si>
  <si>
    <t>PPS00000974</t>
  </si>
  <si>
    <t>PPS00000976</t>
  </si>
  <si>
    <t>PPS00000981</t>
  </si>
  <si>
    <t>PPS00000991</t>
  </si>
  <si>
    <t>PPS00001038</t>
  </si>
  <si>
    <t>PPS00001040</t>
  </si>
  <si>
    <t>PPS00001043</t>
  </si>
  <si>
    <t>PPS00001082</t>
  </si>
  <si>
    <t>"Kumushkent Farm Savdo" Mchj</t>
  </si>
  <si>
    <t>PPS00001095</t>
  </si>
  <si>
    <t>PPS00001161</t>
  </si>
  <si>
    <t>PPS00001211</t>
  </si>
  <si>
    <t>Нигора опа (Сир)</t>
  </si>
  <si>
    <t>"Hamkor Salomatlik" Mchj</t>
  </si>
  <si>
    <t>PPS00001232</t>
  </si>
  <si>
    <t>PPS00001258</t>
  </si>
  <si>
    <t>PPS00001290</t>
  </si>
  <si>
    <t>PPS00001305</t>
  </si>
  <si>
    <t>PPS00001314</t>
  </si>
  <si>
    <t>PPS00001328</t>
  </si>
  <si>
    <t>PPS00001351</t>
  </si>
  <si>
    <t>PPS00001380</t>
  </si>
  <si>
    <t>PPS00001389</t>
  </si>
  <si>
    <t>PPS00001423</t>
  </si>
  <si>
    <t>PPS00001438</t>
  </si>
  <si>
    <t>PPS00001442</t>
  </si>
  <si>
    <t>PPS00001448</t>
  </si>
  <si>
    <t>PPS00001492</t>
  </si>
  <si>
    <t>PPS00001499</t>
  </si>
  <si>
    <t>PPS00001519</t>
  </si>
  <si>
    <t>"Simonte Med Farm" Mchj</t>
  </si>
  <si>
    <t>PPS00001528</t>
  </si>
  <si>
    <t>PPS00001529</t>
  </si>
  <si>
    <t>PPS00001535</t>
  </si>
  <si>
    <t>PPS00001549</t>
  </si>
  <si>
    <t>Фотима опа (Бух)</t>
  </si>
  <si>
    <t>"Medteka Pharmacy" Mchj</t>
  </si>
  <si>
    <t>PPS00001588</t>
  </si>
  <si>
    <t>PPS00001632</t>
  </si>
  <si>
    <t>PPS00001642</t>
  </si>
  <si>
    <t>PPS00001652</t>
  </si>
  <si>
    <t>PPS00001657</t>
  </si>
  <si>
    <t>PPS00001667</t>
  </si>
  <si>
    <t>PPS00001669</t>
  </si>
  <si>
    <t>PPS00001695</t>
  </si>
  <si>
    <t>Шамсинур опа (Срд)</t>
  </si>
  <si>
    <t>Ali-Shifo-Angor  Х.к.</t>
  </si>
  <si>
    <t>PPS00001713</t>
  </si>
  <si>
    <t>"FAMILY PHARMACY" XK</t>
  </si>
  <si>
    <t>PPS00001745</t>
  </si>
  <si>
    <t>PPS00001752</t>
  </si>
  <si>
    <t>PPS00001774</t>
  </si>
  <si>
    <t>PPS00001798</t>
  </si>
  <si>
    <t>PPS00001805</t>
  </si>
  <si>
    <t>PPS00001831</t>
  </si>
  <si>
    <t>PPS00001833</t>
  </si>
  <si>
    <t>PPS00001883</t>
  </si>
  <si>
    <t>PPS00001915</t>
  </si>
  <si>
    <t>"Farm-Dil-Bek" Mchj</t>
  </si>
  <si>
    <t>PPS00001943</t>
  </si>
  <si>
    <t>Shams-Xumo Farm  Мчж</t>
  </si>
  <si>
    <t>PPS00001945</t>
  </si>
  <si>
    <t>PPS00001952</t>
  </si>
  <si>
    <t>ЧП "Mirzoxid Iskandar"</t>
  </si>
  <si>
    <t>PPS00001954</t>
  </si>
  <si>
    <t>PPS00001963</t>
  </si>
  <si>
    <t>PPS00001973</t>
  </si>
  <si>
    <t>"Nurobod Farm Agro" Xk</t>
  </si>
  <si>
    <t>PPS00001984</t>
  </si>
  <si>
    <t>"APOLLO INVEST" MChJ</t>
  </si>
  <si>
    <t>PPS00001986</t>
  </si>
  <si>
    <t>PPS00001994</t>
  </si>
  <si>
    <t>PPS00002005</t>
  </si>
  <si>
    <t>PPS00002019</t>
  </si>
  <si>
    <t>PPS00002026</t>
  </si>
  <si>
    <t>"Saodat Shifo Hamkor" Mchj</t>
  </si>
  <si>
    <t>PPS00002037</t>
  </si>
  <si>
    <t>Зилола Опа (Сир)</t>
  </si>
  <si>
    <t>Guliston tumani tibbiyot birlashmasi</t>
  </si>
  <si>
    <t>PPS00002038</t>
  </si>
  <si>
    <t>PPS00002070</t>
  </si>
  <si>
    <t>PPS00002080</t>
  </si>
  <si>
    <t>PPS00002083</t>
  </si>
  <si>
    <t>PPS00002085</t>
  </si>
  <si>
    <t>PPS00002086</t>
  </si>
  <si>
    <t>PPS00002144</t>
  </si>
  <si>
    <t>PPS00002146</t>
  </si>
  <si>
    <t>"DARMON NUR BIZNES" MChJ</t>
  </si>
  <si>
    <t>PPS00002178</t>
  </si>
  <si>
    <t>PPS00002205</t>
  </si>
  <si>
    <t>PPS00002209</t>
  </si>
  <si>
    <t>"Shifobaxsh Chashma" Xk</t>
  </si>
  <si>
    <t>PPS00002216</t>
  </si>
  <si>
    <t>"Yadro-Med Farm" Mchj</t>
  </si>
  <si>
    <t>PPS00002219</t>
  </si>
  <si>
    <t>"Avena Nur Farm" Xk</t>
  </si>
  <si>
    <t>PPS00002236</t>
  </si>
  <si>
    <t>PPS00002256</t>
  </si>
  <si>
    <t>"Xasanboy  Farma" Mchj</t>
  </si>
  <si>
    <t>PPS00002263</t>
  </si>
  <si>
    <t>PPS00002266</t>
  </si>
  <si>
    <t>"White Star Plyus" Mchj</t>
  </si>
  <si>
    <t>PPS00002269</t>
  </si>
  <si>
    <t>PPS00002292</t>
  </si>
  <si>
    <t>PPS00002307</t>
  </si>
  <si>
    <t>PPS00002334</t>
  </si>
  <si>
    <t>PPS00002346</t>
  </si>
  <si>
    <t>PPS00002352</t>
  </si>
  <si>
    <t>PPS00002390</t>
  </si>
  <si>
    <t>PPS00002394</t>
  </si>
  <si>
    <t>"Amir Farm Trade" Mchj</t>
  </si>
  <si>
    <t>PPS00002397</t>
  </si>
  <si>
    <t>PPS00002402</t>
  </si>
  <si>
    <t>PPS00002404</t>
  </si>
  <si>
    <t>PPS00002426</t>
  </si>
  <si>
    <t>PPS00002443</t>
  </si>
  <si>
    <t>PPS00002464</t>
  </si>
  <si>
    <t>PPS00002467</t>
  </si>
  <si>
    <t>PPS00002476</t>
  </si>
  <si>
    <t>PPS00002481</t>
  </si>
  <si>
    <t>PPS00002506</t>
  </si>
  <si>
    <t>PPS00002531</t>
  </si>
  <si>
    <t>PPS00002543</t>
  </si>
  <si>
    <t>"Sezam-Farm-Plyus" Mchj</t>
  </si>
  <si>
    <t>PPS00002564</t>
  </si>
  <si>
    <t>"G'IJDUVON BEKFARM" MChJ</t>
  </si>
  <si>
    <t>PPS00002578</t>
  </si>
  <si>
    <t>Манзура опа (Тош)</t>
  </si>
  <si>
    <t>PPS00002588</t>
  </si>
  <si>
    <t>PPS00002600</t>
  </si>
  <si>
    <t>PPS00002616</t>
  </si>
  <si>
    <t>PPS00002626</t>
  </si>
  <si>
    <t>PPS00002635</t>
  </si>
  <si>
    <t>PPS00002643</t>
  </si>
  <si>
    <t>PPS00002645</t>
  </si>
  <si>
    <t>"57-Дорихона" Мчж</t>
  </si>
  <si>
    <t>PPS00002668</t>
  </si>
  <si>
    <t>PPS00002696</t>
  </si>
  <si>
    <t>PPS00002702</t>
  </si>
  <si>
    <t>Улугбек ака (Хор)</t>
  </si>
  <si>
    <t>Хоразм_Улугбек ака</t>
  </si>
  <si>
    <t>"Intermed Pharmaceutical" Mchj</t>
  </si>
  <si>
    <t>PPS00002707</t>
  </si>
  <si>
    <t>"Zoxirbek Biznes" Mchj</t>
  </si>
  <si>
    <t>PPS00002742</t>
  </si>
  <si>
    <t>PPS00002782</t>
  </si>
  <si>
    <t>Нурхон опа (Сам)</t>
  </si>
  <si>
    <t>Самарканд_Хуршед ака 2</t>
  </si>
  <si>
    <t>"Мир Умар" Xk</t>
  </si>
  <si>
    <t>PPS00002787</t>
  </si>
  <si>
    <t>Анвар ака (Срд)</t>
  </si>
  <si>
    <t>Сурхондарьё_Анвар ака</t>
  </si>
  <si>
    <t>ЧП "Malham-Med-Farm"</t>
  </si>
  <si>
    <t>PPS00002796</t>
  </si>
  <si>
    <t>PPS00002801</t>
  </si>
  <si>
    <t>PPS00002803</t>
  </si>
  <si>
    <t>PPS00002804</t>
  </si>
  <si>
    <t>MCHJ Eko Farm-S</t>
  </si>
  <si>
    <t>PPS00002805</t>
  </si>
  <si>
    <t>"Al-Almaz" Mchj</t>
  </si>
  <si>
    <t>PPS00002809</t>
  </si>
  <si>
    <t>PPS00002813</t>
  </si>
  <si>
    <t>Шахло опа (Сам)</t>
  </si>
  <si>
    <t>Самарканд_Хуршед ака 3</t>
  </si>
  <si>
    <t>"Asatullayeva Afruza Farm" Mchj</t>
  </si>
  <si>
    <t>PPS00002821</t>
  </si>
  <si>
    <t>Саодат опа (Сир)</t>
  </si>
  <si>
    <t>PPS00002843</t>
  </si>
  <si>
    <t>PPS00002861</t>
  </si>
  <si>
    <t>Нафосат опа (Бух)</t>
  </si>
  <si>
    <t>Бухоро_Нафосат опа</t>
  </si>
  <si>
    <t>PPS00002872</t>
  </si>
  <si>
    <t>"Shaxbozbek Umurzoqov" Mchj</t>
  </si>
  <si>
    <t>PPS00002880</t>
  </si>
  <si>
    <t>PPS00002907</t>
  </si>
  <si>
    <t>Нафосат опа (Сам)</t>
  </si>
  <si>
    <t>"Grand Javoxir Pharm" Mchj</t>
  </si>
  <si>
    <t>PPS00002910</t>
  </si>
  <si>
    <t>"Platinum Farm Plyus" Mchj</t>
  </si>
  <si>
    <t>PPS00002914</t>
  </si>
  <si>
    <t>ООО "Star Pharm"</t>
  </si>
  <si>
    <t>PPS00002948</t>
  </si>
  <si>
    <t>PPS00002957</t>
  </si>
  <si>
    <t>"Jasmina Aslbek Parizoda" Mchj</t>
  </si>
  <si>
    <t>PPS00002964</t>
  </si>
  <si>
    <t>PPS00002965</t>
  </si>
  <si>
    <t>PPS00002967</t>
  </si>
  <si>
    <t>PPS00002983</t>
  </si>
  <si>
    <t>Равшан ака (Сам)</t>
  </si>
  <si>
    <t>"Farmadok Diabet" Mchj</t>
  </si>
  <si>
    <t>PPS00002999</t>
  </si>
  <si>
    <t>ООО "Saxovat Farm"</t>
  </si>
  <si>
    <t>PPS00003004</t>
  </si>
  <si>
    <t>"NOTIS PHARMA" MChJ</t>
  </si>
  <si>
    <t>PPS00003006</t>
  </si>
  <si>
    <t>PPS00003011</t>
  </si>
  <si>
    <t>Жавохир ака (Сам)</t>
  </si>
  <si>
    <t>Смиле Траде Мчж</t>
  </si>
  <si>
    <t>PPS00003013</t>
  </si>
  <si>
    <t>"Humo Farm Invest Group" Mchj</t>
  </si>
  <si>
    <t>PPS00003016</t>
  </si>
  <si>
    <t>"Yumaxfarm-Servis" Mchj</t>
  </si>
  <si>
    <t>PPS00003017</t>
  </si>
  <si>
    <t>PPS00003044</t>
  </si>
  <si>
    <t>"Shanxay Shifo Plus" Mchj</t>
  </si>
  <si>
    <t>PPS00003045</t>
  </si>
  <si>
    <t>"Nodirbek" Xk</t>
  </si>
  <si>
    <t>PPS00003060</t>
  </si>
  <si>
    <t>PPS00003067</t>
  </si>
  <si>
    <t>PPS00003073</t>
  </si>
  <si>
    <t>"Ziyo Pharm Apteka" Mchj</t>
  </si>
  <si>
    <t>PPS00003090</t>
  </si>
  <si>
    <t>Pul`S Farm Mchj</t>
  </si>
  <si>
    <t>PPS00003095</t>
  </si>
  <si>
    <t>PPS00003097</t>
  </si>
  <si>
    <t>PPS00003102</t>
  </si>
  <si>
    <t>PPS00003117</t>
  </si>
  <si>
    <t>PPS00003129</t>
  </si>
  <si>
    <t>"Shukrona Shifo S Y" Mchj</t>
  </si>
  <si>
    <t>PPS00003141</t>
  </si>
  <si>
    <t>"Nobilis Pharma" Mchj</t>
  </si>
  <si>
    <t>PPS00003145</t>
  </si>
  <si>
    <t>"IRODA" MChJ</t>
  </si>
  <si>
    <t>PPS00003152</t>
  </si>
  <si>
    <t>"Odina Pharm 000" Mchj</t>
  </si>
  <si>
    <t>PPS00003155</t>
  </si>
  <si>
    <t>"Shaxzod Med Line" Mchj</t>
  </si>
  <si>
    <t>PPS00003156</t>
  </si>
  <si>
    <t>PPS00003174</t>
  </si>
  <si>
    <t>ООО "Hulkar Pharm Plyus"</t>
  </si>
  <si>
    <t>PPS00003208</t>
  </si>
  <si>
    <t>PPS00003209</t>
  </si>
  <si>
    <t>PPS00003219</t>
  </si>
  <si>
    <t>"Ibrahim Pharma Service" Mchj</t>
  </si>
  <si>
    <t>PPS00003263</t>
  </si>
  <si>
    <t>PPS00003285</t>
  </si>
  <si>
    <t>"NABIBA-DAVO" XK</t>
  </si>
  <si>
    <t>PPS00003294</t>
  </si>
  <si>
    <t>"Samarqand Provizor" Mchj</t>
  </si>
  <si>
    <t>PPS00003299</t>
  </si>
  <si>
    <t>PPS00003301</t>
  </si>
  <si>
    <t>PPS00003321</t>
  </si>
  <si>
    <t>"FARMASAM" MChJ</t>
  </si>
  <si>
    <t>PPS00003332</t>
  </si>
  <si>
    <t>"MUXDILXON FARIM" XK</t>
  </si>
  <si>
    <t>PPS00003333</t>
  </si>
  <si>
    <t>PPS00003336</t>
  </si>
  <si>
    <t>"Tabobat  Ok Trade" Mchj</t>
  </si>
  <si>
    <t>PPS00003337</t>
  </si>
  <si>
    <t>"Bulungur Diabet Farm" Mchj</t>
  </si>
  <si>
    <t>PPS00003353</t>
  </si>
  <si>
    <t>Каюм ака (Шах)</t>
  </si>
  <si>
    <t>"Tadbirkor" Xk</t>
  </si>
  <si>
    <t>PPS00003366</t>
  </si>
  <si>
    <t>PPS00003383</t>
  </si>
  <si>
    <t>PPS00003410</t>
  </si>
  <si>
    <t>PPS00003414</t>
  </si>
  <si>
    <t>"Samarqand Aziz Tabobati" Mchj</t>
  </si>
  <si>
    <t>PPS00003418</t>
  </si>
  <si>
    <t>"Sam Family Pharm" Mchj</t>
  </si>
  <si>
    <t>PPS00003419</t>
  </si>
  <si>
    <t>PPS00003422</t>
  </si>
  <si>
    <t>"Jannat Shifo" Mchj</t>
  </si>
  <si>
    <t>PPS00003425</t>
  </si>
  <si>
    <t>PPS00003432</t>
  </si>
  <si>
    <t>"Akromjon" Xk</t>
  </si>
  <si>
    <t>PPS00003442</t>
  </si>
  <si>
    <t>PPS00003466</t>
  </si>
  <si>
    <t>PPS00003526</t>
  </si>
  <si>
    <t>PPS00003528</t>
  </si>
  <si>
    <t>Дилшод ака (Сам)</t>
  </si>
  <si>
    <t>MCHJ Muxlisa Universal Farm Servis</t>
  </si>
  <si>
    <t>PPS00003547</t>
  </si>
  <si>
    <t>PPS00003556</t>
  </si>
  <si>
    <t>"Sbya" Mchj</t>
  </si>
  <si>
    <t>PPS00003576</t>
  </si>
  <si>
    <t>Асал опа (Шах)</t>
  </si>
  <si>
    <t>Шахрисабз_Хуршид ака(Сам)</t>
  </si>
  <si>
    <t>"Kifti-Ob Dori Darmon" Mchj</t>
  </si>
  <si>
    <t>PPS00003578</t>
  </si>
  <si>
    <t>PPS00003623</t>
  </si>
  <si>
    <t>PPS00003625</t>
  </si>
  <si>
    <t>"EXIMPHARM" MChJ</t>
  </si>
  <si>
    <t>PPS00003629</t>
  </si>
  <si>
    <t>"Eco Nazarbek Pharm" Mchj</t>
  </si>
  <si>
    <t>PPS00003640</t>
  </si>
  <si>
    <t>SUG`DIYONA-FARM ХК</t>
  </si>
  <si>
    <t>PPS00003657</t>
  </si>
  <si>
    <t>"Madina-Farm Qarshi" Mchj</t>
  </si>
  <si>
    <t>PPS00003708</t>
  </si>
  <si>
    <t>PPS00003728</t>
  </si>
  <si>
    <t>ООО "Ferroplekt Farm Medikal"</t>
  </si>
  <si>
    <t>PPS00003743</t>
  </si>
  <si>
    <t>PPS00003772</t>
  </si>
  <si>
    <t>PPS00003776</t>
  </si>
  <si>
    <t>PPS00003779</t>
  </si>
  <si>
    <t>PPS00003802</t>
  </si>
  <si>
    <t>PPS00003827</t>
  </si>
  <si>
    <t>PPS00003831</t>
  </si>
  <si>
    <t>Эхсон ака (Сам)</t>
  </si>
  <si>
    <t>PPS00003842</t>
  </si>
  <si>
    <t>PPS00003843</t>
  </si>
  <si>
    <t>Дилсўз опа (Кшд)</t>
  </si>
  <si>
    <t>Карши_Дилсўз опа</t>
  </si>
  <si>
    <t>"Tabletka Shifo Farm" Xk</t>
  </si>
  <si>
    <t>PPS00003848</t>
  </si>
  <si>
    <t>"Abdurahim-Doda-Farm" Xk</t>
  </si>
  <si>
    <t>PPS00003854</t>
  </si>
  <si>
    <t>ЧП "Soliha-Med-Farm"</t>
  </si>
  <si>
    <t>PPS00003859</t>
  </si>
  <si>
    <t>"777 Vorid" Mchj</t>
  </si>
  <si>
    <t>PPS00003865</t>
  </si>
  <si>
    <t>Зухра опа (Сир)</t>
  </si>
  <si>
    <t>"Farmmed" Mchj</t>
  </si>
  <si>
    <t>PPS00003869</t>
  </si>
  <si>
    <t>"Fazliddin-Fayz-Baraka" Xk</t>
  </si>
  <si>
    <t>PPS00003881</t>
  </si>
  <si>
    <t>PPS00003882</t>
  </si>
  <si>
    <t>PPS00003883</t>
  </si>
  <si>
    <t>PPS00003904</t>
  </si>
  <si>
    <t>PPS00003928</t>
  </si>
  <si>
    <t>PPS00003948</t>
  </si>
  <si>
    <t>PPS00003954</t>
  </si>
  <si>
    <t>Хуршид ака (Шах)</t>
  </si>
  <si>
    <t>"Ravshan-Surayyo" Mchj</t>
  </si>
  <si>
    <t>PPS00003963</t>
  </si>
  <si>
    <t>Garmoniya Farm Мchj</t>
  </si>
  <si>
    <t>PPS00003978</t>
  </si>
  <si>
    <t>PPS00003982</t>
  </si>
  <si>
    <t>"MUXAMMAD DORISHUNOS" MChJ</t>
  </si>
  <si>
    <t>PPS00003987</t>
  </si>
  <si>
    <t>"Zulfiya Ona Farm Biznes" Mchj</t>
  </si>
  <si>
    <t>PPS00003995</t>
  </si>
  <si>
    <t>PPS00003999</t>
  </si>
  <si>
    <t>"Status Darmon Farm" Mchj</t>
  </si>
  <si>
    <t>PPS00004004</t>
  </si>
  <si>
    <t>PPS00004005</t>
  </si>
  <si>
    <t>Фаёза опа (Шах)</t>
  </si>
  <si>
    <t>"TONG" XK</t>
  </si>
  <si>
    <t>PPS00004022</t>
  </si>
  <si>
    <t>"DIL MUXAMMAD FARM SERVIS" MChJ</t>
  </si>
  <si>
    <t>PPS00004023</t>
  </si>
  <si>
    <t>PPS00004027</t>
  </si>
  <si>
    <t>"BIBIXONIM NUR BARAKA" MChJ</t>
  </si>
  <si>
    <t>PPS00004041</t>
  </si>
  <si>
    <t>PPS00004048</t>
  </si>
  <si>
    <t>PPS00004060</t>
  </si>
  <si>
    <t>PPS00004070</t>
  </si>
  <si>
    <t>PPS00004110</t>
  </si>
  <si>
    <t>"Umarov Dostonbek Farm" Mchj</t>
  </si>
  <si>
    <t>PPS00004117</t>
  </si>
  <si>
    <t>"Biotek Farm" Mchj</t>
  </si>
  <si>
    <t>PPS00004122</t>
  </si>
  <si>
    <t>PPS00004130</t>
  </si>
  <si>
    <t>PPS00004134</t>
  </si>
  <si>
    <t>"Nematov-Yu" Mchj</t>
  </si>
  <si>
    <t>PPS00004145</t>
  </si>
  <si>
    <t>"FAXR" MChJ</t>
  </si>
  <si>
    <t>PPS00004149</t>
  </si>
  <si>
    <t>PPS00004157</t>
  </si>
  <si>
    <t>PPS00004161</t>
  </si>
  <si>
    <t>"Sirli Tabobat" Mchj</t>
  </si>
  <si>
    <t>PPS00004165</t>
  </si>
  <si>
    <t>СП "Rayyona-Angren"</t>
  </si>
  <si>
    <t>PPS00004174</t>
  </si>
  <si>
    <t>Шохрухбек ака (Хор)</t>
  </si>
  <si>
    <t>PPS00004177</t>
  </si>
  <si>
    <t>PPS00000058</t>
  </si>
  <si>
    <t>PPS00004211</t>
  </si>
  <si>
    <t>PPS00004215</t>
  </si>
  <si>
    <t>PPS00004216</t>
  </si>
  <si>
    <t>PPS00004218</t>
  </si>
  <si>
    <t>PPS00004223</t>
  </si>
  <si>
    <t>PPS00004224</t>
  </si>
  <si>
    <t>"RISQ BARAKA SAVDO SERVIS" MChJ</t>
  </si>
  <si>
    <t>PPS00004233</t>
  </si>
  <si>
    <t>Ноила опа (Т,О)</t>
  </si>
  <si>
    <t>Таш.Обл_Ноила опа</t>
  </si>
  <si>
    <t>PPS00004250</t>
  </si>
  <si>
    <t>PPS00004258</t>
  </si>
  <si>
    <t>PPS00004278</t>
  </si>
  <si>
    <t>"Djuraev Sobirullo" Xk</t>
  </si>
  <si>
    <t>PPS00004289</t>
  </si>
  <si>
    <t>"Baxt Pharm 01" Mchj</t>
  </si>
  <si>
    <t>PPS00004303</t>
  </si>
  <si>
    <t>PPS00004326</t>
  </si>
  <si>
    <t>PPS00004328</t>
  </si>
  <si>
    <t>PPS00004330</t>
  </si>
  <si>
    <t>PPS00004339</t>
  </si>
  <si>
    <t>PPS00004342</t>
  </si>
  <si>
    <t>PPS00004349</t>
  </si>
  <si>
    <t>PPS00004358</t>
  </si>
  <si>
    <t>PPS00004426</t>
  </si>
  <si>
    <t>PPS00004439</t>
  </si>
  <si>
    <t>"Amonov Sabri Farm" Xk</t>
  </si>
  <si>
    <t>PPS00004443</t>
  </si>
  <si>
    <t>PPS00004445</t>
  </si>
  <si>
    <t>Сожида опа (Кшд)</t>
  </si>
  <si>
    <t>PPS00004447</t>
  </si>
  <si>
    <t>"Jaloliddin Elbek Farm" Xk</t>
  </si>
  <si>
    <t>PPS00004448</t>
  </si>
  <si>
    <t>Шохиста опа (Шах)</t>
  </si>
  <si>
    <t>PPS00004471</t>
  </si>
  <si>
    <t>Азиз ака (Бух)</t>
  </si>
  <si>
    <t>PPS00004477</t>
  </si>
  <si>
    <t>PPS00004490</t>
  </si>
  <si>
    <t>PPS00004499</t>
  </si>
  <si>
    <t>PPS00004500</t>
  </si>
  <si>
    <t>PPS00004505</t>
  </si>
  <si>
    <t>PPS00004508</t>
  </si>
  <si>
    <t>"Buyuk Pharm" Mchj</t>
  </si>
  <si>
    <t>PPS00004515</t>
  </si>
  <si>
    <t>"Sariosiyo Xusan Farm" Xk</t>
  </si>
  <si>
    <t>SM000001337</t>
  </si>
  <si>
    <t>SM</t>
  </si>
  <si>
    <t>SM000002015</t>
  </si>
  <si>
    <t>Жонибек ака (Анд)</t>
  </si>
  <si>
    <t>Андижон_Жонибек ака</t>
  </si>
  <si>
    <t>"Diyora Trade Pharm" Mchj</t>
  </si>
  <si>
    <t>SM000002037</t>
  </si>
  <si>
    <t>Феруза опа (Нам)</t>
  </si>
  <si>
    <t>Наманган_Розия опа</t>
  </si>
  <si>
    <t>"Zam-Zam Med Pharm" Mchj</t>
  </si>
  <si>
    <t>SM000002089</t>
  </si>
  <si>
    <t>&lt;Объект не найден&gt; (12090:95b918c04d74957511eeb48624412fc6)</t>
  </si>
  <si>
    <t>"Apteka Centr" Mchj</t>
  </si>
  <si>
    <t>SM000002105</t>
  </si>
  <si>
    <t>"Mabda Healthcare Group" Mchj</t>
  </si>
  <si>
    <t>SM000002168</t>
  </si>
  <si>
    <t>"Aziz Shifo Farm" Ok</t>
  </si>
  <si>
    <t>SM000002503</t>
  </si>
  <si>
    <t>"Grand Pharm Andijon" Mchj</t>
  </si>
  <si>
    <t>SM000003297</t>
  </si>
  <si>
    <t>SM000003430</t>
  </si>
  <si>
    <t>SM000003458</t>
  </si>
  <si>
    <t>"Mumiyo Dorixonalari Tarmog`I" Mchj</t>
  </si>
  <si>
    <t>SM000003697</t>
  </si>
  <si>
    <t>SM000003798</t>
  </si>
  <si>
    <t>SM000004125</t>
  </si>
  <si>
    <t>SM000004221</t>
  </si>
  <si>
    <t>SM000004372</t>
  </si>
  <si>
    <t>Зулайхо опа (Нам)</t>
  </si>
  <si>
    <t>Наманган_Зулайхо опа</t>
  </si>
  <si>
    <t>"Bilolhon Med Farm Servis" Mchj</t>
  </si>
  <si>
    <t>SM000004579</t>
  </si>
  <si>
    <t>SM000004586</t>
  </si>
  <si>
    <t>Ахроржон ака (Фр)</t>
  </si>
  <si>
    <t>Фаргона_Ахроржон Ака</t>
  </si>
  <si>
    <t>"Imbex Farm" Mchj</t>
  </si>
  <si>
    <t>SM000004654</t>
  </si>
  <si>
    <t>"Pharm Gate Group" Mchj</t>
  </si>
  <si>
    <t>SM000004731</t>
  </si>
  <si>
    <t>"Rish Farm Medikal" Mchj</t>
  </si>
  <si>
    <t>SM000004769</t>
  </si>
  <si>
    <t>"Anor Davo Farm" Mchj</t>
  </si>
  <si>
    <t>SM000004786</t>
  </si>
  <si>
    <t>MCHJ Unf Innovation Farm</t>
  </si>
  <si>
    <t>SM000004797</t>
  </si>
  <si>
    <t>Абдурашид ака (Нам)</t>
  </si>
  <si>
    <t>"Zinnur Farm Medical" Mchj</t>
  </si>
  <si>
    <t>SM000004818</t>
  </si>
  <si>
    <t>"Turon Pharm Industry" Mchj</t>
  </si>
  <si>
    <t>SM000004822</t>
  </si>
  <si>
    <t>"Grand Pharm Fergana" Mchj</t>
  </si>
  <si>
    <t>SM000004827</t>
  </si>
  <si>
    <t>"Jidda Pharm" Mchj</t>
  </si>
  <si>
    <t>SM000004863</t>
  </si>
  <si>
    <t>SM000004942</t>
  </si>
  <si>
    <t>"Everest Peak" Mchj</t>
  </si>
  <si>
    <t>SM000004969</t>
  </si>
  <si>
    <t>"Dilshodaxon Abrorbek Sardorbek" Mchj</t>
  </si>
  <si>
    <t>SM000004984</t>
  </si>
  <si>
    <t>"Dildora Pylus Farm" Xk</t>
  </si>
  <si>
    <t>SM000005003</t>
  </si>
  <si>
    <t>"Iqbol Farm Servis" Mchj</t>
  </si>
  <si>
    <t>SM000005024</t>
  </si>
  <si>
    <t>"Zayniddin-Muazzam Farm" Mchj</t>
  </si>
  <si>
    <t>SM000005053</t>
  </si>
  <si>
    <t>SM000005157</t>
  </si>
  <si>
    <t>SM000005168</t>
  </si>
  <si>
    <t>"Ferghana Burj Extra" Mchj</t>
  </si>
  <si>
    <t>SM000005171</t>
  </si>
  <si>
    <t>SM000005194</t>
  </si>
  <si>
    <t>SM000005215</t>
  </si>
  <si>
    <t>Дилшода опа (Нам)</t>
  </si>
  <si>
    <t>"Toshloq Universal Trade" Mchj</t>
  </si>
  <si>
    <t>SM000005219</t>
  </si>
  <si>
    <t>Umarov Shavkatjon Shuxratovich</t>
  </si>
  <si>
    <t>SM000005249</t>
  </si>
  <si>
    <t>Абдуллох ака (Анд)</t>
  </si>
  <si>
    <t>SM000005316</t>
  </si>
  <si>
    <t>"Oxotnik Farm" Mchj</t>
  </si>
  <si>
    <t>SM000000048</t>
  </si>
  <si>
    <t>"Dardga Darmon Servis" Xk</t>
  </si>
  <si>
    <t>SM000000074</t>
  </si>
  <si>
    <t>SM000000112</t>
  </si>
  <si>
    <t>Абдуолим ака (Фр)</t>
  </si>
  <si>
    <t>"Med Farm Servis Fargona " Mchj</t>
  </si>
  <si>
    <t>SM000000155</t>
  </si>
  <si>
    <t>"Sherzodbek Pharmacy" Mchj</t>
  </si>
  <si>
    <t>SM000000398</t>
  </si>
  <si>
    <t>SM000000201</t>
  </si>
  <si>
    <t>SM000000477</t>
  </si>
  <si>
    <t>SM000000499</t>
  </si>
  <si>
    <t>SM000000504</t>
  </si>
  <si>
    <t>"Mustafo Feruz Farm" Xk</t>
  </si>
  <si>
    <t>SM000000539</t>
  </si>
  <si>
    <t>SM000000559</t>
  </si>
  <si>
    <t>ЧП "Besh Yulduz - M M P"</t>
  </si>
  <si>
    <t>SM000000582</t>
  </si>
  <si>
    <t>"Insof Baraka Farm" Mchj</t>
  </si>
  <si>
    <t>SM000000587</t>
  </si>
  <si>
    <t>SM000000683</t>
  </si>
  <si>
    <t>SM000000716</t>
  </si>
  <si>
    <t>SM000000732</t>
  </si>
  <si>
    <t>SM000000769</t>
  </si>
  <si>
    <t>SM000000782</t>
  </si>
  <si>
    <t>SM000000795</t>
  </si>
  <si>
    <t>SM000000838</t>
  </si>
  <si>
    <t>Ahmadjon Farm Biznes Мчж</t>
  </si>
  <si>
    <t>SM000000934</t>
  </si>
  <si>
    <t>SM000000935</t>
  </si>
  <si>
    <t>SM000001031</t>
  </si>
  <si>
    <t>SM000001249</t>
  </si>
  <si>
    <t>SM000001253</t>
  </si>
  <si>
    <t>SM000001407</t>
  </si>
  <si>
    <t>SM000001487</t>
  </si>
  <si>
    <t>SM000001510</t>
  </si>
  <si>
    <t>SM000001512</t>
  </si>
  <si>
    <t>"Grand Pharm Namangan" Mchj</t>
  </si>
  <si>
    <t>SM000001540</t>
  </si>
  <si>
    <t>"Temur Med Farm Shifo" Mchj</t>
  </si>
  <si>
    <t>SM000001557</t>
  </si>
  <si>
    <t>"Davr Farma" Xk</t>
  </si>
  <si>
    <t>SM000001600</t>
  </si>
  <si>
    <t>SM000001638</t>
  </si>
  <si>
    <t>SM000001663</t>
  </si>
  <si>
    <t>SM000001711</t>
  </si>
  <si>
    <t>SM000001713</t>
  </si>
  <si>
    <t>Баходирхон ака</t>
  </si>
  <si>
    <t>Кукон_Баходирхон ака</t>
  </si>
  <si>
    <t>Al-Xikmat Shifo Хусусий Фирма</t>
  </si>
  <si>
    <t>SM000001728</t>
  </si>
  <si>
    <t>ООО "Zilol Farm Andijon"</t>
  </si>
  <si>
    <t>SM000001731</t>
  </si>
  <si>
    <t>SM000001757</t>
  </si>
  <si>
    <t>SM000001900</t>
  </si>
  <si>
    <t>Умар ака (Фр)</t>
  </si>
  <si>
    <t>Фаргона_Умар ака Сух</t>
  </si>
  <si>
    <t>"Sux Farm Medikal" Mchj</t>
  </si>
  <si>
    <t>SM000001931</t>
  </si>
  <si>
    <t>Мусабек ака</t>
  </si>
  <si>
    <t>SM000001974</t>
  </si>
  <si>
    <t>SM000002045</t>
  </si>
  <si>
    <t>SM000002088</t>
  </si>
  <si>
    <t>Абдуллох ака (S)</t>
  </si>
  <si>
    <t>Андижон_Жонибек ака (S)</t>
  </si>
  <si>
    <t>"Nodir" Mchj</t>
  </si>
  <si>
    <t>SM000002131</t>
  </si>
  <si>
    <t>"Niyozbek Farm" Mchj</t>
  </si>
  <si>
    <t>SM000002145</t>
  </si>
  <si>
    <t>Gulnora Med Farm Mchj</t>
  </si>
  <si>
    <t>SM000002163</t>
  </si>
  <si>
    <t>SM000002245</t>
  </si>
  <si>
    <t>SM000002298</t>
  </si>
  <si>
    <t>SM000002314</t>
  </si>
  <si>
    <t>Зафархон ака (Фр)</t>
  </si>
  <si>
    <t>Фаргона_Зафаржон ака</t>
  </si>
  <si>
    <t>"Fartuna Yur" Xk</t>
  </si>
  <si>
    <t>SM000002322</t>
  </si>
  <si>
    <t>"Andijon Viloyat Ko`P Tarmoqli Tibbiyot Markazi" Dm</t>
  </si>
  <si>
    <t>SM000002424</t>
  </si>
  <si>
    <t>"Makro Pharmaseuitical" Mchj</t>
  </si>
  <si>
    <t>SM000002459</t>
  </si>
  <si>
    <t>"Mulki Amenjon" Xk</t>
  </si>
  <si>
    <t>SM000002460</t>
  </si>
  <si>
    <t>SM000002468</t>
  </si>
  <si>
    <t>RMF00004990</t>
  </si>
  <si>
    <t>Хуршид ака (Сам)</t>
  </si>
  <si>
    <t>RMF</t>
  </si>
  <si>
    <t>"Isayev Farm 777" Mchj</t>
  </si>
  <si>
    <t>RMF00004995</t>
  </si>
  <si>
    <t>"Azamat Gold Farm" Mchj</t>
  </si>
  <si>
    <t>RMF00005090</t>
  </si>
  <si>
    <t>RMF00005100</t>
  </si>
  <si>
    <t>"Sezon Ntd" Xk</t>
  </si>
  <si>
    <t>RMF00005113</t>
  </si>
  <si>
    <t>"Rustambek-J.b.b." Xk</t>
  </si>
  <si>
    <t>RMF00005164</t>
  </si>
  <si>
    <t>RMF00005180</t>
  </si>
  <si>
    <t>Профи</t>
  </si>
  <si>
    <t>RMF00005213</t>
  </si>
  <si>
    <t>"Max Mir Farm777" Mchj</t>
  </si>
  <si>
    <t>RMF00005223</t>
  </si>
  <si>
    <t>Мехрибон опа (Нк)</t>
  </si>
  <si>
    <t>Нукус_Мехрибон опа</t>
  </si>
  <si>
    <t>"Mir Apteka" Mchj</t>
  </si>
  <si>
    <t>RMF00005226</t>
  </si>
  <si>
    <t>RMF00005240</t>
  </si>
  <si>
    <t>"Planeta Farm 111" Mchj</t>
  </si>
  <si>
    <t>RMF00005245</t>
  </si>
  <si>
    <t>"Best Dominant Farm" Mchj</t>
  </si>
  <si>
    <t>RMF00005259</t>
  </si>
  <si>
    <t>RMF00005263</t>
  </si>
  <si>
    <t>RMF00005266</t>
  </si>
  <si>
    <t>RMF00005269</t>
  </si>
  <si>
    <t>"Smile Trade" Mchj</t>
  </si>
  <si>
    <t>RMF00005276</t>
  </si>
  <si>
    <t>RMF00005277</t>
  </si>
  <si>
    <t>RMF00005283</t>
  </si>
  <si>
    <t>RMF00005286</t>
  </si>
  <si>
    <t>"Mushtariy-Samira Farm" Xk</t>
  </si>
  <si>
    <t>RMF00005313</t>
  </si>
  <si>
    <t>"Ajiniyaz No`Kis" Xk</t>
  </si>
  <si>
    <t>RMF00005319</t>
  </si>
  <si>
    <t>"Pintok Medical" Mchj</t>
  </si>
  <si>
    <t>RMF00005333</t>
  </si>
  <si>
    <t>RMF00005357</t>
  </si>
  <si>
    <t>RMF00005377</t>
  </si>
  <si>
    <t>111111111</t>
  </si>
  <si>
    <t>1111111111111111111111111</t>
  </si>
  <si>
    <t>RMF00005384</t>
  </si>
  <si>
    <t>RMF00005388</t>
  </si>
  <si>
    <t>"Sofora Med" Mchj</t>
  </si>
  <si>
    <t>RMF00005397</t>
  </si>
  <si>
    <t>"Dilfuza Farm Servis" Mchj</t>
  </si>
  <si>
    <t>RMF00005399</t>
  </si>
  <si>
    <t>"Nigina Farm Sanoat" Xk</t>
  </si>
  <si>
    <t>RMF00005407</t>
  </si>
  <si>
    <t>"Oligafarm" Mchj</t>
  </si>
  <si>
    <t>RMF00005433</t>
  </si>
  <si>
    <t>RMF00005462</t>
  </si>
  <si>
    <t>"Sinoxususiy Dorixonasi" Xk</t>
  </si>
  <si>
    <t>RMF00005500</t>
  </si>
  <si>
    <t>Бахромжон</t>
  </si>
  <si>
    <t>Кукон_Бахромжон ака</t>
  </si>
  <si>
    <t>"Tole" Xk</t>
  </si>
  <si>
    <t>RMF00005509</t>
  </si>
  <si>
    <t>"Najot" Xk</t>
  </si>
  <si>
    <t>RMF00005514</t>
  </si>
  <si>
    <t>RMF00005526</t>
  </si>
  <si>
    <t>RMF00005534</t>
  </si>
  <si>
    <t>RMF00005535</t>
  </si>
  <si>
    <t>RMF00005542</t>
  </si>
  <si>
    <t>"Dilnavozhon Farma" Xk</t>
  </si>
  <si>
    <t>RMF00005580</t>
  </si>
  <si>
    <t>RMF00005603</t>
  </si>
  <si>
    <t>RMF00005607</t>
  </si>
  <si>
    <t>"Farm-Sintez" Xk</t>
  </si>
  <si>
    <t>RMF00005608</t>
  </si>
  <si>
    <t>"Shax Nur Farm Med" Mas'uliyati Cheklangan Jamiyat</t>
  </si>
  <si>
    <t>RMF00005622</t>
  </si>
  <si>
    <t>"Ozod Dori Darmon Xususiy Korxonasi" Xk</t>
  </si>
  <si>
    <t>RMF00005654</t>
  </si>
  <si>
    <t>RMF00005656</t>
  </si>
  <si>
    <t>"Smart Pharm-Bukhara" Mchj</t>
  </si>
  <si>
    <t>RMF00005662</t>
  </si>
  <si>
    <t>Баходирхон</t>
  </si>
  <si>
    <t>RMF00005677</t>
  </si>
  <si>
    <t>Жонибек ака (Анд) S</t>
  </si>
  <si>
    <t>"Max Shifo Aziz Farm" Qmj</t>
  </si>
  <si>
    <t>RMF00005686</t>
  </si>
  <si>
    <t>RMF00005704</t>
  </si>
  <si>
    <t>RMF00005712</t>
  </si>
  <si>
    <t>"Farmasam" Mchj</t>
  </si>
  <si>
    <t>RMF00005718</t>
  </si>
  <si>
    <t>RMF00005734</t>
  </si>
  <si>
    <t>"Farm Standart" Mchj</t>
  </si>
  <si>
    <t>RMF00005738</t>
  </si>
  <si>
    <t>RMF00005741</t>
  </si>
  <si>
    <t>RMF00005757</t>
  </si>
  <si>
    <t>"Dilorom Med Servis" Xk</t>
  </si>
  <si>
    <t>RMF00005775</t>
  </si>
  <si>
    <t>RMF00005776</t>
  </si>
  <si>
    <t>RMF00005778</t>
  </si>
  <si>
    <t>RMF00005792</t>
  </si>
  <si>
    <t>"ASKARBINKA VITAMINKA" mas`uliyati cheklangan jamiyati</t>
  </si>
  <si>
    <t>RMF00005811</t>
  </si>
  <si>
    <t>RMF00005831</t>
  </si>
  <si>
    <t>"Ajiniyaz Qaraqalpaq" Mchj</t>
  </si>
  <si>
    <t>RMF00005836</t>
  </si>
  <si>
    <t>RMF00005840</t>
  </si>
  <si>
    <t>"Health Plus" Mchj</t>
  </si>
  <si>
    <t>RMF00005843</t>
  </si>
  <si>
    <t>RMF00005850</t>
  </si>
  <si>
    <t>RMF00005855</t>
  </si>
  <si>
    <t>"MAKRO PHARMASEUITICAL" mas'uliyati cheklangan jamiyati</t>
  </si>
  <si>
    <t>RMF00005857</t>
  </si>
  <si>
    <t>RMF00005863</t>
  </si>
  <si>
    <t>RMF00005885</t>
  </si>
  <si>
    <t>Ноила опа (Т.О)</t>
  </si>
  <si>
    <t>"Nasriddin-Fayz" Xk</t>
  </si>
  <si>
    <t>RMF00005887</t>
  </si>
  <si>
    <t>Хушнуд ака (Сам)</t>
  </si>
  <si>
    <t>"Doctor Otto" Ok</t>
  </si>
  <si>
    <t>RMF00005927</t>
  </si>
  <si>
    <t>Сабриназ</t>
  </si>
  <si>
    <t>"Xojeli Aydin Kol" Xk</t>
  </si>
  <si>
    <t>RMF00005929</t>
  </si>
  <si>
    <t>"Emir Farm Shifo" Mchj</t>
  </si>
  <si>
    <t>RMF00005936</t>
  </si>
  <si>
    <t>Дилноза опа (Сам)</t>
  </si>
  <si>
    <t>"Narzullayev Baxrom Farm" Mchj</t>
  </si>
  <si>
    <t>RMF00005939</t>
  </si>
  <si>
    <t>RMF00005945</t>
  </si>
  <si>
    <t>RMF00005946</t>
  </si>
  <si>
    <t>Хушнуд ака (Т.О)</t>
  </si>
  <si>
    <t>RMF00005970</t>
  </si>
  <si>
    <t>"Giyoh 25 Yil" Mchj</t>
  </si>
  <si>
    <t>RMF00005994</t>
  </si>
  <si>
    <t>RMF00006053</t>
  </si>
  <si>
    <t>RMF00006064</t>
  </si>
  <si>
    <t>RMF00006077</t>
  </si>
  <si>
    <t>RMF00006098</t>
  </si>
  <si>
    <t>RMF00006106</t>
  </si>
  <si>
    <t>RMF00006107</t>
  </si>
  <si>
    <t>"Nebolit" Xususiy Korxona</t>
  </si>
  <si>
    <t>RMF00006109</t>
  </si>
  <si>
    <t>RMF00006114</t>
  </si>
  <si>
    <t>RMF00006116</t>
  </si>
  <si>
    <t>Фуркат ака (Сам)</t>
  </si>
  <si>
    <t>"Kamol Gold Farm" Mchj</t>
  </si>
  <si>
    <t>RMF00006130</t>
  </si>
  <si>
    <t>Насиба опа (Нав)</t>
  </si>
  <si>
    <t>RMF00006131</t>
  </si>
  <si>
    <t>"Istiqlol Farm Invest" Mchj</t>
  </si>
  <si>
    <t>RMF00006132</t>
  </si>
  <si>
    <t>Мусабек ака (Фр)</t>
  </si>
  <si>
    <t>RMF00006148</t>
  </si>
  <si>
    <t xml:space="preserve">Списание команда </t>
  </si>
  <si>
    <t>RMF00006155</t>
  </si>
  <si>
    <t>RMF00006163</t>
  </si>
  <si>
    <t>RMF00006180</t>
  </si>
  <si>
    <t>Муниса опа (Сам)</t>
  </si>
  <si>
    <t>"Marvarid Stom Denta" Ok</t>
  </si>
  <si>
    <t>RMF00006182</t>
  </si>
  <si>
    <t>Одил ака (Сам)</t>
  </si>
  <si>
    <t>RMF00006189</t>
  </si>
  <si>
    <t>Севара опа (Сам)</t>
  </si>
  <si>
    <t>RMF00006200</t>
  </si>
  <si>
    <t>RMF00006203</t>
  </si>
  <si>
    <t>RMF00006207</t>
  </si>
  <si>
    <t>RMF00006221</t>
  </si>
  <si>
    <t>RMF00006241</t>
  </si>
  <si>
    <t>Косимжон ака (Фр)</t>
  </si>
  <si>
    <t>RMF00006246</t>
  </si>
  <si>
    <t>RMF00006250</t>
  </si>
  <si>
    <t>RMF00006260</t>
  </si>
  <si>
    <t>RMF00006263</t>
  </si>
  <si>
    <t>RMF00006270</t>
  </si>
  <si>
    <t>RMF00006274</t>
  </si>
  <si>
    <t>RMF00006281</t>
  </si>
  <si>
    <t>RMF00006298</t>
  </si>
  <si>
    <t>RMF00006299</t>
  </si>
  <si>
    <t>RMF00000001</t>
  </si>
  <si>
    <t>RMF00000003</t>
  </si>
  <si>
    <t>RMF00000011</t>
  </si>
  <si>
    <t>RMF00000017</t>
  </si>
  <si>
    <t>RMF00000018</t>
  </si>
  <si>
    <t>RMF00000059</t>
  </si>
  <si>
    <t>RMF00000062</t>
  </si>
  <si>
    <t>"Idealmed" Mchj</t>
  </si>
  <si>
    <t>RMF00000071</t>
  </si>
  <si>
    <t>"Olg`A Esm Farm" Mchj</t>
  </si>
  <si>
    <t>RMF00000073</t>
  </si>
  <si>
    <t>Зафаржон</t>
  </si>
  <si>
    <t>"ASH SHIFA PHARM"Mchj</t>
  </si>
  <si>
    <t>RMF00000076</t>
  </si>
  <si>
    <t>"Shodlik-Mc" Mchj</t>
  </si>
  <si>
    <t>RMF00000080</t>
  </si>
  <si>
    <t>Иззат ака (Хор)</t>
  </si>
  <si>
    <t>RMF00000089</t>
  </si>
  <si>
    <t>RMF00000091</t>
  </si>
  <si>
    <t>RMF00000096</t>
  </si>
  <si>
    <t>RMF00000107</t>
  </si>
  <si>
    <t>Таш.Обл_Рустам ака (S)</t>
  </si>
  <si>
    <t>"Hayot Eleksiri" Mchj</t>
  </si>
  <si>
    <t>RMF00000129</t>
  </si>
  <si>
    <t>RMF00000131</t>
  </si>
  <si>
    <t>RMF00000145</t>
  </si>
  <si>
    <t>RMF00000148</t>
  </si>
  <si>
    <t>RMF00000153</t>
  </si>
  <si>
    <t>RMF00000157</t>
  </si>
  <si>
    <t>"Beshtog' Asri" Xk</t>
  </si>
  <si>
    <t>RMF00000161</t>
  </si>
  <si>
    <t>RMF00000183</t>
  </si>
  <si>
    <t>RMF00000184</t>
  </si>
  <si>
    <t>RMF00000188</t>
  </si>
  <si>
    <t>RMF00000192</t>
  </si>
  <si>
    <t>"Asror-Shifokor" Xk</t>
  </si>
  <si>
    <t>RMF00000200</t>
  </si>
  <si>
    <t>"Farmed Plyus Oynisa " Xk</t>
  </si>
  <si>
    <t>RMF00000201</t>
  </si>
  <si>
    <t>"TABLETKA SHIFO FARM" xususiy korxonasi</t>
  </si>
  <si>
    <t>RMF00000213</t>
  </si>
  <si>
    <t>RMF00000214</t>
  </si>
  <si>
    <t>RMF00000243</t>
  </si>
  <si>
    <t>RMF00000252</t>
  </si>
  <si>
    <t>RMF00000254</t>
  </si>
  <si>
    <t>RMF00000262</t>
  </si>
  <si>
    <t>"Orzui Mansurjon" Xk</t>
  </si>
  <si>
    <t>RMF00000263</t>
  </si>
  <si>
    <t>RMF00000273</t>
  </si>
  <si>
    <t>RMF00000278</t>
  </si>
  <si>
    <t>RMF00000280</t>
  </si>
  <si>
    <t>RMF00000292</t>
  </si>
  <si>
    <t>RMF00000293</t>
  </si>
  <si>
    <t>RMF00000297</t>
  </si>
  <si>
    <t>RMF00000302</t>
  </si>
  <si>
    <t>"Islom - Farm  -Medikal" Mchj</t>
  </si>
  <si>
    <t>RMF00000310</t>
  </si>
  <si>
    <t>RMF00000315</t>
  </si>
  <si>
    <t>RMF00000318</t>
  </si>
  <si>
    <t>RMF00000329</t>
  </si>
  <si>
    <t>RMF00000341</t>
  </si>
  <si>
    <t>RMF00000342</t>
  </si>
  <si>
    <t>Севара опа С (Сам)</t>
  </si>
  <si>
    <t>RMF00000348</t>
  </si>
  <si>
    <t>RMF00000357</t>
  </si>
  <si>
    <t>RMF00000359</t>
  </si>
  <si>
    <t>RMF00000367</t>
  </si>
  <si>
    <t>"Bibxonim Nur Baraka" Mchj</t>
  </si>
  <si>
    <t>RMF00000368</t>
  </si>
  <si>
    <t>RMF00000372</t>
  </si>
  <si>
    <t>RMF00000382</t>
  </si>
  <si>
    <t>RMF00000385</t>
  </si>
  <si>
    <t>RMF00000388</t>
  </si>
  <si>
    <t>RMF00000390</t>
  </si>
  <si>
    <t>RMF00000397</t>
  </si>
  <si>
    <t>Зафар ака (Фр)</t>
  </si>
  <si>
    <t>RMF00000398</t>
  </si>
  <si>
    <t>RMF00000401</t>
  </si>
  <si>
    <t>"Aziz-M" Xk</t>
  </si>
  <si>
    <t>RMF00000408</t>
  </si>
  <si>
    <t>RMF00000415</t>
  </si>
  <si>
    <t>RMF00000428</t>
  </si>
  <si>
    <t>"Dia Med-2" Mchj</t>
  </si>
  <si>
    <t>RMF00000457</t>
  </si>
  <si>
    <t>RMF00000459</t>
  </si>
  <si>
    <t>RMF00000461</t>
  </si>
  <si>
    <t>RMF00000463</t>
  </si>
  <si>
    <t>"Ixlos" Qmj</t>
  </si>
  <si>
    <t>RMF00000472</t>
  </si>
  <si>
    <t>RMF00000473</t>
  </si>
  <si>
    <t>"Ain-Farm Servis" Mchj</t>
  </si>
  <si>
    <t>RMF00000476</t>
  </si>
  <si>
    <t>RMF00000492</t>
  </si>
  <si>
    <t>RMF00000512</t>
  </si>
  <si>
    <t>RMF00000513</t>
  </si>
  <si>
    <t>RMF00000126</t>
  </si>
  <si>
    <t>RMF00000517</t>
  </si>
  <si>
    <t>RMF00000525</t>
  </si>
  <si>
    <t>RMF00000528</t>
  </si>
  <si>
    <t>RMF00000529</t>
  </si>
  <si>
    <t>Анвар ака (Срх)</t>
  </si>
  <si>
    <t>"Muxdilxon Farm" Xk</t>
  </si>
  <si>
    <t>RMF00000533</t>
  </si>
  <si>
    <t>Зилола опа (Нав)</t>
  </si>
  <si>
    <t>RMF00000431</t>
  </si>
  <si>
    <t>RMF00000538</t>
  </si>
  <si>
    <t>RMF00000539</t>
  </si>
  <si>
    <t>RMF00000540</t>
  </si>
  <si>
    <t>RMF00000546</t>
  </si>
  <si>
    <t>RMF00000563</t>
  </si>
  <si>
    <t>RMF00000564</t>
  </si>
  <si>
    <t>RMF00000566</t>
  </si>
  <si>
    <t>Жавохир ака( Сам)</t>
  </si>
  <si>
    <t>RMF00000570</t>
  </si>
  <si>
    <t>RMF00000572</t>
  </si>
  <si>
    <t>RMF00000575</t>
  </si>
  <si>
    <t>RMF00000578</t>
  </si>
  <si>
    <t>"Zuxra Sahovat Farm" Mas'uliyati Cheklangan Jamiyat</t>
  </si>
  <si>
    <t>RMF00000582</t>
  </si>
  <si>
    <t>RMF00000590</t>
  </si>
  <si>
    <t>"Soxibqiron Denta Farm" Mchj</t>
  </si>
  <si>
    <t>RMF00000591</t>
  </si>
  <si>
    <t>RMF00000603</t>
  </si>
  <si>
    <t>"Xumozar-Farmnur" Mchj</t>
  </si>
  <si>
    <t>RMF00000619</t>
  </si>
  <si>
    <t>RMF00000620</t>
  </si>
  <si>
    <t>RMF00000621</t>
  </si>
  <si>
    <t>RMF00000622</t>
  </si>
  <si>
    <t>RMF00000623</t>
  </si>
  <si>
    <t>RMF00000632</t>
  </si>
  <si>
    <t>RMF00000633</t>
  </si>
  <si>
    <t>RMF00000635</t>
  </si>
  <si>
    <t>RMF00000649</t>
  </si>
  <si>
    <t>Тошкент 0</t>
  </si>
  <si>
    <t>"Zamin Eko Pharma" Mchj</t>
  </si>
  <si>
    <t>RMF00000652</t>
  </si>
  <si>
    <t>RMF00000653</t>
  </si>
  <si>
    <t>RMF00000660</t>
  </si>
  <si>
    <t>RMF00000671</t>
  </si>
  <si>
    <t>RMF00000673</t>
  </si>
  <si>
    <t>Хуршид ака 2 (Сам)</t>
  </si>
  <si>
    <t>RMF00000675</t>
  </si>
  <si>
    <t>Азиз ака (Сам)</t>
  </si>
  <si>
    <t>RMF00000026</t>
  </si>
  <si>
    <t>RMF00000685</t>
  </si>
  <si>
    <t>RMF00000686</t>
  </si>
  <si>
    <t>"Maftuna Farm Servis" Mchj</t>
  </si>
  <si>
    <t>RMF00000688</t>
  </si>
  <si>
    <t>RMF00000690</t>
  </si>
  <si>
    <t>RMF00000699</t>
  </si>
  <si>
    <t>RMF00000702</t>
  </si>
  <si>
    <t>"Eco Nazarbek Pharm" Mas'uliyati Cheklangan Jamiyat</t>
  </si>
  <si>
    <t>RMF00000711</t>
  </si>
  <si>
    <t>RMF00000715</t>
  </si>
  <si>
    <t>RMF00000718</t>
  </si>
  <si>
    <t>"Xolis Med Farm" Mchj</t>
  </si>
  <si>
    <t>RMF00000719</t>
  </si>
  <si>
    <t>RMF00000728</t>
  </si>
  <si>
    <t>RMF00000729</t>
  </si>
  <si>
    <t>"Notis Pharma" Mchj</t>
  </si>
  <si>
    <t>RMF00000731</t>
  </si>
  <si>
    <t>RMF00000732</t>
  </si>
  <si>
    <t>RMF00000734</t>
  </si>
  <si>
    <t>"Shifo " Xk</t>
  </si>
  <si>
    <t>RMF00000739</t>
  </si>
  <si>
    <t>"Soliha-Med-Farm" Xk</t>
  </si>
  <si>
    <t>RMF00000745</t>
  </si>
  <si>
    <t>RMF00000754</t>
  </si>
  <si>
    <t>RMF00000764</t>
  </si>
  <si>
    <t>RMF00000766</t>
  </si>
  <si>
    <t>Анвар ака Б (Сам)</t>
  </si>
  <si>
    <t>RMF00000783</t>
  </si>
  <si>
    <t>RMF00000791</t>
  </si>
  <si>
    <t>RMF00000795</t>
  </si>
  <si>
    <t>"Xosiyatli Pharm" Xk</t>
  </si>
  <si>
    <t>RMF00000798</t>
  </si>
  <si>
    <t>RMF00000799</t>
  </si>
  <si>
    <t>RMF00000804</t>
  </si>
  <si>
    <t>RMF00000037</t>
  </si>
  <si>
    <t>RMF00000810</t>
  </si>
  <si>
    <t>"Integra Medfarm" Mchj</t>
  </si>
  <si>
    <t>RMF00000813</t>
  </si>
  <si>
    <t>RMF00000819</t>
  </si>
  <si>
    <t>RMF00000823</t>
  </si>
  <si>
    <t>"Fartuna-Ramz-Farm" Mchj</t>
  </si>
  <si>
    <t>RMF00000829</t>
  </si>
  <si>
    <t>RMF00000836</t>
  </si>
  <si>
    <t>RMF00000840</t>
  </si>
  <si>
    <t>RMF00000843</t>
  </si>
  <si>
    <t>RMF00000845</t>
  </si>
  <si>
    <t>RMF00000850</t>
  </si>
  <si>
    <t>"1A-Pharm" Mchj</t>
  </si>
  <si>
    <t>RMF00000854</t>
  </si>
  <si>
    <t>RMF00000868</t>
  </si>
  <si>
    <t>RMF00000870</t>
  </si>
  <si>
    <t>"Nazarbek - Med - Farm" Xk</t>
  </si>
  <si>
    <t>RMF00000876</t>
  </si>
  <si>
    <t>"Asad Shifo-Davo" Mchj</t>
  </si>
  <si>
    <t>RMF00000878</t>
  </si>
  <si>
    <t>RMF00000885</t>
  </si>
  <si>
    <t>RMF00000896</t>
  </si>
  <si>
    <t>RMF00000903</t>
  </si>
  <si>
    <t>RMF00000920</t>
  </si>
  <si>
    <t>RMF00000925</t>
  </si>
  <si>
    <t>"Dilnura Nur Farm" Xk</t>
  </si>
  <si>
    <t>RMF00000933</t>
  </si>
  <si>
    <t>RMF00000939</t>
  </si>
  <si>
    <t>RMF00000942</t>
  </si>
  <si>
    <t>RMF00000943</t>
  </si>
  <si>
    <t>RMF00000953</t>
  </si>
  <si>
    <t>RMF00000954</t>
  </si>
  <si>
    <t>RMF00000957</t>
  </si>
  <si>
    <t>Баходир ака (Фр)</t>
  </si>
  <si>
    <t>RMF00000964</t>
  </si>
  <si>
    <t>RMF00000968</t>
  </si>
  <si>
    <t>"Iyman Pharm Servis" Mchj</t>
  </si>
  <si>
    <t>RMF00000969</t>
  </si>
  <si>
    <t>RMF00000972</t>
  </si>
  <si>
    <t>RMF00000976</t>
  </si>
  <si>
    <t>RMF00000980</t>
  </si>
  <si>
    <t>RMF00000986</t>
  </si>
  <si>
    <t>RMF00000987</t>
  </si>
  <si>
    <t>RMF00000988</t>
  </si>
  <si>
    <t>Dr Samandar</t>
  </si>
  <si>
    <t>RMF00001004</t>
  </si>
  <si>
    <t>RMF00001005</t>
  </si>
  <si>
    <t>RMF00001007</t>
  </si>
  <si>
    <t>"Mir Umar" Xk</t>
  </si>
  <si>
    <t>RMF00001009</t>
  </si>
  <si>
    <t>RMF00001010</t>
  </si>
  <si>
    <t>RMF00001011</t>
  </si>
  <si>
    <t>"Oqtosh Osiyo Farm" Xk</t>
  </si>
  <si>
    <t>RMF00001012</t>
  </si>
  <si>
    <t>RMF00001016</t>
  </si>
  <si>
    <t>RMF00001020</t>
  </si>
  <si>
    <t>RMF00001024</t>
  </si>
  <si>
    <t>"Konizar Farm" Xk</t>
  </si>
  <si>
    <t>RMF00001026</t>
  </si>
  <si>
    <t>RMF00001027</t>
  </si>
  <si>
    <t>Шохрух ака (Хор)</t>
  </si>
  <si>
    <t>RMF00001030</t>
  </si>
  <si>
    <t>RMF00001031</t>
  </si>
  <si>
    <t>RMF00001037</t>
  </si>
  <si>
    <t>RMF00001042</t>
  </si>
  <si>
    <t>RMF00001043</t>
  </si>
  <si>
    <t>RMF00001044</t>
  </si>
  <si>
    <t>RMF00001046</t>
  </si>
  <si>
    <t>RMF00001050</t>
  </si>
  <si>
    <t>RMF00001052</t>
  </si>
  <si>
    <t>"Sindorbek Pharm" Mchj</t>
  </si>
  <si>
    <t>RMF00001054</t>
  </si>
  <si>
    <t>"Sarlochin Pharm" Mchj</t>
  </si>
  <si>
    <t>RMF00001055</t>
  </si>
  <si>
    <t>RMF00001059</t>
  </si>
  <si>
    <t>RMF00001062</t>
  </si>
  <si>
    <t>RMF00001064</t>
  </si>
  <si>
    <t>RMF00001066</t>
  </si>
  <si>
    <t>RMF00001099</t>
  </si>
  <si>
    <t>RMF00001101</t>
  </si>
  <si>
    <t>RMF00001102</t>
  </si>
  <si>
    <t>"Mirziyo Alisher Farm" Mchj</t>
  </si>
  <si>
    <t>RMF00001104</t>
  </si>
  <si>
    <t>"Nabiba-Davo" Xk</t>
  </si>
  <si>
    <t>RMF00001105</t>
  </si>
  <si>
    <t>RMF00001106</t>
  </si>
  <si>
    <t>RMF00001109</t>
  </si>
  <si>
    <t>Машхура опа (Фр)</t>
  </si>
  <si>
    <t>RMF00001116</t>
  </si>
  <si>
    <t>RMF00001120</t>
  </si>
  <si>
    <t>RMF00001121</t>
  </si>
  <si>
    <t>RMF00001132</t>
  </si>
  <si>
    <t>RMF00001141</t>
  </si>
  <si>
    <t>RMF00001142</t>
  </si>
  <si>
    <t>RMF00001154</t>
  </si>
  <si>
    <t>RMF00001164</t>
  </si>
  <si>
    <t>"Risq Baraka Pharm" Mchj</t>
  </si>
  <si>
    <t>RMF00001180</t>
  </si>
  <si>
    <t>"Al-Akbar" Mchj</t>
  </si>
  <si>
    <t>RMF00001182</t>
  </si>
  <si>
    <t>RMF00001185</t>
  </si>
  <si>
    <t>RMF00001194</t>
  </si>
  <si>
    <t>"Bahora Muhammad" Xk</t>
  </si>
  <si>
    <t>RMF00001208</t>
  </si>
  <si>
    <t>Бехруз ака (Бух)</t>
  </si>
  <si>
    <t>RMF00001213</t>
  </si>
  <si>
    <t>"Salomatlik Sayxun Servis" Mchj</t>
  </si>
  <si>
    <t>RMF00001223</t>
  </si>
  <si>
    <t>RMF00001242</t>
  </si>
  <si>
    <t>Zulfiya Ona   Farm Buznes MChJ</t>
  </si>
  <si>
    <t>RMF00001250</t>
  </si>
  <si>
    <t>RMF00001255</t>
  </si>
  <si>
    <t>"Shifo" Xk</t>
  </si>
  <si>
    <t>RMF00001259</t>
  </si>
  <si>
    <t>"Muxammad Dorishunos" Mchj</t>
  </si>
  <si>
    <t>RMF00000042</t>
  </si>
  <si>
    <t>RMF00001300</t>
  </si>
  <si>
    <t>R2000000374</t>
  </si>
  <si>
    <t>R2</t>
  </si>
  <si>
    <t>R2000000382</t>
  </si>
  <si>
    <t>Улугбек ака</t>
  </si>
  <si>
    <t>R2000000386</t>
  </si>
  <si>
    <t xml:space="preserve"> Андижон_Жонибек ака (S)</t>
  </si>
  <si>
    <t>R2000000387</t>
  </si>
  <si>
    <t>Анвар ака</t>
  </si>
  <si>
    <t>R2000000402</t>
  </si>
  <si>
    <t xml:space="preserve">Умар </t>
  </si>
  <si>
    <t>R2000000420</t>
  </si>
  <si>
    <t>R2000000422</t>
  </si>
  <si>
    <t>R2000000427</t>
  </si>
  <si>
    <t>R2000000433</t>
  </si>
  <si>
    <t>R2000000437</t>
  </si>
  <si>
    <t>R2000000438</t>
  </si>
  <si>
    <t>Бахром ака</t>
  </si>
  <si>
    <t>R2000000450</t>
  </si>
  <si>
    <t>ALIYEV KOZIMALI NOSIRALIYEVICH</t>
  </si>
  <si>
    <t>11111</t>
  </si>
  <si>
    <t>Фарм фемили</t>
  </si>
  <si>
    <t>R2000000458</t>
  </si>
  <si>
    <t>R2000000475</t>
  </si>
  <si>
    <t>Хуршид ака</t>
  </si>
  <si>
    <t>R2000000482</t>
  </si>
  <si>
    <t>R2000000483</t>
  </si>
  <si>
    <t>Гулшода опа</t>
  </si>
  <si>
    <t>Навоий_Гулшода опа (S)</t>
  </si>
  <si>
    <t>R2000000485</t>
  </si>
  <si>
    <t>R2000000492</t>
  </si>
  <si>
    <t>R2000000494</t>
  </si>
  <si>
    <t>R2000000497</t>
  </si>
  <si>
    <t>Рустам ака</t>
  </si>
  <si>
    <t>R2000000500</t>
  </si>
  <si>
    <t>Зафаржон ака</t>
  </si>
  <si>
    <t>R2000000504</t>
  </si>
  <si>
    <t>R2000000506</t>
  </si>
  <si>
    <t>R2000000520</t>
  </si>
  <si>
    <t>R2000000524</t>
  </si>
  <si>
    <t>R2000000526</t>
  </si>
  <si>
    <t>R2000000527</t>
  </si>
  <si>
    <t xml:space="preserve">Нафосат опа </t>
  </si>
  <si>
    <t>R2000000535</t>
  </si>
  <si>
    <t>Ноила опа</t>
  </si>
  <si>
    <t>R2000000540</t>
  </si>
  <si>
    <t>R2000000544</t>
  </si>
  <si>
    <t>R2000000545</t>
  </si>
  <si>
    <t>R2000000546</t>
  </si>
  <si>
    <t>R2000000547</t>
  </si>
  <si>
    <t>R2000000549</t>
  </si>
  <si>
    <t>R2000000551</t>
  </si>
  <si>
    <t>R2000000552</t>
  </si>
  <si>
    <t>R2000000553</t>
  </si>
  <si>
    <t>R2000000561</t>
  </si>
  <si>
    <t>R2000000562</t>
  </si>
  <si>
    <t>R2000000563</t>
  </si>
  <si>
    <t>R2000000567</t>
  </si>
  <si>
    <t>R2000000571</t>
  </si>
  <si>
    <t>R2000000572</t>
  </si>
  <si>
    <t>R2000000579</t>
  </si>
  <si>
    <t>R2000000583</t>
  </si>
  <si>
    <t>R2000000588</t>
  </si>
  <si>
    <t>R2000000591</t>
  </si>
  <si>
    <t>R2000000597</t>
  </si>
  <si>
    <t>R2000000602</t>
  </si>
  <si>
    <t>R2000000610</t>
  </si>
  <si>
    <t>R2000000628</t>
  </si>
  <si>
    <t>R2000000631</t>
  </si>
  <si>
    <t>Солихон ака</t>
  </si>
  <si>
    <t>Наманган_Солихон ака</t>
  </si>
  <si>
    <t>R2000000632</t>
  </si>
  <si>
    <t>R2000000641</t>
  </si>
  <si>
    <t>R2000000642</t>
  </si>
  <si>
    <t>R2000000648</t>
  </si>
  <si>
    <t>списание</t>
  </si>
  <si>
    <t>Списать</t>
  </si>
  <si>
    <t>R2000000649</t>
  </si>
  <si>
    <t>R2000000651</t>
  </si>
  <si>
    <t>R2000000657</t>
  </si>
  <si>
    <t>R2000000008</t>
  </si>
  <si>
    <t>R2000000009</t>
  </si>
  <si>
    <t>R2000000010</t>
  </si>
  <si>
    <t>R2000000013</t>
  </si>
  <si>
    <t>R2000000014</t>
  </si>
  <si>
    <t>R2000000016</t>
  </si>
  <si>
    <t>R2000000018</t>
  </si>
  <si>
    <t>R2000000019</t>
  </si>
  <si>
    <t>R2000000021</t>
  </si>
  <si>
    <t>Баходир ака</t>
  </si>
  <si>
    <t>R2000000028</t>
  </si>
  <si>
    <t>R2000000029</t>
  </si>
  <si>
    <t>Дилсуз опа</t>
  </si>
  <si>
    <t>R2000000043</t>
  </si>
  <si>
    <t>R2000000047</t>
  </si>
  <si>
    <t>R2000000049</t>
  </si>
  <si>
    <t>R2000000056</t>
  </si>
  <si>
    <t>R2000000057</t>
  </si>
  <si>
    <t>R2000000058</t>
  </si>
  <si>
    <t>R2000000059</t>
  </si>
  <si>
    <t>R2000000061</t>
  </si>
  <si>
    <t>R2000000063</t>
  </si>
  <si>
    <t>R2000000065</t>
  </si>
  <si>
    <t>R2000000066</t>
  </si>
  <si>
    <t>R2000000068</t>
  </si>
  <si>
    <t>R2000000069</t>
  </si>
  <si>
    <t>R2000000080</t>
  </si>
  <si>
    <t>R2000000081</t>
  </si>
  <si>
    <t>R2000000083</t>
  </si>
  <si>
    <t>R2000000084</t>
  </si>
  <si>
    <t>R2000000086</t>
  </si>
  <si>
    <t>R2000000090</t>
  </si>
  <si>
    <t>R2000000092</t>
  </si>
  <si>
    <t>R2000000098</t>
  </si>
  <si>
    <t>R2000000102</t>
  </si>
  <si>
    <t>R2000000103</t>
  </si>
  <si>
    <t>R2000000104</t>
  </si>
  <si>
    <t>R2000000105</t>
  </si>
  <si>
    <t>R2000000111</t>
  </si>
  <si>
    <t>R2000000112</t>
  </si>
  <si>
    <t>R2000000114</t>
  </si>
  <si>
    <t>R2000000118</t>
  </si>
  <si>
    <t>R2000000119</t>
  </si>
  <si>
    <t>R2000000121</t>
  </si>
  <si>
    <t>R2000000124</t>
  </si>
  <si>
    <t>R2000000127</t>
  </si>
  <si>
    <t>R2000000129</t>
  </si>
  <si>
    <t>R2000000130</t>
  </si>
  <si>
    <t>R2000000138</t>
  </si>
  <si>
    <t>R2000000143</t>
  </si>
  <si>
    <t>R2000000147</t>
  </si>
  <si>
    <t>R2000000149</t>
  </si>
  <si>
    <t>R2000000150</t>
  </si>
  <si>
    <t>R2000000151</t>
  </si>
  <si>
    <t>R2000000154</t>
  </si>
  <si>
    <t>R2000000155</t>
  </si>
  <si>
    <t>R2000000157</t>
  </si>
  <si>
    <t>R2000000158</t>
  </si>
  <si>
    <t>R2000000162</t>
  </si>
  <si>
    <t>R2000000171</t>
  </si>
  <si>
    <t>R2000000172</t>
  </si>
  <si>
    <t>R2000000174</t>
  </si>
  <si>
    <t>R2000000185</t>
  </si>
  <si>
    <t>R2000000190</t>
  </si>
  <si>
    <t>R2000000195</t>
  </si>
  <si>
    <t>R2000000198</t>
  </si>
  <si>
    <t>R2000000199</t>
  </si>
  <si>
    <t>R2000000203</t>
  </si>
  <si>
    <t>R2000000204</t>
  </si>
  <si>
    <t>R2000000210</t>
  </si>
  <si>
    <t>R2000000211</t>
  </si>
  <si>
    <t>R2000000213</t>
  </si>
  <si>
    <t>R2000000214</t>
  </si>
  <si>
    <t>R2000000218</t>
  </si>
  <si>
    <t>R2000000220</t>
  </si>
  <si>
    <t>R2000000223</t>
  </si>
  <si>
    <t>R2000000226</t>
  </si>
  <si>
    <t>R2000000229</t>
  </si>
  <si>
    <t>R2000000230</t>
  </si>
  <si>
    <t>R2000000231</t>
  </si>
  <si>
    <t>R2000000232</t>
  </si>
  <si>
    <t>R2000000239</t>
  </si>
  <si>
    <t>R2000000243</t>
  </si>
  <si>
    <t>R2000000245</t>
  </si>
  <si>
    <t>R2000000248</t>
  </si>
  <si>
    <t>R2000000251</t>
  </si>
  <si>
    <t>R2000000252</t>
  </si>
  <si>
    <t>R2000000254</t>
  </si>
  <si>
    <t>R2000000265</t>
  </si>
  <si>
    <t>R2000000267</t>
  </si>
  <si>
    <t>R2000000271</t>
  </si>
  <si>
    <t>R2000000273</t>
  </si>
  <si>
    <t>R2000000281</t>
  </si>
  <si>
    <t>R2000000283</t>
  </si>
  <si>
    <t>R2000000292</t>
  </si>
  <si>
    <t>R2000000274</t>
  </si>
  <si>
    <t>R2000000296</t>
  </si>
  <si>
    <t>R2000000299</t>
  </si>
  <si>
    <t>R2000000304</t>
  </si>
  <si>
    <t>R2000000311</t>
  </si>
  <si>
    <t>R2000000312</t>
  </si>
  <si>
    <t>R2000000313</t>
  </si>
  <si>
    <t>R2000000317</t>
  </si>
  <si>
    <t>R2000000326</t>
  </si>
  <si>
    <t>R2000000330</t>
  </si>
  <si>
    <t>R2000000332</t>
  </si>
  <si>
    <t>R2000000334</t>
  </si>
  <si>
    <t>R2000000336</t>
  </si>
  <si>
    <t>R2000000337</t>
  </si>
  <si>
    <t>R2000000338</t>
  </si>
  <si>
    <t>R2000000340</t>
  </si>
  <si>
    <t>R2000000342</t>
  </si>
  <si>
    <t>R2000000345</t>
  </si>
  <si>
    <t>R2000000348</t>
  </si>
  <si>
    <t>R2000000351</t>
  </si>
  <si>
    <t>R2000000360</t>
  </si>
  <si>
    <t>R2000000361</t>
  </si>
  <si>
    <t>R2000000368</t>
  </si>
  <si>
    <t>R2000000369</t>
  </si>
  <si>
    <t>R2000000371</t>
  </si>
  <si>
    <t>R2000000372</t>
  </si>
  <si>
    <t>R2000000394</t>
  </si>
  <si>
    <t>R2000000395</t>
  </si>
  <si>
    <t>R2000000397</t>
  </si>
  <si>
    <t>R2000000398</t>
  </si>
  <si>
    <t>R2000000405</t>
  </si>
  <si>
    <t>R2000000409</t>
  </si>
  <si>
    <t>R2000000412</t>
  </si>
  <si>
    <t>R2000000414</t>
  </si>
  <si>
    <t>R2000000416</t>
  </si>
  <si>
    <t>R2000000424</t>
  </si>
  <si>
    <t>IP200000071</t>
  </si>
  <si>
    <t>Фотима</t>
  </si>
  <si>
    <t>Сирдарьё_Фотима опа</t>
  </si>
  <si>
    <t>IP2</t>
  </si>
  <si>
    <t>IP200000622</t>
  </si>
  <si>
    <t>Элдор ака</t>
  </si>
  <si>
    <t>IP200000003</t>
  </si>
  <si>
    <t>Мехриддин ака</t>
  </si>
  <si>
    <t>IP200000025</t>
  </si>
  <si>
    <t>IP200000041</t>
  </si>
  <si>
    <t>IP200000093</t>
  </si>
  <si>
    <t>IP200000123</t>
  </si>
  <si>
    <t>IP200000132</t>
  </si>
  <si>
    <t>IP200000167</t>
  </si>
  <si>
    <t>IP200000195</t>
  </si>
  <si>
    <t>IP200000233</t>
  </si>
  <si>
    <t>P2000000100</t>
  </si>
  <si>
    <t>Хуршед ака</t>
  </si>
  <si>
    <t>Самарканд_Хуршид ака</t>
  </si>
  <si>
    <t>P2</t>
  </si>
  <si>
    <t>P2000000101</t>
  </si>
  <si>
    <t>Жонибек ака</t>
  </si>
  <si>
    <t>Жонибек ака Андижон</t>
  </si>
  <si>
    <t>P2000000115</t>
  </si>
  <si>
    <t>P2000000139</t>
  </si>
  <si>
    <t>Б2Б-Бухоро_Рустам ака</t>
  </si>
  <si>
    <t>P2000000194</t>
  </si>
  <si>
    <t>Розия опа</t>
  </si>
  <si>
    <t>Б2Б - Наманган_Розия опа</t>
  </si>
  <si>
    <t>P2000000195</t>
  </si>
  <si>
    <t>Таш.Обл_Рустам ака</t>
  </si>
  <si>
    <t>Рустам ака Таш обл</t>
  </si>
  <si>
    <t>P2000000196</t>
  </si>
  <si>
    <t>P2000000243</t>
  </si>
  <si>
    <t>Сарвар ака</t>
  </si>
  <si>
    <t>P2000000380</t>
  </si>
  <si>
    <t>Б2Б - Навоий_Гулшода опа</t>
  </si>
  <si>
    <t>P2000000381</t>
  </si>
  <si>
    <t>P2000000395</t>
  </si>
  <si>
    <t>P2000000399</t>
  </si>
  <si>
    <t>Б2Б - Хоразм_Саййора опа</t>
  </si>
  <si>
    <t>P2000000408</t>
  </si>
  <si>
    <t>Б2Б - Андижон Жонибек</t>
  </si>
  <si>
    <t>P2000000409</t>
  </si>
  <si>
    <t>P2000000517</t>
  </si>
  <si>
    <t>Нилюфар опа</t>
  </si>
  <si>
    <t>Нилюфар опа Карши</t>
  </si>
  <si>
    <t>P2000000559</t>
  </si>
  <si>
    <t>Б2Б - Тош обл Рустам ока</t>
  </si>
  <si>
    <t>P2000000587</t>
  </si>
  <si>
    <t>P2000000667</t>
  </si>
  <si>
    <t>P2000000683</t>
  </si>
  <si>
    <t>P2000000728</t>
  </si>
  <si>
    <t>P2000000748</t>
  </si>
  <si>
    <t>P2000000762</t>
  </si>
  <si>
    <t>P2000000839</t>
  </si>
  <si>
    <t>P2000000840</t>
  </si>
  <si>
    <t>P2000000859</t>
  </si>
  <si>
    <t>P2000000874</t>
  </si>
  <si>
    <t>P2000000886</t>
  </si>
  <si>
    <t>P2000000887</t>
  </si>
  <si>
    <t>P2000000890</t>
  </si>
  <si>
    <t>P2000000904</t>
  </si>
  <si>
    <t>P2000000911</t>
  </si>
  <si>
    <t>P2000000926</t>
  </si>
  <si>
    <t>P2000001027</t>
  </si>
  <si>
    <t>P2000001035</t>
  </si>
  <si>
    <t>P2000001063</t>
  </si>
  <si>
    <t>P2000001071</t>
  </si>
  <si>
    <t>Б2Б - Сирдаре Фотима опа</t>
  </si>
  <si>
    <t>P2000001077</t>
  </si>
  <si>
    <t>Людмила опа</t>
  </si>
  <si>
    <t>P2000001085</t>
  </si>
  <si>
    <t>P2000001107</t>
  </si>
  <si>
    <t>P2000001110</t>
  </si>
  <si>
    <t>P2000001112</t>
  </si>
  <si>
    <t>P2000001145</t>
  </si>
  <si>
    <t>P2000001151</t>
  </si>
  <si>
    <t>Мохира опа</t>
  </si>
  <si>
    <t>P2000001160</t>
  </si>
  <si>
    <t>Хуршида опа</t>
  </si>
  <si>
    <t>P2000001191</t>
  </si>
  <si>
    <t>P2000001196</t>
  </si>
  <si>
    <t>P2000001217</t>
  </si>
  <si>
    <t>P2000001253</t>
  </si>
  <si>
    <t>P2000001254</t>
  </si>
  <si>
    <t>P2000001269</t>
  </si>
  <si>
    <t>P2000001279</t>
  </si>
  <si>
    <t>Шахло опа 2</t>
  </si>
  <si>
    <t>Шахло опа2</t>
  </si>
  <si>
    <t>P2000001292</t>
  </si>
  <si>
    <t>P2000001331</t>
  </si>
  <si>
    <t>Саййора опа</t>
  </si>
  <si>
    <t>P2000001352</t>
  </si>
  <si>
    <t>Амангул опа</t>
  </si>
  <si>
    <t>Нукус_Амангуль опа</t>
  </si>
  <si>
    <t xml:space="preserve">Амангул опа </t>
  </si>
  <si>
    <t>P2000001354</t>
  </si>
  <si>
    <t>P2000001380</t>
  </si>
  <si>
    <t>P2000001392</t>
  </si>
  <si>
    <t>P2000001420</t>
  </si>
  <si>
    <t>P2000001422</t>
  </si>
  <si>
    <t xml:space="preserve">Мафтуна опа </t>
  </si>
  <si>
    <t xml:space="preserve">Шахрисабз_Мафтуна опа </t>
  </si>
  <si>
    <t>P2000001433</t>
  </si>
  <si>
    <t>P2000001434</t>
  </si>
  <si>
    <t>P2000001457</t>
  </si>
  <si>
    <t>P2000001473</t>
  </si>
  <si>
    <t>P2000001480</t>
  </si>
  <si>
    <t>Ландиос Раствор для инфузий 100 мл стеклянные флаконы</t>
  </si>
  <si>
    <t>P2000001486</t>
  </si>
  <si>
    <t>P2000001503</t>
  </si>
  <si>
    <t>P2000001524</t>
  </si>
  <si>
    <t>P2000001535</t>
  </si>
  <si>
    <t>Ахрор ака</t>
  </si>
  <si>
    <t>Ахроржон ака</t>
  </si>
  <si>
    <t>P2000001541</t>
  </si>
  <si>
    <t>P2000001559</t>
  </si>
  <si>
    <t>P2000001575</t>
  </si>
  <si>
    <t>P2000001596</t>
  </si>
  <si>
    <t>P2000001641</t>
  </si>
  <si>
    <t>P2000001644</t>
  </si>
  <si>
    <t>P2000001662</t>
  </si>
  <si>
    <t>P2000001681</t>
  </si>
  <si>
    <t>P2000001682</t>
  </si>
  <si>
    <t>P2000001683</t>
  </si>
  <si>
    <t>P2000001687</t>
  </si>
  <si>
    <t>P2000001728</t>
  </si>
  <si>
    <t>P2000001733</t>
  </si>
  <si>
    <t>P2000000013</t>
  </si>
  <si>
    <t>P2000000039</t>
  </si>
  <si>
    <t>P2000000043</t>
  </si>
  <si>
    <t>P2000000047</t>
  </si>
  <si>
    <t>P2000000050</t>
  </si>
  <si>
    <t>P2000000061</t>
  </si>
  <si>
    <t>P2000000065</t>
  </si>
  <si>
    <t>P2000000066</t>
  </si>
  <si>
    <t>P2000000087</t>
  </si>
  <si>
    <t>P2000000089</t>
  </si>
  <si>
    <t>P2000000130</t>
  </si>
  <si>
    <t>Фарм фемили бизнес</t>
  </si>
  <si>
    <t>P2000000158</t>
  </si>
  <si>
    <t>P2000000170</t>
  </si>
  <si>
    <t>P2000000204</t>
  </si>
  <si>
    <t>P2000000238</t>
  </si>
  <si>
    <t>P2000000251</t>
  </si>
  <si>
    <t>P2000000378</t>
  </si>
  <si>
    <t>P2000000431</t>
  </si>
  <si>
    <t>Зилола опа</t>
  </si>
  <si>
    <t>Зилола опа Сирдаре</t>
  </si>
  <si>
    <t>P2000000441</t>
  </si>
  <si>
    <t>P2000000480</t>
  </si>
  <si>
    <t>P2000000545</t>
  </si>
  <si>
    <t>Итого</t>
  </si>
  <si>
    <t>2 Landios</t>
  </si>
  <si>
    <t>1 Landios</t>
  </si>
  <si>
    <t>Продажа</t>
  </si>
  <si>
    <t>0010825</t>
  </si>
  <si>
    <t>Landios</t>
  </si>
  <si>
    <t>0021125</t>
  </si>
  <si>
    <t>Приход</t>
  </si>
  <si>
    <t>2 Sofin</t>
  </si>
  <si>
    <t>1 Sofin</t>
  </si>
  <si>
    <t>0010126</t>
  </si>
  <si>
    <t>Sofin</t>
  </si>
  <si>
    <t>Возврат</t>
  </si>
  <si>
    <t>2 Miranol</t>
  </si>
  <si>
    <t>1 Miranol</t>
  </si>
  <si>
    <t>0021025</t>
  </si>
  <si>
    <t>Miranol</t>
  </si>
  <si>
    <t>2 Elfor</t>
  </si>
  <si>
    <t>1 Elfor</t>
  </si>
  <si>
    <t>2 Epsol</t>
  </si>
  <si>
    <t>1 Epsol</t>
  </si>
  <si>
    <t>Epsol</t>
  </si>
  <si>
    <t>Оплаты Итого</t>
  </si>
  <si>
    <t>Кэш</t>
  </si>
  <si>
    <t>Иброхим</t>
  </si>
  <si>
    <t>Сафора</t>
  </si>
  <si>
    <t>Рефликтив</t>
  </si>
  <si>
    <t>Профи-Реф</t>
  </si>
  <si>
    <t>Олпата Профи фарм</t>
  </si>
  <si>
    <t>50% Профи улуш</t>
  </si>
  <si>
    <t>оплата</t>
  </si>
  <si>
    <t>фойда</t>
  </si>
  <si>
    <t>расход</t>
  </si>
  <si>
    <t>продажа</t>
  </si>
  <si>
    <t>завод</t>
  </si>
  <si>
    <t>Прибыль</t>
  </si>
  <si>
    <t>Сумма себеса</t>
  </si>
  <si>
    <t>Себестоимость</t>
  </si>
  <si>
    <t>Местные расходы</t>
  </si>
  <si>
    <t>Итого Продажа</t>
  </si>
  <si>
    <t>Продажа сумма 2В</t>
  </si>
  <si>
    <t>База цена</t>
  </si>
  <si>
    <t>Названия строк</t>
  </si>
  <si>
    <t>Общий итог</t>
  </si>
  <si>
    <t>Разница окр/</t>
  </si>
  <si>
    <t>Сумма по полю сумма2</t>
  </si>
  <si>
    <t>Сумма Итого расход</t>
  </si>
  <si>
    <t>Колва продажа итого Переч</t>
  </si>
  <si>
    <t>Итого Расход инв И ЗП</t>
  </si>
  <si>
    <t>Продажа Переч Сумма</t>
  </si>
  <si>
    <t>Колва продажа итого 2В</t>
  </si>
  <si>
    <t>Услуга Реф</t>
  </si>
  <si>
    <t>Услуга Замин</t>
  </si>
  <si>
    <t>Прибыль 50% PPS</t>
  </si>
  <si>
    <t>Замин приход колва</t>
  </si>
  <si>
    <t>Профи оплатил</t>
  </si>
  <si>
    <t>Остаток сумма</t>
  </si>
  <si>
    <t>Прибыль 50% Мурод ака</t>
  </si>
  <si>
    <t>Итого Продажа Перечес+2В</t>
  </si>
  <si>
    <t>Оплата</t>
  </si>
  <si>
    <t>Остаток долг</t>
  </si>
  <si>
    <t xml:space="preserve"> </t>
  </si>
  <si>
    <t>Замин Приход колва</t>
  </si>
  <si>
    <t>Дебитор</t>
  </si>
  <si>
    <t>Зп</t>
  </si>
  <si>
    <t>Оплата сумма</t>
  </si>
  <si>
    <t>Остаток долга</t>
  </si>
  <si>
    <t>Дебитор Итого</t>
  </si>
  <si>
    <t>Поступления кеш</t>
  </si>
  <si>
    <t>Поступления Переч</t>
  </si>
  <si>
    <t>Приход итого на Профи склад</t>
  </si>
  <si>
    <t>Цена завод</t>
  </si>
  <si>
    <t>Сумма 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</si>
</sst>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 ;\-#,##0\ "/>
    <numFmt numFmtId="165" formatCode="#,##0\ _₽;\-#,##0\ _₽"/>
    <numFmt numFmtId="166" formatCode="_-* #,##0_-;\-* #,##0_-;_-* &quot;-&quot;??_-;_-@_-"/>
    <numFmt numFmtId="167" formatCode="_-* #,##0.00\ _s_o_ʻ_m_-;\-* #,##0.00\ _s_o_ʻ_m_-;_-* &quot;-&quot;??\ _s_o_ʻ_m_-;_-@_-"/>
  </numFmts>
  <fonts count="22">
    <font>
      <sz val="12"/>
      <color theme="1"/>
      <name val="Aptos Narrow"/>
      <family val="2"/>
      <charset val="204"/>
      <scheme val="minor"/>
    </font>
    <font>
      <b/>
      <sz val="10"/>
      <color rgb="FF00206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4"/>
      <color theme="1"/>
      <name val="ешьу"/>
      <charset val="204"/>
    </font>
    <font>
      <sz val="12"/>
      <color theme="1"/>
      <name val="ешьу"/>
      <charset val="204"/>
    </font>
    <font>
      <b/>
      <sz val="12"/>
      <color theme="1"/>
      <name val="ешьу"/>
      <charset val="204"/>
    </font>
    <font>
      <b/>
      <sz val="12"/>
      <name val="ешьу"/>
      <charset val="204"/>
    </font>
    <font>
      <sz val="14"/>
      <color theme="1"/>
      <name val="Aptos Narrow"/>
      <family val="2"/>
      <charset val="204"/>
      <scheme val="minor"/>
    </font>
    <font>
      <sz val="12"/>
      <name val="ешьу"/>
      <charset val="204"/>
    </font>
    <font>
      <b/>
      <sz val="10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b/>
      <sz val="14"/>
      <color theme="1"/>
      <name val="Aptos Narrow"/>
      <scheme val="minor"/>
    </font>
    <font>
      <sz val="12"/>
      <color rgb="FFFF0000"/>
      <name val="ешьу"/>
      <charset val="204"/>
    </font>
    <font>
      <sz val="12"/>
      <color rgb="FF000000"/>
      <name val="Aptos Narrow"/>
      <family val="2"/>
      <charset val="204"/>
      <scheme val="minor"/>
    </font>
    <font>
      <b/>
      <sz val="14"/>
      <color rgb="FF000000"/>
      <name val="ешьу"/>
      <charset val="204"/>
    </font>
    <font>
      <sz val="12"/>
      <color rgb="FF000000"/>
      <name val="ешьу"/>
      <charset val="204"/>
    </font>
    <font>
      <b/>
      <sz val="14"/>
      <color rgb="FF000000"/>
      <name val="Aptos Narrow"/>
      <family val="2"/>
      <charset val="204"/>
      <scheme val="minor"/>
    </font>
    <font>
      <b/>
      <sz val="10"/>
      <color rgb="FF002060"/>
      <name val="ешьу"/>
      <charset val="204"/>
    </font>
    <font>
      <sz val="12"/>
      <color theme="0"/>
      <name val="ешьу"/>
      <charset val="204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5">
    <xf numFmtId="0" fontId="0" fillId="0" borderId="0" xfId="0"/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0" fillId="0" borderId="0" xfId="0" applyNumberFormat="1"/>
    <xf numFmtId="0" fontId="7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3" fontId="6" fillId="0" borderId="1" xfId="0" applyNumberFormat="1" applyFont="1" applyBorder="1" applyAlignment="1">
      <alignment vertical="center"/>
    </xf>
    <xf numFmtId="3" fontId="6" fillId="0" borderId="1" xfId="0" applyNumberFormat="1" applyFont="1" applyBorder="1"/>
    <xf numFmtId="3" fontId="0" fillId="0" borderId="0" xfId="0" applyNumberFormat="1"/>
    <xf numFmtId="166" fontId="8" fillId="0" borderId="1" xfId="1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9" fillId="0" borderId="0" xfId="0" applyFont="1"/>
    <xf numFmtId="166" fontId="10" fillId="0" borderId="1" xfId="1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/>
    <xf numFmtId="165" fontId="7" fillId="0" borderId="2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167" fontId="0" fillId="0" borderId="0" xfId="0" applyNumberFormat="1"/>
    <xf numFmtId="165" fontId="6" fillId="0" borderId="0" xfId="1" applyNumberFormat="1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165" fontId="14" fillId="0" borderId="1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6" fontId="0" fillId="0" borderId="0" xfId="1" applyNumberFormat="1" applyFont="1"/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49" fontId="17" fillId="0" borderId="1" xfId="0" applyNumberFormat="1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vertical="center"/>
    </xf>
    <xf numFmtId="49" fontId="17" fillId="0" borderId="3" xfId="0" applyNumberFormat="1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0" fontId="17" fillId="8" borderId="3" xfId="0" applyFont="1" applyFill="1" applyBorder="1"/>
    <xf numFmtId="164" fontId="17" fillId="8" borderId="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9" fontId="17" fillId="0" borderId="0" xfId="0" applyNumberFormat="1" applyFont="1" applyAlignment="1">
      <alignment horizontal="center" vertical="center"/>
    </xf>
    <xf numFmtId="164" fontId="17" fillId="0" borderId="6" xfId="0" applyNumberFormat="1" applyFont="1" applyBorder="1" applyAlignment="1">
      <alignment horizontal="center"/>
    </xf>
    <xf numFmtId="164" fontId="17" fillId="0" borderId="5" xfId="0" applyNumberFormat="1" applyFont="1" applyBorder="1" applyAlignment="1">
      <alignment horizontal="center"/>
    </xf>
    <xf numFmtId="164" fontId="17" fillId="8" borderId="5" xfId="0" applyNumberFormat="1" applyFont="1" applyFill="1" applyBorder="1" applyAlignment="1">
      <alignment horizontal="center"/>
    </xf>
    <xf numFmtId="164" fontId="15" fillId="0" borderId="0" xfId="0" applyNumberFormat="1" applyFont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3" fontId="0" fillId="0" borderId="1" xfId="0" applyNumberFormat="1" applyBorder="1" applyAlignment="1"/>
    <xf numFmtId="166" fontId="10" fillId="0" borderId="1" xfId="1" applyNumberFormat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wrapText="1"/>
    </xf>
    <xf numFmtId="166" fontId="0" fillId="0" borderId="1" xfId="0" applyNumberFormat="1" applyBorder="1" applyAlignment="1">
      <alignment horizontal="center" wrapText="1"/>
    </xf>
    <xf numFmtId="9" fontId="0" fillId="0" borderId="0" xfId="0" applyNumberFormat="1" applyAlignment="1">
      <alignment wrapText="1"/>
    </xf>
    <xf numFmtId="0" fontId="19" fillId="7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1" fontId="6" fillId="0" borderId="1" xfId="0" applyNumberFormat="1" applyFont="1" applyBorder="1" applyAlignment="1">
      <alignment horizontal="right" vertical="top"/>
    </xf>
    <xf numFmtId="3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center"/>
    </xf>
    <xf numFmtId="3" fontId="7" fillId="0" borderId="1" xfId="0" applyNumberFormat="1" applyFont="1" applyBorder="1"/>
    <xf numFmtId="43" fontId="6" fillId="0" borderId="1" xfId="1" applyFont="1" applyBorder="1"/>
    <xf numFmtId="167" fontId="6" fillId="0" borderId="1" xfId="0" applyNumberFormat="1" applyFont="1" applyBorder="1"/>
    <xf numFmtId="9" fontId="20" fillId="0" borderId="1" xfId="0" applyNumberFormat="1" applyFont="1" applyBorder="1"/>
    <xf numFmtId="43" fontId="19" fillId="2" borderId="1" xfId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43" fontId="6" fillId="0" borderId="1" xfId="1" applyFont="1" applyBorder="1" applyAlignment="1">
      <alignment horizontal="right" vertical="top"/>
    </xf>
    <xf numFmtId="0" fontId="19" fillId="2" borderId="4" xfId="0" applyFont="1" applyFill="1" applyBorder="1" applyAlignment="1">
      <alignment horizontal="center" vertical="center" wrapText="1"/>
    </xf>
    <xf numFmtId="43" fontId="7" fillId="0" borderId="7" xfId="1" applyFont="1" applyBorder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wrapText="1"/>
    </xf>
    <xf numFmtId="166" fontId="0" fillId="0" borderId="0" xfId="0" applyNumberFormat="1" applyAlignment="1">
      <alignment wrapText="1"/>
    </xf>
    <xf numFmtId="43" fontId="0" fillId="0" borderId="0" xfId="1" applyFont="1" applyAlignment="1">
      <alignment wrapText="1"/>
    </xf>
    <xf numFmtId="0" fontId="6" fillId="6" borderId="4" xfId="0" applyFont="1" applyFill="1" applyBorder="1" applyAlignment="1">
      <alignment horizontal="center" vertical="center"/>
    </xf>
    <xf numFmtId="9" fontId="0" fillId="0" borderId="1" xfId="0" applyNumberFormat="1" applyBorder="1"/>
    <xf numFmtId="0" fontId="19" fillId="7" borderId="4" xfId="0" applyFont="1" applyFill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wrapText="1"/>
    </xf>
  </cellXfs>
  <cellStyles count="2">
    <cellStyle name="Обычный" xfId="0" builtinId="0"/>
    <cellStyle name="Финансовый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uz Abdurakhmonov" refreshedDate="46161.623368055552" createdVersion="8" refreshedVersion="8" minRefreshableVersion="3" recordCount="1734" xr:uid="{C3CA2159-15E4-1C40-AFE8-1AEF369471DA}">
  <cacheSource type="worksheet">
    <worksheetSource ref="A2:P1736" sheet="Итого Продажа"/>
  </cacheSource>
  <cacheFields count="16">
    <cacheField name="Год" numFmtId="0">
      <sharedItems containsSemiMixedTypes="0" containsString="0" containsNumber="1" containsInteger="1" minValue="2025" maxValue="2026"/>
    </cacheField>
    <cacheField name="Месяц" numFmtId="1">
      <sharedItems containsSemiMixedTypes="0" containsString="0" containsNumber="1" containsInteger="1" minValue="1" maxValue="12"/>
    </cacheField>
    <cacheField name="Дата" numFmtId="14">
      <sharedItems containsSemiMixedTypes="0" containsNonDate="0" containsDate="1" containsString="0" minDate="2025-01-31T00:00:00" maxDate="2026-05-16T00:00:00"/>
    </cacheField>
    <cacheField name="Номер СФ" numFmtId="0">
      <sharedItems/>
    </cacheField>
    <cacheField name="Медпредставитель" numFmtId="0">
      <sharedItems containsBlank="1"/>
    </cacheField>
    <cacheField name="Команда" numFmtId="0">
      <sharedItems/>
    </cacheField>
    <cacheField name="Поставщик" numFmtId="0">
      <sharedItems/>
    </cacheField>
    <cacheField name="Название организации" numFmtId="0">
      <sharedItems/>
    </cacheField>
    <cacheField name="Наименование" numFmtId="0">
      <sharedItems count="5">
        <s v="Эльфор р-р. для инф  5м/мл"/>
        <s v="Софин раствор для инфузий 5% 100 мл"/>
        <s v="Эпсол раствор для инфузий 12 мг/мл 50 мл"/>
        <s v="Ландиос Раствор для инфузий 100мл стеклянные флаконы"/>
        <s v="Миранол раствор для инфузий 50 мл"/>
      </sharedItems>
    </cacheField>
    <cacheField name="Количество" numFmtId="0">
      <sharedItems containsSemiMixedTypes="0" containsString="0" containsNumber="1" containsInteger="1" minValue="-98" maxValue="7800"/>
    </cacheField>
    <cacheField name="Цена" numFmtId="3">
      <sharedItems containsString="0" containsBlank="1" containsNumber="1" minValue="14000" maxValue="122400"/>
    </cacheField>
    <cacheField name="Сумма" numFmtId="3">
      <sharedItems containsString="0" containsBlank="1" containsNumber="1" minValue="-3980858" maxValue="127140000"/>
    </cacheField>
    <cacheField name="Разница окр/" numFmtId="0">
      <sharedItems containsString="0" containsBlank="1" containsNumber="1" containsInteger="1" minValue="-1470000" maxValue="22500000"/>
    </cacheField>
    <cacheField name="к" numFmtId="0">
      <sharedItems containsNonDate="0" containsString="0" containsBlank="1"/>
    </cacheField>
    <cacheField name="колва" numFmtId="0">
      <sharedItems containsString="0" containsBlank="1" containsNumber="1" minValue="-676745.8600000001" maxValue="9423545.4000000004"/>
    </cacheField>
    <cacheField name="сумма2" numFmtId="167">
      <sharedItems containsSemiMixedTypes="0" containsString="0" containsNumber="1" minValue="-2146745.8600000003" maxValue="31923545.3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4">
  <r>
    <n v="2025"/>
    <n v="3"/>
    <d v="2025-03-14T00:00:00"/>
    <s v="PPS00002118"/>
    <s v="Сарварбек ака"/>
    <s v="Сурхондарьё_Сарвар ака"/>
    <s v="PPS"/>
    <s v="&quot;Nurbek Layt&quot; Xk"/>
    <x v="0"/>
    <n v="40"/>
    <n v="36955.08"/>
    <n v="1478203.2"/>
    <n v="600000"/>
    <m/>
    <n v="251294.54400000002"/>
    <n v="851294.54399999999"/>
  </r>
  <r>
    <n v="2025"/>
    <n v="3"/>
    <d v="2025-03-27T00:00:00"/>
    <s v="PPS00002496"/>
    <s v="Нозими опа (Бух)"/>
    <s v="Бухоро_Рустам ака"/>
    <s v="PPS"/>
    <s v="&quot;Diabetes Pharma&quot; Mchj"/>
    <x v="0"/>
    <n v="120"/>
    <n v="36955.08"/>
    <n v="4434609.5999999996"/>
    <n v="1800000"/>
    <m/>
    <n v="753883.63199999998"/>
    <n v="2553883.6320000002"/>
  </r>
  <r>
    <n v="2025"/>
    <n v="4"/>
    <d v="2025-04-03T00:00:00"/>
    <s v="PPS00002647"/>
    <s v="Нозими опа (Бух)"/>
    <s v="Бухоро_Рустам ака"/>
    <s v="PPS"/>
    <s v="&quot;IBN SINO&quot; XK"/>
    <x v="0"/>
    <n v="30"/>
    <n v="36955.08"/>
    <n v="1108652.3999999999"/>
    <n v="450000"/>
    <m/>
    <n v="188470.908"/>
    <n v="638470.90800000005"/>
  </r>
  <r>
    <n v="2025"/>
    <n v="4"/>
    <d v="2025-04-04T00:00:00"/>
    <s v="PPS00002691"/>
    <s v="Рустам ака (Т.О)"/>
    <s v="Таш,Обл_Рустам ака"/>
    <s v="PPS"/>
    <s v="&quot;Farma Com Pro&quot; Mchj"/>
    <x v="0"/>
    <n v="20"/>
    <n v="36955.08"/>
    <n v="739101.6"/>
    <n v="300000"/>
    <m/>
    <n v="125647.27200000001"/>
    <n v="425647.272"/>
  </r>
  <r>
    <n v="2025"/>
    <n v="4"/>
    <d v="2025-04-25T00:00:00"/>
    <s v="PPS00003424"/>
    <s v="Сарварбек ака"/>
    <s v="Сурхондарьё_Сарвар ака"/>
    <s v="PPS"/>
    <s v="Sport Plyus Xk"/>
    <x v="0"/>
    <n v="20"/>
    <n v="36955.08"/>
    <n v="739101.6"/>
    <n v="300000"/>
    <m/>
    <n v="125647.27200000001"/>
    <n v="425647.272"/>
  </r>
  <r>
    <n v="2025"/>
    <n v="4"/>
    <d v="2025-04-29T00:00:00"/>
    <s v="PPS00003544"/>
    <s v="Хуршид Ака 3 (Сам)"/>
    <s v="Самарканд_Хуршед ака"/>
    <s v="PPS"/>
    <s v="&quot;Star Asadbek&quot; Mchj"/>
    <x v="0"/>
    <n v="100"/>
    <n v="36955.08"/>
    <n v="3695508"/>
    <n v="1500000"/>
    <m/>
    <n v="628236.3600000001"/>
    <n v="2128236.3600000003"/>
  </r>
  <r>
    <n v="2025"/>
    <n v="4"/>
    <d v="2025-04-29T00:00:00"/>
    <s v="PPS00003551"/>
    <s v="Сарварбек ака"/>
    <s v="Сурхондарьё_Сарвар ака"/>
    <s v="PPS"/>
    <s v="&quot;Nurbek Layt&quot; Xk"/>
    <x v="0"/>
    <n v="50"/>
    <n v="36955.08"/>
    <n v="1847754"/>
    <n v="750000"/>
    <m/>
    <n v="314118.18000000005"/>
    <n v="1064118.1800000002"/>
  </r>
  <r>
    <n v="2025"/>
    <n v="5"/>
    <d v="2025-05-02T00:00:00"/>
    <s v="PPS00003627"/>
    <s v="Рустам ака (Т.О)"/>
    <s v="Таш,Обл_Рустам ака"/>
    <s v="PPS"/>
    <s v="&quot;Farma Com Pro&quot; Mchj"/>
    <x v="0"/>
    <n v="42"/>
    <n v="36955.08"/>
    <n v="1552113.36"/>
    <n v="630000"/>
    <m/>
    <n v="263859.27120000002"/>
    <n v="893859.27120000008"/>
  </r>
  <r>
    <n v="2025"/>
    <n v="5"/>
    <d v="2025-05-06T00:00:00"/>
    <s v="PPS00003759"/>
    <s v="Нозими опа (Бух)"/>
    <s v="Бухоро_Рустам ака"/>
    <s v="PPS"/>
    <s v="&quot;Buxoro Dori Darmon&quot; Mchj"/>
    <x v="0"/>
    <n v="1500"/>
    <n v="36955.08"/>
    <n v="55432620"/>
    <n v="22500000"/>
    <m/>
    <n v="9423545.4000000004"/>
    <n v="31923545.399999999"/>
  </r>
  <r>
    <n v="2025"/>
    <n v="5"/>
    <d v="2025-05-06T00:00:00"/>
    <s v="PPS00003759"/>
    <s v="Нозими опа (Бух)"/>
    <s v="Бухоро_Рустам ака"/>
    <s v="PPS"/>
    <s v="&quot;Buxoro Dori Darmon&quot; Mchj"/>
    <x v="0"/>
    <n v="1500"/>
    <n v="36955.08"/>
    <n v="55432620"/>
    <n v="22500000"/>
    <m/>
    <n v="9423545.4000000004"/>
    <n v="31923545.399999999"/>
  </r>
  <r>
    <n v="2025"/>
    <n v="5"/>
    <d v="2025-05-28T00:00:00"/>
    <s v="PPS00004467"/>
    <s v="Абдушукур ака (Сир)"/>
    <s v="Сирдарё_Фотима опа"/>
    <s v="PPS"/>
    <s v="ЧП &quot;Aju-Biznes-Star&quot;"/>
    <x v="0"/>
    <n v="40"/>
    <n v="36955.08"/>
    <n v="1478203.2"/>
    <n v="600000"/>
    <m/>
    <n v="251294.54400000002"/>
    <n v="851294.54399999999"/>
  </r>
  <r>
    <n v="2025"/>
    <n v="6"/>
    <d v="2025-06-04T00:00:00"/>
    <s v="PPS00004665"/>
    <s v="Фотима опа (Сир)"/>
    <s v="Сирдарё_Фотима опа"/>
    <s v="PPS"/>
    <s v="MCHJ Asad Jahongir Farm"/>
    <x v="0"/>
    <n v="500"/>
    <n v="36955.08"/>
    <n v="18477540"/>
    <n v="7500000"/>
    <m/>
    <n v="3141181.8000000003"/>
    <n v="10641181.800000001"/>
  </r>
  <r>
    <n v="2025"/>
    <n v="6"/>
    <d v="2025-06-05T00:00:00"/>
    <s v="PPS00004667"/>
    <s v="Гулшода опа (Нав)"/>
    <s v="Навоий_Гулшода опа"/>
    <s v="PPS"/>
    <s v="&quot;NAVBAHOR DORI TA'MINOTI&quot; MChJ"/>
    <x v="0"/>
    <n v="30"/>
    <n v="36955.08"/>
    <n v="1108652.3999999999"/>
    <n v="450000"/>
    <m/>
    <n v="188470.908"/>
    <n v="638470.90800000005"/>
  </r>
  <r>
    <n v="2025"/>
    <n v="6"/>
    <d v="2025-06-05T00:00:00"/>
    <s v="PPS00004687"/>
    <s v="Нозими опа (Бух)"/>
    <s v="Бухоро_Рустам ака"/>
    <s v="PPS"/>
    <s v="&quot;Diabetes Pharma&quot; Mchj"/>
    <x v="0"/>
    <n v="120"/>
    <n v="36955.08"/>
    <n v="4434609.5999999996"/>
    <n v="1800000"/>
    <m/>
    <n v="753883.63199999998"/>
    <n v="2553883.6320000002"/>
  </r>
  <r>
    <n v="2025"/>
    <n v="6"/>
    <d v="2025-06-10T00:00:00"/>
    <s v="PPS00004788"/>
    <s v="Фотима опа (Сир)"/>
    <s v="Сирдарё_Фотима опа"/>
    <s v="PPS"/>
    <s v="ЧП &quot;Ozodbek-Yan-Farm&quot;"/>
    <x v="0"/>
    <n v="30"/>
    <n v="36955.08"/>
    <n v="1108652.3999999999"/>
    <n v="450000"/>
    <m/>
    <n v="188470.908"/>
    <n v="638470.90800000005"/>
  </r>
  <r>
    <n v="2025"/>
    <n v="6"/>
    <d v="2025-06-10T00:00:00"/>
    <s v="PPS00004789"/>
    <s v="Фотима опа (Сир)"/>
    <s v="Сирдарё_Фотима опа"/>
    <s v="PPS"/>
    <s v="MCHJ Giyoh 25 Yil"/>
    <x v="0"/>
    <n v="30"/>
    <n v="36955.08"/>
    <n v="1108652.3999999999"/>
    <n v="450000"/>
    <m/>
    <n v="188470.908"/>
    <n v="638470.90800000005"/>
  </r>
  <r>
    <n v="2025"/>
    <n v="6"/>
    <d v="2025-06-23T00:00:00"/>
    <s v="PPS00005233"/>
    <s v="Нозими опа (Бух)"/>
    <s v="Бухоро_Рустам ака"/>
    <s v="PPS"/>
    <s v="&quot;Al-Aziz Ayubhon&quot; Mchj"/>
    <x v="0"/>
    <n v="20"/>
    <n v="36955.08"/>
    <n v="739101.6"/>
    <n v="300000"/>
    <m/>
    <n v="125647.27200000001"/>
    <n v="425647.272"/>
  </r>
  <r>
    <n v="2025"/>
    <n v="6"/>
    <d v="2025-06-24T00:00:00"/>
    <s v="PPS00005306"/>
    <s v="Сарвар ака (Срх)"/>
    <s v="Сурхондарьё_Сарвар ака"/>
    <s v="PPS"/>
    <s v="&quot;Nurbek Layt&quot; Xk"/>
    <x v="0"/>
    <n v="200"/>
    <n v="36955.08"/>
    <n v="7391016"/>
    <n v="3000000"/>
    <m/>
    <n v="1256472.7200000002"/>
    <n v="4256472.7200000007"/>
  </r>
  <r>
    <n v="2025"/>
    <n v="6"/>
    <d v="2025-06-27T00:00:00"/>
    <s v="PPS00005436"/>
    <s v="Нилюфар опа (Кшд)"/>
    <s v="Кашкадарьё_Нилуфар опа"/>
    <s v="PPS"/>
    <s v="&quot;Raxmonov Nurbek Nasimovich&quot; Xk"/>
    <x v="0"/>
    <n v="70"/>
    <n v="36955.08"/>
    <n v="2586855.6"/>
    <n v="1050000"/>
    <m/>
    <n v="439765.45200000005"/>
    <n v="1489765.452"/>
  </r>
  <r>
    <n v="2025"/>
    <n v="6"/>
    <d v="2025-06-30T00:00:00"/>
    <s v="PPS00005469"/>
    <s v="Камола опа (Тош)"/>
    <s v="Тошкент_Мохира опа"/>
    <s v="PPS"/>
    <s v="ООО &quot;Shohfarm&quot;"/>
    <x v="0"/>
    <n v="50"/>
    <n v="36955.08"/>
    <n v="1847754"/>
    <n v="750000"/>
    <m/>
    <n v="314118.18000000005"/>
    <n v="1064118.1800000002"/>
  </r>
  <r>
    <n v="2025"/>
    <n v="6"/>
    <d v="2025-06-30T00:00:00"/>
    <s v="PPS00005485"/>
    <s v="Абдушукур ака (Сир)"/>
    <s v="Сирдарё_Фотима опа"/>
    <s v="PPS"/>
    <s v="&quot;Pharmazone 999&quot; Mchj"/>
    <x v="0"/>
    <n v="20"/>
    <n v="36955.08"/>
    <n v="739101.6"/>
    <n v="300000"/>
    <m/>
    <n v="125647.27200000001"/>
    <n v="425647.272"/>
  </r>
  <r>
    <n v="2025"/>
    <n v="7"/>
    <d v="2025-07-03T00:00:00"/>
    <s v="PPS00005544"/>
    <s v="Дурдона опа (Тош)"/>
    <s v="Тошкент_Мохира опа"/>
    <s v="PPS"/>
    <s v="ООО &quot;Madina Shifo Nur&quot;"/>
    <x v="0"/>
    <n v="50"/>
    <n v="36955.08"/>
    <n v="1847754"/>
    <n v="750000"/>
    <m/>
    <n v="314118.18000000005"/>
    <n v="1064118.1800000002"/>
  </r>
  <r>
    <n v="2025"/>
    <n v="7"/>
    <d v="2025-07-11T00:00:00"/>
    <s v="PPS00005853"/>
    <s v="Абдушукур ака (Сир)"/>
    <s v="Сирдарё_Фотима опа"/>
    <s v="PPS"/>
    <s v="ЧП &quot;Mushtariy-Samira Farm&quot;"/>
    <x v="0"/>
    <n v="30"/>
    <n v="36955.08"/>
    <n v="1108652.3999999999"/>
    <n v="450000"/>
    <m/>
    <n v="188470.908"/>
    <n v="638470.90800000005"/>
  </r>
  <r>
    <n v="2025"/>
    <n v="7"/>
    <d v="2025-07-14T00:00:00"/>
    <s v="PPS00005883"/>
    <s v="Абдушукур ака (Сир)"/>
    <s v="Сирдарё_Фотима опа"/>
    <s v="PPS"/>
    <s v="&quot;Baxtiyor Turg'unovich&quot; Ktxf"/>
    <x v="0"/>
    <n v="50"/>
    <n v="36955.08"/>
    <n v="1847754"/>
    <n v="750000"/>
    <m/>
    <n v="314118.18000000005"/>
    <n v="1064118.1800000002"/>
  </r>
  <r>
    <n v="2025"/>
    <n v="7"/>
    <d v="2025-07-14T00:00:00"/>
    <s v="PPS00005925"/>
    <s v="Абдушукур ака (Сир)"/>
    <s v="Сирдарё_Фотима опа"/>
    <s v="PPS"/>
    <s v="&quot;Yaqin Pharm&quot; Mchj"/>
    <x v="0"/>
    <n v="50"/>
    <n v="36955.08"/>
    <n v="1847754"/>
    <n v="750000"/>
    <m/>
    <n v="314118.18000000005"/>
    <n v="1064118.1800000002"/>
  </r>
  <r>
    <n v="2025"/>
    <n v="7"/>
    <d v="2025-07-16T00:00:00"/>
    <s v="PPS00005985"/>
    <s v="Абдушукур ака (Сир)"/>
    <s v="Сирдарё_Фотима опа"/>
    <s v="PPS"/>
    <s v="ЧП &quot;Ozodbek-Yan-Farm&quot;"/>
    <x v="0"/>
    <n v="30"/>
    <n v="36955.08"/>
    <n v="1108652.3999999999"/>
    <n v="450000"/>
    <m/>
    <n v="188470.908"/>
    <n v="638470.90800000005"/>
  </r>
  <r>
    <n v="2025"/>
    <n v="7"/>
    <d v="2025-07-17T00:00:00"/>
    <s v="PPS00006042"/>
    <s v="Абдушукур ака (Сир)"/>
    <s v="Сирдарё_Фотима опа"/>
    <s v="PPS"/>
    <s v="ООО &quot;Shodlik-Mc&quot;"/>
    <x v="0"/>
    <n v="50"/>
    <n v="36955.08"/>
    <n v="1847754"/>
    <n v="750000"/>
    <m/>
    <n v="314118.18000000005"/>
    <n v="1064118.1800000002"/>
  </r>
  <r>
    <n v="2025"/>
    <n v="7"/>
    <d v="2025-07-21T00:00:00"/>
    <s v="PPS00006103"/>
    <s v="Сарвар ака (Срх)"/>
    <s v="Сурхондарьё_Сарвар ака"/>
    <s v="PPS"/>
    <s v="&quot;ZAMIN-FARM-SIFAT&quot; MChJ"/>
    <x v="0"/>
    <n v="100"/>
    <n v="36955.08"/>
    <n v="3695508"/>
    <n v="1500000"/>
    <m/>
    <n v="628236.3600000001"/>
    <n v="2128236.3600000003"/>
  </r>
  <r>
    <n v="2025"/>
    <n v="7"/>
    <d v="2025-07-24T00:00:00"/>
    <s v="PPS00006244"/>
    <s v="Нозими опа (Бух)"/>
    <s v="Бухоро_Рустам ака"/>
    <s v="PPS"/>
    <s v="Nigina-Dilnoza-Jomard Хк"/>
    <x v="0"/>
    <n v="120"/>
    <n v="36955.08"/>
    <n v="4434609.5999999996"/>
    <n v="1800000"/>
    <m/>
    <n v="753883.63199999998"/>
    <n v="2553883.6320000002"/>
  </r>
  <r>
    <n v="2025"/>
    <n v="7"/>
    <d v="2025-07-30T00:00:00"/>
    <s v="PPS00006401"/>
    <s v="Абдушукур ака (Сир)"/>
    <s v="Сирдарё_Фотима опа"/>
    <s v="PPS"/>
    <s v="ООО &quot;Shodlik-Mc&quot;"/>
    <x v="0"/>
    <n v="50"/>
    <n v="36955.08"/>
    <n v="1847754"/>
    <n v="750000"/>
    <m/>
    <n v="314118.18000000005"/>
    <n v="1064118.1800000002"/>
  </r>
  <r>
    <n v="2025"/>
    <n v="7"/>
    <d v="2025-07-30T00:00:00"/>
    <s v="PPS00006407"/>
    <s v="Абдушукур ака (Сир)"/>
    <s v="Сирдарё_Фотима опа"/>
    <s v="PPS"/>
    <s v="&quot;RUSTAMBEK-J.B.B&quot; XK"/>
    <x v="0"/>
    <n v="30"/>
    <n v="36955.08"/>
    <n v="1108652.3999999999"/>
    <n v="450000"/>
    <m/>
    <n v="188470.908"/>
    <n v="638470.90800000005"/>
  </r>
  <r>
    <n v="2025"/>
    <n v="7"/>
    <d v="2025-07-31T00:00:00"/>
    <s v="PPS00006440"/>
    <s v="Абдушукур ака (Сир)"/>
    <s v="Сирдарё_Фотима опа"/>
    <s v="PPS"/>
    <s v="ООО &quot;Shodlik-Mc&quot;"/>
    <x v="0"/>
    <n v="100"/>
    <n v="36955.08"/>
    <n v="3695508"/>
    <n v="1500000"/>
    <m/>
    <n v="628236.3600000001"/>
    <n v="2128236.3600000003"/>
  </r>
  <r>
    <n v="2025"/>
    <n v="7"/>
    <d v="2025-07-31T00:00:00"/>
    <s v="PPS00006456"/>
    <s v="Дурдона опа (Тош)"/>
    <s v="Тошкент_Мохира опа"/>
    <s v="PPS"/>
    <s v="&quot;GIYO SHIFO FARM&quot; MChJ"/>
    <x v="0"/>
    <n v="50"/>
    <n v="36955.08"/>
    <n v="1847754"/>
    <n v="750000"/>
    <m/>
    <n v="314118.18000000005"/>
    <n v="1064118.1800000002"/>
  </r>
  <r>
    <n v="2025"/>
    <n v="8"/>
    <d v="2025-08-07T00:00:00"/>
    <s v="PPS00006592"/>
    <s v="Рано опа (Нав)"/>
    <s v="Навоий_Дильноза опа"/>
    <s v="PPS"/>
    <s v="Jasur Konimex Farm Mchj"/>
    <x v="0"/>
    <n v="50"/>
    <n v="36955.08"/>
    <n v="1847754"/>
    <n v="750000"/>
    <m/>
    <n v="314118.18000000005"/>
    <n v="1064118.1800000002"/>
  </r>
  <r>
    <n v="2025"/>
    <n v="8"/>
    <d v="2025-08-07T00:00:00"/>
    <s v="PPS00006619"/>
    <s v="Дилноза опа (Жиз)"/>
    <s v="Жиззах_Саодат опа"/>
    <s v="PPS"/>
    <s v="&quot;Rasulbek Mega Farm 555&quot; Mchj"/>
    <x v="0"/>
    <n v="15"/>
    <n v="36955.08"/>
    <n v="554326.19999999995"/>
    <n v="225000"/>
    <m/>
    <n v="94235.453999999998"/>
    <n v="319235.45400000003"/>
  </r>
  <r>
    <n v="2025"/>
    <n v="8"/>
    <d v="2025-08-08T00:00:00"/>
    <s v="PPS00006629"/>
    <s v="Дилноза опа (Жиз)"/>
    <s v="Жиззах_Саодат опа"/>
    <s v="PPS"/>
    <s v="SUNISTAR FARM"/>
    <x v="0"/>
    <n v="50"/>
    <n v="36955.08"/>
    <n v="1847754"/>
    <n v="750000"/>
    <m/>
    <n v="314118.18000000005"/>
    <n v="1064118.1800000002"/>
  </r>
  <r>
    <n v="2025"/>
    <n v="8"/>
    <d v="2025-08-11T00:00:00"/>
    <s v="PPS00006681"/>
    <s v="Нозими опа (Бух)"/>
    <s v="Бухоро_Рустам ака"/>
    <s v="PPS"/>
    <s v="&quot;Shaxzod Shoyiqul&quot; Mchj"/>
    <x v="0"/>
    <n v="30"/>
    <n v="36955.08"/>
    <n v="1108652.3999999999"/>
    <n v="450000"/>
    <m/>
    <n v="188470.908"/>
    <n v="638470.90800000005"/>
  </r>
  <r>
    <n v="2025"/>
    <n v="8"/>
    <d v="2025-08-11T00:00:00"/>
    <s v="PPS00006687"/>
    <s v="Дилноза опа (Жиз)"/>
    <s v="Жиззах_Саодат опа"/>
    <s v="PPS"/>
    <s v="&quot;Malxam-2&quot; Xk"/>
    <x v="0"/>
    <n v="10"/>
    <n v="36955.08"/>
    <n v="369550.8"/>
    <n v="150000"/>
    <m/>
    <n v="62823.636000000006"/>
    <n v="212823.636"/>
  </r>
  <r>
    <n v="2025"/>
    <n v="8"/>
    <d v="2025-08-11T00:00:00"/>
    <s v="PPS00006689"/>
    <s v="Дилноза опа (Жиз)"/>
    <s v="Жиззах_Саодат опа"/>
    <s v="PPS"/>
    <s v="&quot;Omad Sahovat Farm&quot; Xk"/>
    <x v="0"/>
    <n v="40"/>
    <n v="36955.08"/>
    <n v="1478203.2"/>
    <n v="600000"/>
    <m/>
    <n v="251294.54400000002"/>
    <n v="851294.54399999999"/>
  </r>
  <r>
    <n v="2025"/>
    <n v="8"/>
    <d v="2025-08-11T00:00:00"/>
    <s v="PPS00006712"/>
    <s v="Рано опа (Нав)"/>
    <s v="Навоий_Дильноза опа"/>
    <s v="PPS"/>
    <s v="Saidakmal Pharm Mchj"/>
    <x v="0"/>
    <n v="50"/>
    <n v="36955.08"/>
    <n v="1847754"/>
    <n v="750000"/>
    <m/>
    <n v="314118.18000000005"/>
    <n v="1064118.1800000002"/>
  </r>
  <r>
    <n v="2025"/>
    <n v="8"/>
    <d v="2025-08-11T00:00:00"/>
    <s v="PPS00006732"/>
    <s v="Рано опа (Нав)"/>
    <s v="Навоий_Дильноза опа"/>
    <s v="PPS"/>
    <s v="&quot;XUJAI-JAXON GRAND&quot; MChJ"/>
    <x v="0"/>
    <n v="20"/>
    <n v="36955.08"/>
    <n v="739101.6"/>
    <n v="300000"/>
    <m/>
    <n v="125647.27200000001"/>
    <n v="425647.272"/>
  </r>
  <r>
    <n v="2025"/>
    <n v="8"/>
    <d v="2025-08-11T00:00:00"/>
    <s v="PPS00006734"/>
    <s v="Рано опа (Нав)"/>
    <s v="Навоий_Дильноза опа"/>
    <s v="PPS"/>
    <s v="ООО &quot;Muslima Farmani&quot;"/>
    <x v="0"/>
    <n v="10"/>
    <n v="36955.08"/>
    <n v="369550.8"/>
    <n v="150000"/>
    <m/>
    <n v="62823.636000000006"/>
    <n v="212823.636"/>
  </r>
  <r>
    <n v="2025"/>
    <n v="8"/>
    <d v="2025-08-13T00:00:00"/>
    <s v="PPS00006789"/>
    <s v="Людмила Опа (Срд)"/>
    <s v="Сурхондарьё_Людмила опа"/>
    <s v="PPS"/>
    <s v="&quot;Farxod&quot; Xk"/>
    <x v="0"/>
    <n v="45"/>
    <n v="36955.08"/>
    <n v="1662978.6"/>
    <n v="675000"/>
    <m/>
    <n v="282706.36200000002"/>
    <n v="957706.36199999996"/>
  </r>
  <r>
    <n v="2025"/>
    <n v="8"/>
    <d v="2025-08-13T00:00:00"/>
    <s v="PPS00006791"/>
    <s v="Рано опа (Нав)"/>
    <s v="Навоий_Дильноза опа"/>
    <s v="PPS"/>
    <s v="&quot;Sandi Farm&quot; Mchj"/>
    <x v="0"/>
    <n v="10"/>
    <n v="36955.08"/>
    <n v="369550.8"/>
    <n v="150000"/>
    <m/>
    <n v="62823.636000000006"/>
    <n v="212823.636"/>
  </r>
  <r>
    <n v="2025"/>
    <n v="8"/>
    <d v="2025-08-13T00:00:00"/>
    <s v="PPS00006800"/>
    <s v="Абдушукур ака (Сир)"/>
    <s v="Сирдарё_Фотима опа"/>
    <s v="PPS"/>
    <s v="ЧП &quot;Ozodbek-Yan-Farm&quot;"/>
    <x v="0"/>
    <n v="20"/>
    <n v="36955.08"/>
    <n v="739101.6"/>
    <n v="300000"/>
    <m/>
    <n v="125647.27200000001"/>
    <n v="425647.272"/>
  </r>
  <r>
    <n v="2025"/>
    <n v="8"/>
    <d v="2025-08-13T00:00:00"/>
    <s v="PPS00006805"/>
    <s v="Рано опа (Нав)"/>
    <s v="Навоий_Дильноза опа"/>
    <s v="PPS"/>
    <s v="&quot;NAVOIY BINAFSHA&quot; XK"/>
    <x v="0"/>
    <n v="40"/>
    <n v="36955.08"/>
    <n v="1478203.2"/>
    <n v="600000"/>
    <m/>
    <n v="251294.54400000002"/>
    <n v="851294.54399999999"/>
  </r>
  <r>
    <n v="2025"/>
    <n v="8"/>
    <d v="2025-08-14T00:00:00"/>
    <s v="PPS00006838"/>
    <s v="Абдушукур ака (Сир)"/>
    <s v="Сирдарё_Фотима опа"/>
    <s v="PPS"/>
    <s v="ЧП &quot;Mushtariy-Samira Farm&quot;"/>
    <x v="0"/>
    <n v="30"/>
    <n v="36955.08"/>
    <n v="1108652.3999999999"/>
    <n v="450000"/>
    <m/>
    <n v="188470.908"/>
    <n v="638470.90800000005"/>
  </r>
  <r>
    <n v="2025"/>
    <n v="8"/>
    <d v="2025-08-14T00:00:00"/>
    <s v="PPS00006864"/>
    <s v="Дилноза опа (Жиз)"/>
    <s v="Жиззах_Саодат опа"/>
    <s v="PPS"/>
    <s v="&quot;Umid&quot; Xk"/>
    <x v="0"/>
    <n v="10"/>
    <n v="36955.08"/>
    <n v="369550.8"/>
    <n v="150000"/>
    <m/>
    <n v="62823.636000000006"/>
    <n v="212823.636"/>
  </r>
  <r>
    <n v="2025"/>
    <n v="8"/>
    <d v="2025-08-15T00:00:00"/>
    <s v="PPS00006887"/>
    <s v="Дилноза опа (Жиз)"/>
    <s v="Жиззах_Саодат опа"/>
    <s v="PPS"/>
    <s v="&quot;Makku-Farm&quot; Mchj"/>
    <x v="0"/>
    <n v="48"/>
    <n v="36955.08"/>
    <n v="1773843.84"/>
    <n v="720000"/>
    <m/>
    <n v="301553.45280000003"/>
    <n v="1021553.4528000001"/>
  </r>
  <r>
    <n v="2025"/>
    <n v="8"/>
    <d v="2025-08-18T00:00:00"/>
    <s v="PPS00006907"/>
    <s v="Нозими опа (Бух)"/>
    <s v="Бухоро_Рустам ака"/>
    <s v="PPS"/>
    <s v="&quot;Garden Pharma&quot; Mchj"/>
    <x v="0"/>
    <n v="50"/>
    <n v="36955.08"/>
    <n v="1847754"/>
    <n v="750000"/>
    <m/>
    <n v="314118.18000000005"/>
    <n v="1064118.1800000002"/>
  </r>
  <r>
    <n v="2025"/>
    <n v="8"/>
    <d v="2025-08-18T00:00:00"/>
    <s v="PPS00006917"/>
    <s v="Абдушукур ака (Сир)"/>
    <s v="Сирдарё_Фотима опа"/>
    <s v="PPS"/>
    <s v="MCHJ Giyoh 25 Yil"/>
    <x v="0"/>
    <n v="20"/>
    <n v="36955.08"/>
    <n v="739101.6"/>
    <n v="300000"/>
    <m/>
    <n v="125647.27200000001"/>
    <n v="425647.272"/>
  </r>
  <r>
    <n v="2025"/>
    <n v="8"/>
    <d v="2025-08-20T00:00:00"/>
    <s v="PPS00007032"/>
    <s v="Абдушукур ака (Сир)"/>
    <s v="Сирдарё_Фотима опа"/>
    <s v="PPS"/>
    <s v="ООО &quot;Behzod-Farm-Yangiyer&quot;"/>
    <x v="0"/>
    <n v="50"/>
    <n v="36955.08"/>
    <n v="1847754"/>
    <n v="750000"/>
    <m/>
    <n v="314118.18000000005"/>
    <n v="1064118.1800000002"/>
  </r>
  <r>
    <n v="2025"/>
    <n v="8"/>
    <d v="2025-08-21T00:00:00"/>
    <s v="PPS00007079"/>
    <s v="Дилноза опа (Жиз)"/>
    <s v="Жиззах_Саодат опа"/>
    <s v="PPS"/>
    <s v="SUNISTAR FARM"/>
    <x v="0"/>
    <n v="100"/>
    <n v="36955.08"/>
    <n v="3695508"/>
    <n v="1500000"/>
    <m/>
    <n v="628236.3600000001"/>
    <n v="2128236.3600000003"/>
  </r>
  <r>
    <n v="2025"/>
    <n v="8"/>
    <d v="2025-08-25T00:00:00"/>
    <s v="PPS00007130"/>
    <s v="Рано опа (Нав)"/>
    <s v="Навоий_Дильноза опа"/>
    <s v="PPS"/>
    <s v="&quot;Grand-Medikal Center&quot; Mchj"/>
    <x v="0"/>
    <n v="48"/>
    <n v="36955.08"/>
    <n v="1773843.84"/>
    <n v="720000"/>
    <m/>
    <n v="301553.45280000003"/>
    <n v="1021553.4528000001"/>
  </r>
  <r>
    <n v="2025"/>
    <n v="8"/>
    <d v="2025-08-25T00:00:00"/>
    <s v="PPS00007142"/>
    <s v="Рано опа (Нав)"/>
    <s v="Навоий_Дильноза опа"/>
    <s v="PPS"/>
    <s v="&quot;ФАРРУХ-95&quot; ХF"/>
    <x v="0"/>
    <n v="20"/>
    <n v="36955.08"/>
    <n v="739101.6"/>
    <n v="300000"/>
    <m/>
    <n v="125647.27200000001"/>
    <n v="425647.272"/>
  </r>
  <r>
    <n v="2025"/>
    <n v="8"/>
    <d v="2025-08-25T00:00:00"/>
    <s v="PPS00007154"/>
    <s v="Сарвар ака (Срх)"/>
    <s v="Сурхондарьё_Сарвар ака"/>
    <s v="PPS"/>
    <s v="&quot;Nurbek Layt&quot; Xk"/>
    <x v="0"/>
    <n v="50"/>
    <n v="36955.08"/>
    <n v="1847754"/>
    <n v="750000"/>
    <m/>
    <n v="314118.18000000005"/>
    <n v="1064118.1800000002"/>
  </r>
  <r>
    <n v="2025"/>
    <n v="8"/>
    <d v="2025-08-25T00:00:00"/>
    <s v="PPS00007162"/>
    <s v="Дилноза опа (Жиз)"/>
    <s v="Жиззах_Саодат опа"/>
    <s v="PPS"/>
    <s v="&quot;Shaxizodaa Med&quot; Xk"/>
    <x v="0"/>
    <n v="10"/>
    <n v="36955.08"/>
    <n v="369550.8"/>
    <n v="150000"/>
    <m/>
    <n v="62823.636000000006"/>
    <n v="212823.636"/>
  </r>
  <r>
    <n v="2025"/>
    <n v="8"/>
    <d v="2025-08-26T00:00:00"/>
    <s v="PPS00007178"/>
    <s v="Абдушукур ака (Сир)"/>
    <s v="Сирдарё_Фотима опа"/>
    <s v="PPS"/>
    <s v="&quot;RUSTAMBEK-J.B.B&quot; XK"/>
    <x v="0"/>
    <n v="20"/>
    <n v="36955.08"/>
    <n v="739101.6"/>
    <n v="300000"/>
    <m/>
    <n v="125647.27200000001"/>
    <n v="425647.272"/>
  </r>
  <r>
    <n v="2025"/>
    <n v="8"/>
    <d v="2025-08-27T00:00:00"/>
    <s v="PPS00007209"/>
    <s v="Абдушукур ака (Сир)"/>
    <s v="Сирдарё_Фотима опа"/>
    <s v="PPS"/>
    <s v="&quot;Baxtiyor Turg'unovich&quot; Ktxf"/>
    <x v="0"/>
    <n v="100"/>
    <n v="36955.08"/>
    <n v="3695508"/>
    <n v="1500000"/>
    <m/>
    <n v="628236.3600000001"/>
    <n v="2128236.3600000003"/>
  </r>
  <r>
    <n v="2025"/>
    <n v="8"/>
    <d v="2025-08-27T00:00:00"/>
    <s v="PPS00007210"/>
    <s v="Камола опа (Тош)"/>
    <s v="Тошкент_Мохира опа"/>
    <s v="PPS"/>
    <s v="&quot;Bio Plus Farm&quot; Mchj"/>
    <x v="0"/>
    <n v="20"/>
    <n v="36955.08"/>
    <n v="739101.6"/>
    <n v="300000"/>
    <m/>
    <n v="125647.27200000001"/>
    <n v="425647.272"/>
  </r>
  <r>
    <n v="2025"/>
    <n v="8"/>
    <d v="2025-08-29T00:00:00"/>
    <s v="PPS00007295"/>
    <s v="Нозими опа (Бух)"/>
    <s v="Бухоро_Рустам ака"/>
    <s v="PPS"/>
    <s v="&quot;Bunyodbek Farm Expert&quot; Mchj"/>
    <x v="0"/>
    <n v="20"/>
    <n v="36955.08"/>
    <n v="739101.6"/>
    <n v="300000"/>
    <m/>
    <n v="125647.27200000001"/>
    <n v="425647.272"/>
  </r>
  <r>
    <n v="2025"/>
    <n v="8"/>
    <d v="2025-08-29T00:00:00"/>
    <s v="PPS00007298"/>
    <s v="Фотима опа (Сир)"/>
    <s v="Сирдарё_Фотима опа"/>
    <s v="PPS"/>
    <s v="ЧП &quot;Mushtariy-Samira Farm&quot;"/>
    <x v="0"/>
    <n v="30"/>
    <n v="36955.08"/>
    <n v="1108652.3999999999"/>
    <n v="450000"/>
    <m/>
    <n v="188470.908"/>
    <n v="638470.90800000005"/>
  </r>
  <r>
    <n v="2025"/>
    <n v="9"/>
    <d v="2025-09-04T00:00:00"/>
    <s v="PPS00007393"/>
    <s v="Фотима опа (Сир)"/>
    <s v="Сирдарё_Фотима опа"/>
    <s v="PPS"/>
    <s v="MCHJ Giyoh 25 Yil"/>
    <x v="0"/>
    <n v="30"/>
    <n v="36955.08"/>
    <n v="1108652.3999999999"/>
    <n v="450000"/>
    <m/>
    <n v="188470.908"/>
    <n v="638470.90800000005"/>
  </r>
  <r>
    <n v="2025"/>
    <n v="9"/>
    <d v="2025-09-04T00:00:00"/>
    <s v="PPS00007411"/>
    <s v="Рано опа (Нав)"/>
    <s v="Навоий_Дильноза опа"/>
    <s v="PPS"/>
    <s v="&quot;Grand-Medikal Center&quot; Mchj"/>
    <x v="0"/>
    <n v="50"/>
    <n v="36955.08"/>
    <n v="1847754"/>
    <n v="750000"/>
    <m/>
    <n v="314118.18000000005"/>
    <n v="1064118.1800000002"/>
  </r>
  <r>
    <n v="2025"/>
    <n v="9"/>
    <d v="2025-09-09T00:00:00"/>
    <s v="PPS00007521"/>
    <s v="Фотима опа (Сир)"/>
    <s v="Сирдарё_Фотима опа"/>
    <s v="PPS"/>
    <s v="&quot;Yaqin Pharm&quot; Mchj"/>
    <x v="0"/>
    <n v="50"/>
    <n v="36955.08"/>
    <n v="1847754"/>
    <n v="750000"/>
    <m/>
    <n v="314118.18000000005"/>
    <n v="1064118.1800000002"/>
  </r>
  <r>
    <n v="2025"/>
    <n v="9"/>
    <d v="2025-09-09T00:00:00"/>
    <s v="PPS00007563"/>
    <s v="Дурдона опа (Тош)"/>
    <s v="Тошкент_Мохира опа"/>
    <s v="PPS"/>
    <s v="&quot;Soglom Hayot-25&quot; Mchj"/>
    <x v="0"/>
    <n v="200"/>
    <n v="36955.08"/>
    <n v="7391016"/>
    <n v="3000000"/>
    <m/>
    <n v="1256472.7200000002"/>
    <n v="4256472.7200000007"/>
  </r>
  <r>
    <n v="2025"/>
    <n v="9"/>
    <d v="2025-09-09T00:00:00"/>
    <s v="PPS00007576"/>
    <s v="Камола опа (Тош)"/>
    <s v="Тошкент_Мохира опа"/>
    <s v="PPS"/>
    <s v="ООО &quot;Marxamat Med Pharm&quot;"/>
    <x v="0"/>
    <n v="48"/>
    <n v="36955.08"/>
    <n v="1773843.84"/>
    <n v="720000"/>
    <m/>
    <n v="301553.45280000003"/>
    <n v="1021553.4528000001"/>
  </r>
  <r>
    <n v="2025"/>
    <n v="9"/>
    <d v="2025-09-11T00:00:00"/>
    <s v="PPS00007619"/>
    <s v="Дилноза опа (Жиз)"/>
    <s v="Жиззах_Саодат опа"/>
    <s v="PPS"/>
    <s v="&quot;Omad Sahovat Farm&quot; Xk"/>
    <x v="0"/>
    <n v="14"/>
    <n v="36955.08"/>
    <n v="517371.12"/>
    <n v="210000"/>
    <m/>
    <n v="87953.090400000001"/>
    <n v="297953.09039999999"/>
  </r>
  <r>
    <n v="2025"/>
    <n v="9"/>
    <d v="2025-09-11T00:00:00"/>
    <s v="PPS00007639"/>
    <s v="Дилноза опа (Жиз)"/>
    <s v="Жиззах_Саодат опа"/>
    <s v="PPS"/>
    <s v="&quot;Shaxizodaa Med&quot; Xk"/>
    <x v="0"/>
    <n v="20"/>
    <n v="36955.08"/>
    <n v="739101.6"/>
    <n v="300000"/>
    <m/>
    <n v="125647.27200000001"/>
    <n v="425647.272"/>
  </r>
  <r>
    <n v="2025"/>
    <n v="9"/>
    <d v="2025-09-12T00:00:00"/>
    <s v="PPS00007648"/>
    <s v="Сарвар ака (Срх)"/>
    <s v="Сурхондарьё_Сарвар ака"/>
    <s v="PPS"/>
    <s v="&quot;Mubinaxon Shifo Nur&quot; Xk"/>
    <x v="0"/>
    <n v="5"/>
    <n v="36955.08"/>
    <n v="184775.4"/>
    <n v="75000"/>
    <m/>
    <n v="31411.818000000003"/>
    <n v="106411.818"/>
  </r>
  <r>
    <n v="2025"/>
    <n v="9"/>
    <d v="2025-09-15T00:00:00"/>
    <s v="PPS00007688"/>
    <s v="Шохжахон (Тош)"/>
    <s v="Тошкент_Шохжахон ака"/>
    <s v="PPS"/>
    <s v="&quot;Grand  Pharm  Trade&quot; Mchj"/>
    <x v="0"/>
    <n v="50"/>
    <n v="36955.08"/>
    <n v="1847754"/>
    <n v="750000"/>
    <m/>
    <n v="314118.18000000005"/>
    <n v="1064118.1800000002"/>
  </r>
  <r>
    <n v="2025"/>
    <n v="9"/>
    <d v="2025-09-18T00:00:00"/>
    <s v="PPS00007799"/>
    <s v="Сарвар ака (Срх)"/>
    <s v="Сурхондарьё_Сарвар ака"/>
    <s v="PPS"/>
    <s v="&quot;Olloyor-Bexzod&quot; Xk"/>
    <x v="0"/>
    <n v="30"/>
    <n v="40621"/>
    <n v="1218630"/>
    <n v="450000"/>
    <m/>
    <n v="207167.1"/>
    <n v="657167.1"/>
  </r>
  <r>
    <n v="2025"/>
    <n v="9"/>
    <d v="2025-09-18T00:00:00"/>
    <s v="PPS00007802"/>
    <s v="Рано опа (Нав)"/>
    <s v="Навоий_Дильноза опа"/>
    <s v="PPS"/>
    <s v="&quot;Ajr Farm Dorixona&quot; Mchj"/>
    <x v="0"/>
    <n v="60"/>
    <n v="40621"/>
    <n v="2437260"/>
    <n v="900000"/>
    <m/>
    <n v="414334.2"/>
    <n v="1314334.2"/>
  </r>
  <r>
    <n v="2025"/>
    <n v="9"/>
    <d v="2025-09-18T00:00:00"/>
    <s v="PPS00007807"/>
    <s v="Рано опа (Нав)"/>
    <s v="Навоий_Дильноза опа"/>
    <s v="PPS"/>
    <s v="&quot;NAVOIY BINAFSHA&quot; XK"/>
    <x v="0"/>
    <n v="30"/>
    <n v="36955.08"/>
    <n v="1108652.3999999999"/>
    <n v="450000"/>
    <m/>
    <n v="188470.908"/>
    <n v="638470.90800000005"/>
  </r>
  <r>
    <n v="2025"/>
    <n v="9"/>
    <d v="2025-09-18T00:00:00"/>
    <s v="PPS00007807"/>
    <s v="Рано опа (Нав)"/>
    <s v="Навоий_Дильноза опа"/>
    <s v="PPS"/>
    <s v="&quot;NAVOIY BINAFSHA&quot; XK"/>
    <x v="0"/>
    <n v="10"/>
    <n v="36955.08"/>
    <n v="369550.8"/>
    <n v="150000"/>
    <m/>
    <n v="62823.636000000006"/>
    <n v="212823.636"/>
  </r>
  <r>
    <n v="2025"/>
    <n v="9"/>
    <d v="2025-09-18T00:00:00"/>
    <s v="PPS00007818"/>
    <s v="Фотима опа (Сир)"/>
    <s v="Сирдарё_Фотима опа"/>
    <s v="PPS"/>
    <s v="ЧП &quot;Ozodbek-Yan-Farm&quot;"/>
    <x v="0"/>
    <n v="30"/>
    <n v="36955.08"/>
    <n v="1108652.3999999999"/>
    <n v="450000"/>
    <m/>
    <n v="188470.908"/>
    <n v="638470.90800000005"/>
  </r>
  <r>
    <n v="2025"/>
    <n v="9"/>
    <d v="2025-09-22T00:00:00"/>
    <s v="PPS00007918"/>
    <s v="Рано опа (Нав)"/>
    <s v="Навоий_Дильноза опа"/>
    <s v="PPS"/>
    <s v="&quot;Grand-Medikal Center&quot; Mchj"/>
    <x v="0"/>
    <n v="120"/>
    <n v="40621"/>
    <n v="4874520"/>
    <n v="1800000"/>
    <m/>
    <n v="828668.4"/>
    <n v="2628668.4"/>
  </r>
  <r>
    <n v="2025"/>
    <n v="9"/>
    <d v="2025-09-23T00:00:00"/>
    <s v="PPS00007938"/>
    <s v="Абдушукур ака (Сир)"/>
    <s v="Сирдарё_Фотима опа"/>
    <s v="PPS"/>
    <s v="ООО &quot;Shodlik-Mc&quot;"/>
    <x v="0"/>
    <n v="14"/>
    <n v="36955.08"/>
    <n v="517371.12"/>
    <n v="210000"/>
    <m/>
    <n v="87953.090400000001"/>
    <n v="297953.09039999999"/>
  </r>
  <r>
    <n v="2025"/>
    <n v="9"/>
    <d v="2025-09-23T00:00:00"/>
    <s v="PPS00007938"/>
    <s v="Абдушукур ака (Сир)"/>
    <s v="Сирдарё_Фотима опа"/>
    <s v="PPS"/>
    <s v="ООО &quot;Shodlik-Mc&quot;"/>
    <x v="0"/>
    <n v="44"/>
    <n v="36955.08"/>
    <n v="1626023.52"/>
    <n v="660000"/>
    <m/>
    <n v="276423.99840000004"/>
    <n v="936423.99840000004"/>
  </r>
  <r>
    <n v="2025"/>
    <n v="9"/>
    <d v="2025-09-24T00:00:00"/>
    <s v="PPS00008019"/>
    <s v="Нигора опа (Тош)"/>
    <s v="Тошкент_Мохира опа"/>
    <s v="PPS"/>
    <s v="&quot;Millenium Medikal&quot; Mchj"/>
    <x v="0"/>
    <n v="100"/>
    <n v="40621"/>
    <n v="4062100"/>
    <n v="1500000"/>
    <m/>
    <n v="690557"/>
    <n v="2190557"/>
  </r>
  <r>
    <n v="2025"/>
    <n v="9"/>
    <d v="2025-09-25T00:00:00"/>
    <s v="PPS00008024"/>
    <s v="Хуршид Ака 3 (Сам)"/>
    <s v="Самарканд_Хуршед ака"/>
    <s v="PPS"/>
    <s v="&quot;Dreem Pharmacy&quot; Mchj"/>
    <x v="0"/>
    <n v="240"/>
    <n v="40621"/>
    <n v="9749040"/>
    <n v="3600000"/>
    <m/>
    <n v="1657336.8"/>
    <n v="5257336.8"/>
  </r>
  <r>
    <n v="2025"/>
    <n v="9"/>
    <d v="2025-09-25T00:00:00"/>
    <s v="PPS00008032"/>
    <s v="Дилноза опа (Жиз)"/>
    <s v="Жиззах_Саодат опа"/>
    <s v="PPS"/>
    <s v="&quot;Omad Sahovat Farm&quot; Xk"/>
    <x v="0"/>
    <n v="40"/>
    <n v="36955.08"/>
    <n v="1478203.2"/>
    <n v="600000"/>
    <m/>
    <n v="251294.54400000002"/>
    <n v="851294.54399999999"/>
  </r>
  <r>
    <n v="2025"/>
    <n v="9"/>
    <d v="2025-09-25T00:00:00"/>
    <s v="PPS00008036"/>
    <s v="Дилноза опа (Жиз)"/>
    <s v="Жиззах_Саодат опа"/>
    <s v="PPS"/>
    <s v="&quot;Makku-Farm&quot; Mchj"/>
    <x v="0"/>
    <n v="48"/>
    <n v="40621"/>
    <n v="1949808"/>
    <n v="720000"/>
    <m/>
    <n v="331467.36000000004"/>
    <n v="1051467.3600000001"/>
  </r>
  <r>
    <n v="2025"/>
    <n v="9"/>
    <d v="2025-09-25T00:00:00"/>
    <s v="PPS00008054"/>
    <s v="Дилноза опа (Жиз)"/>
    <s v="Жиззах_Саодат опа"/>
    <s v="PPS"/>
    <s v="SUNISTAR FARM"/>
    <x v="0"/>
    <n v="24"/>
    <n v="40621"/>
    <n v="974904"/>
    <n v="360000"/>
    <m/>
    <n v="165733.68000000002"/>
    <n v="525733.68000000005"/>
  </r>
  <r>
    <n v="2025"/>
    <n v="9"/>
    <d v="2025-09-26T00:00:00"/>
    <s v="PPS00008107"/>
    <s v="Нигора опа (Тош)"/>
    <s v="Тошкент_Мохира опа"/>
    <s v="PPS"/>
    <s v="&quot;Proxima&quot; Xk"/>
    <x v="0"/>
    <n v="50"/>
    <n v="40621"/>
    <n v="2031050"/>
    <n v="750000"/>
    <m/>
    <n v="345278.5"/>
    <n v="1095278.5"/>
  </r>
  <r>
    <n v="2025"/>
    <n v="9"/>
    <d v="2025-09-29T00:00:00"/>
    <s v="PPS00008152"/>
    <s v="Дилноза опа (Жиз)"/>
    <s v="Жиззах_Саодат опа"/>
    <s v="PPS"/>
    <s v="&quot;Akobir Pharm 444&quot; Mchj"/>
    <x v="0"/>
    <n v="24"/>
    <n v="40621"/>
    <n v="974904"/>
    <n v="360000"/>
    <m/>
    <n v="165733.68000000002"/>
    <n v="525733.68000000005"/>
  </r>
  <r>
    <n v="2025"/>
    <n v="9"/>
    <d v="2025-09-29T00:00:00"/>
    <s v="PPS00008158"/>
    <s v="Дилдора опа"/>
    <s v="Сурхондарьё_Дилдора опа"/>
    <s v="PPS"/>
    <s v="Кизирик Ттб"/>
    <x v="0"/>
    <n v="1000"/>
    <n v="36955.08"/>
    <n v="36955080"/>
    <n v="15000000"/>
    <m/>
    <n v="6282363.6000000006"/>
    <n v="21282363.600000001"/>
  </r>
  <r>
    <n v="2025"/>
    <n v="9"/>
    <d v="2025-09-30T00:00:00"/>
    <s v="PPS00008188"/>
    <s v="Сарвар ака (Срх)"/>
    <s v="Сурхондарьё_Сарвар ака"/>
    <s v="PPS"/>
    <s v="&quot;Vitamin - Gold Farm&quot; Xk"/>
    <x v="0"/>
    <n v="10"/>
    <n v="36955.08"/>
    <n v="369550.8"/>
    <n v="150000"/>
    <m/>
    <n v="62823.636000000006"/>
    <n v="212823.636"/>
  </r>
  <r>
    <n v="2025"/>
    <n v="10"/>
    <d v="2025-10-02T00:00:00"/>
    <s v="PPS00008247"/>
    <s v="Абдушукур ака (Сир)"/>
    <s v="Сирдарё_Фотима опа"/>
    <s v="PPS"/>
    <s v="ООО &quot;Shodlik-Mc&quot;"/>
    <x v="0"/>
    <n v="100"/>
    <n v="40621"/>
    <n v="4062100"/>
    <n v="1500000"/>
    <m/>
    <n v="690557"/>
    <n v="2190557"/>
  </r>
  <r>
    <n v="2025"/>
    <n v="10"/>
    <d v="2025-10-03T00:00:00"/>
    <s v="PPS00008271"/>
    <s v="Камола опа (Тош)"/>
    <s v="Тошкент_Мохира опа"/>
    <s v="PPS"/>
    <s v="&quot;Fm Apteka Biznes&quot; Mchj"/>
    <x v="0"/>
    <n v="30"/>
    <n v="40621"/>
    <n v="1218630"/>
    <n v="450000"/>
    <m/>
    <n v="207167.1"/>
    <n v="657167.1"/>
  </r>
  <r>
    <n v="2025"/>
    <n v="10"/>
    <d v="2025-10-06T00:00:00"/>
    <s v="PPS00008296"/>
    <s v="Сарвар ака (Срх)"/>
    <s v="Сурхондарьё_Сарвар ака"/>
    <s v="PPS"/>
    <s v="&quot;Ulug'bek Med Farm Denov&quot; Xk"/>
    <x v="0"/>
    <n v="120"/>
    <n v="40621"/>
    <n v="4874520"/>
    <n v="1800000"/>
    <m/>
    <n v="828668.4"/>
    <n v="2628668.4"/>
  </r>
  <r>
    <n v="2025"/>
    <n v="10"/>
    <d v="2025-10-06T00:00:00"/>
    <s v="PPS00008299"/>
    <s v="Дилноза опа (Жиз)"/>
    <s v="Жиззах_Саодат опа"/>
    <s v="PPS"/>
    <s v="&quot;Antidard Pharm&quot; Mchj"/>
    <x v="0"/>
    <n v="20"/>
    <n v="40621"/>
    <n v="812420"/>
    <n v="300000"/>
    <m/>
    <n v="138111.40000000002"/>
    <n v="438111.4"/>
  </r>
  <r>
    <n v="2025"/>
    <n v="10"/>
    <d v="2025-10-06T00:00:00"/>
    <s v="PPS00008308"/>
    <s v="Рано опа (Нав)"/>
    <s v="Навоий_Дильноза опа"/>
    <s v="PPS"/>
    <s v="&quot;Faxriddin-Farm Navoiy&quot; Xk"/>
    <x v="0"/>
    <n v="20"/>
    <n v="40621"/>
    <n v="812420"/>
    <n v="300000"/>
    <m/>
    <n v="138111.40000000002"/>
    <n v="438111.4"/>
  </r>
  <r>
    <n v="2025"/>
    <n v="10"/>
    <d v="2025-10-06T00:00:00"/>
    <s v="PPS00008335"/>
    <s v="Фотима опа (Сир)"/>
    <s v="Сирдарё_Фотима опа"/>
    <s v="PPS"/>
    <s v="&quot;RUSTAMBEK-J.B.B&quot; XK"/>
    <x v="0"/>
    <n v="40"/>
    <n v="40621"/>
    <n v="1624840"/>
    <n v="600000"/>
    <m/>
    <n v="276222.80000000005"/>
    <n v="876222.8"/>
  </r>
  <r>
    <n v="2025"/>
    <n v="10"/>
    <d v="2025-10-09T00:00:00"/>
    <s v="PPS00008406"/>
    <s v="Рано опа (Нав)"/>
    <s v="Навоий_Дильноза опа"/>
    <s v="PPS"/>
    <s v="&quot;XUJAI-JAXON GRAND&quot; MChJ"/>
    <x v="0"/>
    <n v="30"/>
    <n v="40621"/>
    <n v="1218630"/>
    <n v="450000"/>
    <m/>
    <n v="207167.1"/>
    <n v="657167.1"/>
  </r>
  <r>
    <n v="2025"/>
    <n v="10"/>
    <d v="2025-10-09T00:00:00"/>
    <s v="PPS00008434"/>
    <s v="Абдушукур ака (Сир)"/>
    <s v="Сирдарё_Фотима опа"/>
    <s v="PPS"/>
    <s v="&quot;Shifobaxsh&quot; Xk"/>
    <x v="0"/>
    <n v="20"/>
    <n v="40621"/>
    <n v="812420"/>
    <n v="300000"/>
    <m/>
    <n v="138111.40000000002"/>
    <n v="438111.4"/>
  </r>
  <r>
    <n v="2025"/>
    <n v="10"/>
    <d v="2025-10-09T00:00:00"/>
    <s v="PPS00008443"/>
    <s v="Дилноза опа (Жиз)"/>
    <s v="Жиззах_Саодат опа"/>
    <s v="PPS"/>
    <s v="&quot;Usta Maxmud&quot;Xk"/>
    <x v="0"/>
    <n v="48"/>
    <n v="40621"/>
    <n v="1949808"/>
    <n v="720000"/>
    <m/>
    <n v="331467.36000000004"/>
    <n v="1051467.3600000001"/>
  </r>
  <r>
    <n v="2025"/>
    <n v="10"/>
    <d v="2025-10-13T00:00:00"/>
    <s v="PPS00008498"/>
    <s v="Сарвар ака (Срх)"/>
    <s v="Сурхондарьё_Сарвар ака"/>
    <s v="PPS"/>
    <s v="&quot;Mubinaxon Shifo Nur&quot; Xk"/>
    <x v="0"/>
    <n v="20"/>
    <n v="40621"/>
    <n v="812420"/>
    <n v="300000"/>
    <m/>
    <n v="138111.40000000002"/>
    <n v="438111.4"/>
  </r>
  <r>
    <n v="2025"/>
    <n v="10"/>
    <d v="2025-10-13T00:00:00"/>
    <s v="PPS00008508"/>
    <s v="Нигора опа (Тош)"/>
    <s v="Тошкент_Мохира опа"/>
    <s v="PPS"/>
    <s v="&quot;Najot Farm Plyus&quot; Mchj"/>
    <x v="0"/>
    <n v="100"/>
    <n v="40621"/>
    <n v="4062100"/>
    <n v="1500000"/>
    <m/>
    <n v="690557"/>
    <n v="2190557"/>
  </r>
  <r>
    <n v="2025"/>
    <n v="10"/>
    <d v="2025-10-13T00:00:00"/>
    <s v="PPS00008525"/>
    <s v="Камола опа (Тош)"/>
    <s v="Тошкент_Мохира опа"/>
    <s v="PPS"/>
    <s v="ООО &quot;Shohfarm&quot;"/>
    <x v="0"/>
    <n v="50"/>
    <n v="40621"/>
    <n v="2031050"/>
    <n v="750000"/>
    <m/>
    <n v="345278.5"/>
    <n v="1095278.5"/>
  </r>
  <r>
    <n v="2025"/>
    <n v="10"/>
    <d v="2025-10-14T00:00:00"/>
    <s v="PPS00008530"/>
    <s v="Камола опа (Тош)"/>
    <s v="Тошкент_Мохира опа"/>
    <s v="PPS"/>
    <s v="MCHJ Ezgu Niyat Ko`P Tarmoqli Tibbiyot Markazi"/>
    <x v="0"/>
    <n v="50"/>
    <n v="40621"/>
    <n v="2031050"/>
    <n v="750000"/>
    <m/>
    <n v="345278.5"/>
    <n v="1095278.5"/>
  </r>
  <r>
    <n v="2025"/>
    <n v="10"/>
    <d v="2025-10-14T00:00:00"/>
    <s v="PPS00008532"/>
    <s v="Нигора опа (Тош)"/>
    <s v="Тошкент_Мохира опа"/>
    <s v="PPS"/>
    <s v="World Of Medicine Mchj"/>
    <x v="0"/>
    <n v="50"/>
    <n v="40621"/>
    <n v="2031050"/>
    <n v="750000"/>
    <m/>
    <n v="345278.5"/>
    <n v="1095278.5"/>
  </r>
  <r>
    <n v="2025"/>
    <n v="10"/>
    <d v="2025-10-15T00:00:00"/>
    <s v="PPS00008568"/>
    <s v="Рано опа (Нав)"/>
    <s v="Навоий_Дильноза опа"/>
    <s v="PPS"/>
    <s v="&quot;Nurvita Pharm&quot; Mchj"/>
    <x v="0"/>
    <n v="60"/>
    <n v="40621"/>
    <n v="2437260"/>
    <n v="900000"/>
    <m/>
    <n v="414334.2"/>
    <n v="1314334.2"/>
  </r>
  <r>
    <n v="2025"/>
    <n v="10"/>
    <d v="2025-10-16T00:00:00"/>
    <s v="PPS00008598"/>
    <s v="Нигора опа (Тош)"/>
    <s v="Тошкент_Мохира опа"/>
    <s v="PPS"/>
    <s v="&quot;Mmm-Apteka&quot; Mchj"/>
    <x v="0"/>
    <n v="50"/>
    <n v="40621"/>
    <n v="2031050"/>
    <n v="750000"/>
    <m/>
    <n v="345278.5"/>
    <n v="1095278.5"/>
  </r>
  <r>
    <n v="2025"/>
    <n v="10"/>
    <d v="2025-10-16T00:00:00"/>
    <s v="PPS00008605"/>
    <s v="Дилноза опа (Жиз)"/>
    <s v="Жиззах_Саодат опа"/>
    <s v="PPS"/>
    <s v="&quot;Omad Sahovat Farm&quot; Xk"/>
    <x v="0"/>
    <n v="20"/>
    <n v="40621"/>
    <n v="812420"/>
    <n v="300000"/>
    <m/>
    <n v="138111.40000000002"/>
    <n v="438111.4"/>
  </r>
  <r>
    <n v="2025"/>
    <n v="10"/>
    <d v="2025-10-16T00:00:00"/>
    <s v="PPS00008624"/>
    <s v="Абдушукур ака (Сир)"/>
    <s v="Сирдарё_Фотима опа"/>
    <s v="PPS"/>
    <s v="ООО &quot;Shodlik-Mc&quot;"/>
    <x v="0"/>
    <n v="100"/>
    <n v="40621"/>
    <n v="4062100"/>
    <n v="1500000"/>
    <m/>
    <n v="690557"/>
    <n v="2190557"/>
  </r>
  <r>
    <n v="2025"/>
    <n v="10"/>
    <d v="2025-10-16T00:00:00"/>
    <s v="PPS00008634"/>
    <s v="Нигора опа (Тош)"/>
    <s v="Тошкент_Мохира опа"/>
    <s v="PPS"/>
    <s v="&quot;Millenium Medikal&quot; Mchj"/>
    <x v="0"/>
    <n v="100"/>
    <n v="40621"/>
    <n v="4062100"/>
    <n v="1500000"/>
    <m/>
    <n v="690557"/>
    <n v="2190557"/>
  </r>
  <r>
    <n v="2025"/>
    <n v="10"/>
    <d v="2025-10-17T00:00:00"/>
    <s v="PPS00008650"/>
    <s v="Сарвар ака (Срх)"/>
    <s v="Сурхондарьё_Сарвар ака"/>
    <s v="PPS"/>
    <s v="&quot;Sevara-Bio-Farm&quot; Xk"/>
    <x v="0"/>
    <n v="60"/>
    <n v="40621"/>
    <n v="2437260"/>
    <n v="900000"/>
    <m/>
    <n v="414334.2"/>
    <n v="1314334.2"/>
  </r>
  <r>
    <n v="2025"/>
    <n v="10"/>
    <d v="2025-10-17T00:00:00"/>
    <s v="PPS00008654"/>
    <s v="Шахло опа (Т.О)"/>
    <s v="Таш.Обл_Шахло опа"/>
    <s v="PPS"/>
    <s v="&quot;LIR&quot; XK"/>
    <x v="1"/>
    <n v="40"/>
    <n v="120000"/>
    <n v="4800000"/>
    <n v="1400000"/>
    <m/>
    <n v="816000.00000000012"/>
    <n v="2216000"/>
  </r>
  <r>
    <n v="2025"/>
    <n v="10"/>
    <d v="2025-10-20T00:00:00"/>
    <s v="PPS00008704"/>
    <s v="Рано опа (Нав)"/>
    <s v="Навоий_Дильноза опа"/>
    <s v="PPS"/>
    <s v="&quot;Grand-Medikal Center&quot; Mchj"/>
    <x v="0"/>
    <n v="100"/>
    <n v="40621"/>
    <n v="4062100"/>
    <n v="1500000"/>
    <m/>
    <n v="690557"/>
    <n v="2190557"/>
  </r>
  <r>
    <n v="2025"/>
    <n v="10"/>
    <d v="2025-10-20T00:00:00"/>
    <s v="PPS00008717"/>
    <s v="Рано опа (Нав)"/>
    <s v="Навоий_Дильноза опа"/>
    <s v="PPS"/>
    <s v="&quot;Navoiy Ultra Diagnostika&quot; Mchj"/>
    <x v="0"/>
    <n v="25"/>
    <n v="40621"/>
    <n v="1015525"/>
    <n v="375000"/>
    <m/>
    <n v="172639.25"/>
    <n v="547639.25"/>
  </r>
  <r>
    <n v="2025"/>
    <n v="10"/>
    <d v="2025-10-20T00:00:00"/>
    <s v="PPS00008738"/>
    <s v="Камола опа (Тош)"/>
    <s v="Тошкент_Мохира опа"/>
    <s v="PPS"/>
    <s v="&quot;Pharzam Pharm&quot; Mchj"/>
    <x v="0"/>
    <n v="50"/>
    <n v="40621"/>
    <n v="2031050"/>
    <n v="750000"/>
    <m/>
    <n v="345278.5"/>
    <n v="1095278.5"/>
  </r>
  <r>
    <n v="2025"/>
    <n v="10"/>
    <d v="2025-10-21T00:00:00"/>
    <s v="PPS00008752"/>
    <s v="Дурдона опа (Тош)"/>
    <s v="Тошкент_Мохира опа"/>
    <s v="PPS"/>
    <s v="&quot;Super Pharm&quot; Mchj"/>
    <x v="0"/>
    <n v="50"/>
    <n v="40621"/>
    <n v="2031050"/>
    <n v="750000"/>
    <m/>
    <n v="345278.5"/>
    <n v="1095278.5"/>
  </r>
  <r>
    <n v="2025"/>
    <n v="10"/>
    <d v="2025-10-21T00:00:00"/>
    <s v="PPS00008769"/>
    <s v="Чарос опа (Шах)"/>
    <s v="Шахрисабз_Мафтуна опа"/>
    <s v="PPS"/>
    <s v="&quot;TURDI RASULOVICH&quot; XK"/>
    <x v="1"/>
    <n v="100"/>
    <n v="120000"/>
    <n v="12000000"/>
    <n v="3500000"/>
    <m/>
    <n v="2040000.0000000002"/>
    <n v="5540000"/>
  </r>
  <r>
    <n v="2025"/>
    <n v="10"/>
    <d v="2025-10-21T00:00:00"/>
    <s v="PPS00008784"/>
    <s v="Шахло опа (Т.О)"/>
    <s v="Таш.Обл_Шахло опа"/>
    <s v="PPS"/>
    <s v="ООО &quot;Lukmoni-Xakim&quot;"/>
    <x v="1"/>
    <n v="20"/>
    <n v="120000"/>
    <n v="2400000"/>
    <n v="700000"/>
    <m/>
    <n v="408000.00000000006"/>
    <n v="1108000"/>
  </r>
  <r>
    <n v="2025"/>
    <n v="10"/>
    <d v="2025-10-23T00:00:00"/>
    <s v="PPS00008836"/>
    <s v="Дилноза опа (Жиз)"/>
    <s v="Жиззах_Саодат опа"/>
    <s v="PPS"/>
    <s v="&quot;Omad Sahovat Farm&quot; Xk"/>
    <x v="0"/>
    <n v="30"/>
    <n v="40621"/>
    <n v="1218630"/>
    <n v="450000"/>
    <m/>
    <n v="207167.1"/>
    <n v="657167.1"/>
  </r>
  <r>
    <n v="2025"/>
    <n v="10"/>
    <d v="2025-10-23T00:00:00"/>
    <s v="PPS00008867"/>
    <s v="Хуршид Ака 3 (Сам)"/>
    <s v="Самарканд_Хуршед ака"/>
    <s v="PPS"/>
    <s v="&quot;Benevitta&quot; Mchj"/>
    <x v="1"/>
    <n v="120"/>
    <n v="120000"/>
    <n v="14400000"/>
    <n v="4200000"/>
    <m/>
    <n v="2448000"/>
    <n v="6648000"/>
  </r>
  <r>
    <n v="2025"/>
    <n v="10"/>
    <d v="2025-10-23T00:00:00"/>
    <s v="PPS00008871"/>
    <s v="Дилноза опа (Жиз)"/>
    <s v="Жиззах_Саодат опа"/>
    <s v="PPS"/>
    <s v="&quot;Akobir Pharm 444&quot; Mchj"/>
    <x v="0"/>
    <n v="48"/>
    <n v="40621"/>
    <n v="1949808"/>
    <n v="720000"/>
    <m/>
    <n v="331467.36000000004"/>
    <n v="1051467.3600000001"/>
  </r>
  <r>
    <n v="2025"/>
    <n v="10"/>
    <d v="2025-10-23T00:00:00"/>
    <s v="PPS00008884"/>
    <s v="Дилноза опа (Жиз)"/>
    <s v="Жиззах_Саодат опа"/>
    <s v="PPS"/>
    <s v="&quot;Shaxizodaa Med&quot; Xk"/>
    <x v="0"/>
    <n v="10"/>
    <n v="40621"/>
    <n v="406210"/>
    <n v="150000"/>
    <m/>
    <n v="69055.700000000012"/>
    <n v="219055.7"/>
  </r>
  <r>
    <n v="2025"/>
    <n v="10"/>
    <d v="2025-10-24T00:00:00"/>
    <s v="PPS00008904"/>
    <s v="Нигора опа (Тош)"/>
    <s v="Тошкент_Мохира опа"/>
    <s v="PPS"/>
    <s v="&quot;Proxima&quot; Xk"/>
    <x v="0"/>
    <n v="50"/>
    <n v="40621"/>
    <n v="2031050"/>
    <n v="750000"/>
    <m/>
    <n v="345278.5"/>
    <n v="1095278.5"/>
  </r>
  <r>
    <n v="2025"/>
    <n v="10"/>
    <d v="2025-10-24T00:00:00"/>
    <s v="PPS00008908"/>
    <s v="Абдушукур ака (Сир)"/>
    <s v="Сирдарё_Фотима опа"/>
    <s v="PPS"/>
    <s v="&quot;Baxtiyor Turg'unovich&quot; Ktxf"/>
    <x v="0"/>
    <n v="100"/>
    <n v="40621"/>
    <n v="4062100"/>
    <n v="1500000"/>
    <m/>
    <n v="690557"/>
    <n v="2190557"/>
  </r>
  <r>
    <n v="2025"/>
    <n v="10"/>
    <d v="2025-10-27T00:00:00"/>
    <s v="PPS00008922"/>
    <s v="Шерзод ака (Т.О)"/>
    <s v="Таш.Обл_Шахло опа"/>
    <s v="PPS"/>
    <s v="&quot;111 Tabletok&quot; Mchj"/>
    <x v="1"/>
    <n v="20"/>
    <n v="120000"/>
    <n v="2400000"/>
    <n v="700000"/>
    <m/>
    <n v="408000.00000000006"/>
    <n v="1108000"/>
  </r>
  <r>
    <n v="2025"/>
    <n v="10"/>
    <d v="2025-10-27T00:00:00"/>
    <s v="PPS00008952"/>
    <s v="Абдушукур ака (Сир)"/>
    <s v="Сирдарё_Фотима опа"/>
    <s v="PPS"/>
    <s v="&quot;Rayim Farm Invest&quot; Mchj"/>
    <x v="0"/>
    <n v="30"/>
    <n v="40621"/>
    <n v="1218630"/>
    <n v="450000"/>
    <m/>
    <n v="207167.1"/>
    <n v="657167.1"/>
  </r>
  <r>
    <n v="2025"/>
    <n v="10"/>
    <d v="2025-10-28T00:00:00"/>
    <s v="PPS00009008"/>
    <s v="Абдушукур ака (Сир)"/>
    <s v="Сирдарё_Фотима опа"/>
    <s v="PPS"/>
    <s v="&quot;Shifobaxsh&quot; Xk"/>
    <x v="0"/>
    <n v="50"/>
    <n v="40621"/>
    <n v="2031050"/>
    <n v="750000"/>
    <m/>
    <n v="345278.5"/>
    <n v="1095278.5"/>
  </r>
  <r>
    <n v="2025"/>
    <n v="10"/>
    <d v="2025-10-30T00:00:00"/>
    <s v="PPS00009066"/>
    <s v="Рано опа (Нав)"/>
    <s v="Навоий_Дильноза опа"/>
    <s v="PPS"/>
    <s v="&quot;XUJAI-JAXON GRAND&quot; MChJ"/>
    <x v="0"/>
    <n v="50"/>
    <n v="40621"/>
    <n v="2031050"/>
    <n v="750000"/>
    <m/>
    <n v="345278.5"/>
    <n v="1095278.5"/>
  </r>
  <r>
    <n v="2025"/>
    <n v="10"/>
    <d v="2025-10-30T00:00:00"/>
    <s v="PPS00009069"/>
    <s v="Жавлон ака (Жиз)"/>
    <s v="Жиззах_Саодат опа"/>
    <s v="PPS"/>
    <s v="&quot;Usta Maxmud&quot;Xk"/>
    <x v="0"/>
    <n v="48"/>
    <n v="40621"/>
    <n v="1949808"/>
    <n v="720000"/>
    <m/>
    <n v="331467.36000000004"/>
    <n v="1051467.3600000001"/>
  </r>
  <r>
    <n v="2025"/>
    <n v="11"/>
    <d v="2025-11-03T00:00:00"/>
    <s v="PPS00009173"/>
    <s v="Шерзод ака (Т.О)"/>
    <s v="Таш.Обл_Шахло опа"/>
    <s v="PPS"/>
    <s v="&quot;ASROR-ShIFOKOR&quot; XK"/>
    <x v="1"/>
    <n v="10"/>
    <n v="120000"/>
    <n v="1200000"/>
    <n v="350000"/>
    <m/>
    <n v="204000.00000000003"/>
    <n v="554000"/>
  </r>
  <r>
    <n v="2025"/>
    <n v="11"/>
    <d v="2025-11-03T00:00:00"/>
    <s v="PPS00009175"/>
    <s v="Абдушукур ака (Сир)"/>
    <s v="Сирдарё_Фотима опа"/>
    <s v="PPS"/>
    <s v="ООО &quot;Shodlik-Mc&quot;"/>
    <x v="0"/>
    <n v="200"/>
    <n v="40621"/>
    <n v="8124200"/>
    <n v="3000000"/>
    <m/>
    <n v="1381114"/>
    <n v="4381114"/>
  </r>
  <r>
    <n v="2025"/>
    <n v="11"/>
    <d v="2025-11-04T00:00:00"/>
    <s v="PPS00009249"/>
    <s v="Шахноза опа (Кшд)"/>
    <s v="Кашкадарьё_Феруз ака"/>
    <s v="PPS"/>
    <s v="ЧП &quot;Malxam-Fayz-Dilxush &quot;"/>
    <x v="2"/>
    <n v="10"/>
    <n v="65000"/>
    <n v="650000"/>
    <n v="200000"/>
    <m/>
    <n v="110500.00000000001"/>
    <n v="310500"/>
  </r>
  <r>
    <n v="2025"/>
    <n v="11"/>
    <d v="2025-11-04T00:00:00"/>
    <s v="PPS00009253"/>
    <s v="Рано опа (Нав)"/>
    <s v="Навоий_Дильноза опа"/>
    <s v="PPS"/>
    <s v="&quot;Grand-Medikal Center&quot; Mchj"/>
    <x v="0"/>
    <n v="48"/>
    <n v="40621"/>
    <n v="1949808"/>
    <n v="720000"/>
    <m/>
    <n v="331467.36000000004"/>
    <n v="1051467.3600000001"/>
  </r>
  <r>
    <n v="2025"/>
    <n v="11"/>
    <d v="2025-11-05T00:00:00"/>
    <s v="PPS00009323"/>
    <s v="Нигора опа (Тош)"/>
    <s v="Тошкент_Мохира опа"/>
    <s v="PPS"/>
    <s v="&quot;Mmm-Apteka&quot; Mchj"/>
    <x v="0"/>
    <n v="30"/>
    <n v="40621"/>
    <n v="1218630"/>
    <n v="450000"/>
    <m/>
    <n v="207167.1"/>
    <n v="657167.1"/>
  </r>
  <r>
    <n v="2025"/>
    <n v="11"/>
    <d v="2025-11-06T00:00:00"/>
    <s v="PPS00009329"/>
    <s v="Дилноза опа (Жиз)"/>
    <s v="Жиззах_Саодат опа"/>
    <s v="PPS"/>
    <s v="&quot;Omad Sahovat Farm&quot; Xk"/>
    <x v="0"/>
    <n v="20"/>
    <n v="40621"/>
    <n v="812420"/>
    <n v="300000"/>
    <m/>
    <n v="138111.40000000002"/>
    <n v="438111.4"/>
  </r>
  <r>
    <n v="2025"/>
    <n v="11"/>
    <d v="2025-11-07T00:00:00"/>
    <s v="PPS00009388"/>
    <s v="Шахноза опа (Кшд)"/>
    <s v="Кашкадарьё_Феруз ака"/>
    <s v="PPS"/>
    <s v="&quot;Feru-Za Pharm&quot; Xk"/>
    <x v="2"/>
    <n v="20"/>
    <n v="65000"/>
    <n v="1300000"/>
    <n v="400000"/>
    <m/>
    <n v="221000.00000000003"/>
    <n v="621000"/>
  </r>
  <r>
    <n v="2025"/>
    <n v="11"/>
    <d v="2025-11-07T00:00:00"/>
    <s v="PPS00009396"/>
    <s v="Шерзод ака (Т.О)"/>
    <s v="Таш.Обл_Шахло опа"/>
    <s v="PPS"/>
    <s v="ООО &quot;Lukmoni-Xakim&quot;"/>
    <x v="1"/>
    <n v="50"/>
    <n v="120000"/>
    <n v="6000000"/>
    <n v="1750000"/>
    <m/>
    <n v="1020000.0000000001"/>
    <n v="2770000"/>
  </r>
  <r>
    <n v="2025"/>
    <n v="11"/>
    <d v="2025-11-10T00:00:00"/>
    <s v="PPS00009460"/>
    <s v="Жавлон ака (Жиз)"/>
    <s v="Жиззах_Саодат опа"/>
    <s v="PPS"/>
    <s v="SUNISTAR FARM"/>
    <x v="0"/>
    <n v="50"/>
    <n v="40621"/>
    <n v="2031050"/>
    <n v="750000"/>
    <m/>
    <n v="345278.5"/>
    <n v="1095278.5"/>
  </r>
  <r>
    <n v="2025"/>
    <n v="11"/>
    <d v="2025-11-11T00:00:00"/>
    <s v="PPS00009474"/>
    <s v="Рано опа (Нав)"/>
    <s v="Навоий_Дильноза опа"/>
    <s v="PPS"/>
    <s v="&quot;NAVOIY BINAFSHA&quot; XK"/>
    <x v="0"/>
    <n v="48"/>
    <n v="40621"/>
    <n v="1949808"/>
    <n v="720000"/>
    <m/>
    <n v="331467.36000000004"/>
    <n v="1051467.3600000001"/>
  </r>
  <r>
    <n v="2025"/>
    <n v="11"/>
    <d v="2025-11-11T00:00:00"/>
    <s v="PPS00009501"/>
    <s v="Фотима опа (Сир)"/>
    <s v="Сирдарё_Фотима опа"/>
    <s v="PPS"/>
    <s v="&quot;Shifobaxsh&quot; Xk"/>
    <x v="0"/>
    <n v="50"/>
    <n v="40621"/>
    <n v="2031050"/>
    <n v="750000"/>
    <m/>
    <n v="345278.5"/>
    <n v="1095278.5"/>
  </r>
  <r>
    <n v="2025"/>
    <n v="11"/>
    <d v="2025-11-11T00:00:00"/>
    <s v="PPS00009503"/>
    <s v="Рустам ака (Т.О)"/>
    <s v="Таш,Обл_Рустам ака"/>
    <s v="PPS"/>
    <s v="&quot;FARTUNA-RAMZ-FARM&quot; MChJ"/>
    <x v="0"/>
    <n v="10"/>
    <n v="40621"/>
    <n v="406210"/>
    <n v="150000"/>
    <m/>
    <n v="69055.700000000012"/>
    <n v="219055.7"/>
  </r>
  <r>
    <n v="2025"/>
    <n v="11"/>
    <d v="2025-11-11T00:00:00"/>
    <s v="PPS00009510"/>
    <s v="Шахло опа (Т.О)"/>
    <s v="Таш.Обл_Шахло опа"/>
    <s v="PPS"/>
    <s v="&quot;FERUZ PHARM-SERVICE&quot; MChJ"/>
    <x v="1"/>
    <n v="10"/>
    <n v="120000"/>
    <n v="1200000"/>
    <n v="350000"/>
    <m/>
    <n v="204000.00000000003"/>
    <n v="554000"/>
  </r>
  <r>
    <n v="2025"/>
    <n v="11"/>
    <d v="2025-11-11T00:00:00"/>
    <s v="PPS00009519"/>
    <s v="Шахноза опа (Кшд)"/>
    <s v="Кашкадарьё_Феруз ака"/>
    <s v="PPS"/>
    <s v="&quot;AL NASAFIY KAFOLAT FARM&quot; MChJ"/>
    <x v="2"/>
    <n v="20"/>
    <n v="65000"/>
    <n v="1300000"/>
    <n v="400000"/>
    <m/>
    <n v="221000.00000000003"/>
    <n v="621000"/>
  </r>
  <r>
    <n v="2025"/>
    <n v="11"/>
    <d v="2025-11-11T00:00:00"/>
    <s v="PPS00009523"/>
    <s v="Шахноза опа (Кшд)"/>
    <s v="Кашкадарьё_Феруз ака"/>
    <s v="PPS"/>
    <s v="&quot;Gullola Media Farm&quot; Xk"/>
    <x v="2"/>
    <n v="10"/>
    <n v="65000"/>
    <n v="650000"/>
    <n v="200000"/>
    <m/>
    <n v="110500.00000000001"/>
    <n v="310500"/>
  </r>
  <r>
    <n v="2025"/>
    <n v="11"/>
    <d v="2025-11-11T00:00:00"/>
    <s v="PPS00009525"/>
    <s v="Шахноза опа (Кшд)"/>
    <s v="Кашкадарьё_Феруз ака"/>
    <s v="PPS"/>
    <s v="&quot;Mitti Farm Med Servis&quot; Mchj"/>
    <x v="2"/>
    <n v="20"/>
    <n v="65000"/>
    <n v="1300000"/>
    <n v="400000"/>
    <m/>
    <n v="221000.00000000003"/>
    <n v="621000"/>
  </r>
  <r>
    <n v="2025"/>
    <n v="11"/>
    <d v="2025-11-12T00:00:00"/>
    <s v="PPS00009551"/>
    <s v="Фотима опа (Сир)"/>
    <s v="Сирдарё_Фотима опа"/>
    <s v="PPS"/>
    <s v="ООО &quot;Behzod-Farm-Yangiyer&quot;"/>
    <x v="0"/>
    <n v="50"/>
    <n v="40621"/>
    <n v="2031050"/>
    <n v="750000"/>
    <m/>
    <n v="345278.5"/>
    <n v="1095278.5"/>
  </r>
  <r>
    <n v="2025"/>
    <n v="11"/>
    <d v="2025-11-12T00:00:00"/>
    <s v="PPS00009559"/>
    <s v="Рано опа (Нав)"/>
    <s v="Навоий_Дильноза опа"/>
    <s v="PPS"/>
    <s v="&quot;Faxriddin-Farm Navoiy&quot; Xk"/>
    <x v="0"/>
    <n v="30"/>
    <n v="40621"/>
    <n v="1218630"/>
    <n v="450000"/>
    <m/>
    <n v="207167.1"/>
    <n v="657167.1"/>
  </r>
  <r>
    <n v="2025"/>
    <n v="11"/>
    <d v="2025-11-13T00:00:00"/>
    <s v="PPS00009593"/>
    <s v="Рано опа (Нав)"/>
    <s v="Навоий_Дильноза опа"/>
    <s v="PPS"/>
    <s v="&quot;FITO-FARM-LEK&quot; MChJ"/>
    <x v="0"/>
    <n v="39"/>
    <n v="40621"/>
    <n v="1584219"/>
    <n v="585000"/>
    <m/>
    <n v="269317.23000000004"/>
    <n v="854317.23"/>
  </r>
  <r>
    <n v="2025"/>
    <n v="11"/>
    <d v="2025-11-13T00:00:00"/>
    <s v="PPS00009598"/>
    <s v="Дилноза опа (Жиз)"/>
    <s v="Жиззах_Саодат опа"/>
    <s v="PPS"/>
    <s v="&quot;Usta Maxmud&quot;Xk"/>
    <x v="0"/>
    <n v="70"/>
    <n v="40621"/>
    <n v="2843470"/>
    <n v="1050000"/>
    <m/>
    <n v="483389.9"/>
    <n v="1533389.9"/>
  </r>
  <r>
    <n v="2025"/>
    <n v="11"/>
    <d v="2025-11-14T00:00:00"/>
    <s v="PPS00009638"/>
    <s v="Шерзод ака (Т.О)"/>
    <s v="Таш.Обл_Шахло опа"/>
    <s v="PPS"/>
    <s v="&quot;PLATINUM OPTIMA SERVICE&quot; MChJ"/>
    <x v="1"/>
    <n v="20"/>
    <n v="120000"/>
    <n v="2400000"/>
    <n v="700000"/>
    <m/>
    <n v="408000.00000000006"/>
    <n v="1108000"/>
  </r>
  <r>
    <n v="2025"/>
    <n v="11"/>
    <d v="2025-11-14T00:00:00"/>
    <s v="PPS00009639"/>
    <s v="Фотима опа (Сир)"/>
    <s v="Сирдарё_Фотима опа"/>
    <s v="PPS"/>
    <s v="&quot;Soliboy Biznes Hamkor&quot; Mchj"/>
    <x v="0"/>
    <n v="100"/>
    <n v="40621"/>
    <n v="4062100"/>
    <n v="1500000"/>
    <m/>
    <n v="690557"/>
    <n v="2190557"/>
  </r>
  <r>
    <n v="2025"/>
    <n v="11"/>
    <d v="2025-11-14T00:00:00"/>
    <s v="PPS00009645"/>
    <s v="Рано опа (Нав)"/>
    <s v="Навоий_Дильноза опа"/>
    <s v="PPS"/>
    <s v="&quot;Navoiy Ultra Diagnostika&quot; Mchj"/>
    <x v="0"/>
    <n v="20"/>
    <n v="40621"/>
    <n v="812420"/>
    <n v="300000"/>
    <m/>
    <n v="138111.40000000002"/>
    <n v="438111.4"/>
  </r>
  <r>
    <n v="2025"/>
    <n v="11"/>
    <d v="2025-11-14T00:00:00"/>
    <s v="PPS00009660"/>
    <s v="Чарос опа (Шах)"/>
    <s v="Шахрисабз_Мафтуна опа"/>
    <s v="PPS"/>
    <s v="&quot;Jasmin-Farangiz&quot; Xk"/>
    <x v="1"/>
    <n v="3"/>
    <n v="120000"/>
    <n v="360000"/>
    <n v="105000"/>
    <m/>
    <n v="61200.000000000007"/>
    <n v="166200"/>
  </r>
  <r>
    <n v="2025"/>
    <n v="11"/>
    <d v="2025-11-17T00:00:00"/>
    <s v="PPS00009664"/>
    <s v="Рано опа (Нав)"/>
    <s v="Навоий_Дильноза опа"/>
    <s v="PPS"/>
    <s v="&quot;Sof Dori Farm&quot; Mchj"/>
    <x v="0"/>
    <n v="33"/>
    <n v="40621"/>
    <n v="1340493"/>
    <n v="495000"/>
    <m/>
    <n v="227883.81000000003"/>
    <n v="722883.81"/>
  </r>
  <r>
    <n v="2025"/>
    <n v="11"/>
    <d v="2025-11-17T00:00:00"/>
    <s v="PPS00009670"/>
    <s v="Жавлон ака (Жиз)"/>
    <s v="Жиззах_Саодат опа"/>
    <s v="PPS"/>
    <s v="MCHJ Saxob-Uchqun Farm"/>
    <x v="0"/>
    <n v="60"/>
    <n v="40621"/>
    <n v="2437260"/>
    <n v="900000"/>
    <m/>
    <n v="414334.2"/>
    <n v="1314334.2"/>
  </r>
  <r>
    <n v="2025"/>
    <n v="11"/>
    <d v="2025-11-17T00:00:00"/>
    <s v="PPS00009688"/>
    <s v="Дилноза опа (Жиз)"/>
    <s v="Жиззах_Саодат опа"/>
    <s v="PPS"/>
    <s v="&quot;Malxam-2&quot; Xk"/>
    <x v="0"/>
    <n v="10"/>
    <n v="40621"/>
    <n v="406210"/>
    <n v="150000"/>
    <m/>
    <n v="69055.700000000012"/>
    <n v="219055.7"/>
  </r>
  <r>
    <n v="2025"/>
    <n v="11"/>
    <d v="2025-11-17T00:00:00"/>
    <s v="PPS00009717"/>
    <s v="Хилола опа (Сир)"/>
    <s v="Сирдарё_Фотима опа"/>
    <s v="PPS"/>
    <s v="&quot;RUSTAMBEK-J.B.B&quot; XK"/>
    <x v="0"/>
    <n v="30"/>
    <n v="40621"/>
    <n v="1218630"/>
    <n v="450000"/>
    <m/>
    <n v="207167.1"/>
    <n v="657167.1"/>
  </r>
  <r>
    <n v="2025"/>
    <n v="11"/>
    <d v="2025-11-17T00:00:00"/>
    <s v="PPS00009728"/>
    <s v="Дилноза опа (Жиз)"/>
    <s v="Жиззах_Саодат опа"/>
    <s v="PPS"/>
    <s v="&quot;Antidard Pharm&quot; Mchj"/>
    <x v="0"/>
    <n v="10"/>
    <n v="40621"/>
    <n v="406210"/>
    <n v="150000"/>
    <m/>
    <n v="69055.700000000012"/>
    <n v="219055.7"/>
  </r>
  <r>
    <n v="2025"/>
    <n v="11"/>
    <d v="2025-11-17T00:00:00"/>
    <s v="PPS00009732"/>
    <s v="Сарвар ака (Срх)"/>
    <s v="Сурхондарьё_Сарвар ака"/>
    <s v="PPS"/>
    <s v="&quot;Ugiloy Farm&quot; Xk"/>
    <x v="0"/>
    <n v="60"/>
    <n v="40621"/>
    <n v="2437260"/>
    <n v="900000"/>
    <m/>
    <n v="414334.2"/>
    <n v="1314334.2"/>
  </r>
  <r>
    <n v="2025"/>
    <n v="11"/>
    <d v="2025-11-18T00:00:00"/>
    <s v="PPS00009773"/>
    <s v="Хилола опа (Сир)"/>
    <s v="Сирдарё_Фотима опа"/>
    <s v="PPS"/>
    <s v="&quot;Yaqin Pharm&quot; Mchj"/>
    <x v="0"/>
    <n v="50"/>
    <n v="40621"/>
    <n v="2031050"/>
    <n v="750000"/>
    <m/>
    <n v="345278.5"/>
    <n v="1095278.5"/>
  </r>
  <r>
    <n v="2025"/>
    <n v="11"/>
    <d v="2025-11-18T00:00:00"/>
    <s v="PPS00009789"/>
    <s v="Сардор ака (Т.О)"/>
    <s v="Таш.Обл_Шахло опа"/>
    <s v="PPS"/>
    <s v="&quot;TO'YTEPA MED FARM&quot; MChJ"/>
    <x v="1"/>
    <n v="10"/>
    <n v="120000"/>
    <n v="1200000"/>
    <n v="350000"/>
    <m/>
    <n v="204000.00000000003"/>
    <n v="554000"/>
  </r>
  <r>
    <n v="2025"/>
    <n v="11"/>
    <d v="2025-11-18T00:00:00"/>
    <s v="PPS00009798"/>
    <s v="Рано опа (Нав)"/>
    <s v="Навоий_Дильноза опа"/>
    <s v="PPS"/>
    <s v="&quot;Grand-Medikal Center&quot; Mchj"/>
    <x v="0"/>
    <n v="120"/>
    <n v="40621"/>
    <n v="4874520"/>
    <n v="1800000"/>
    <m/>
    <n v="828668.4"/>
    <n v="2628668.4"/>
  </r>
  <r>
    <n v="2025"/>
    <n v="11"/>
    <d v="2025-11-20T00:00:00"/>
    <s v="PPS00009856"/>
    <s v="Дилноза опа (Жиз)"/>
    <s v="Жиззах_Саодат опа"/>
    <s v="PPS"/>
    <s v="&quot;Usta Maxmud&quot;Xk"/>
    <x v="0"/>
    <n v="70"/>
    <n v="40621"/>
    <n v="2843470"/>
    <n v="1050000"/>
    <m/>
    <n v="483389.9"/>
    <n v="1533389.9"/>
  </r>
  <r>
    <n v="2025"/>
    <n v="11"/>
    <d v="2025-11-20T00:00:00"/>
    <s v="PPS00009880"/>
    <s v="Шахноза опа (Кшд)"/>
    <s v="Кашкадарьё_Феруз ака"/>
    <s v="PPS"/>
    <s v="ЧП &quot;Malxam-Fayz-Dilxush &quot;"/>
    <x v="2"/>
    <n v="20"/>
    <n v="65000"/>
    <n v="1300000"/>
    <n v="400000"/>
    <m/>
    <n v="221000.00000000003"/>
    <n v="621000"/>
  </r>
  <r>
    <n v="2025"/>
    <n v="11"/>
    <d v="2025-11-20T00:00:00"/>
    <s v="PPS00009896"/>
    <s v="Дилноза опа (Нав)"/>
    <s v="Навоий_Дильноза опа"/>
    <s v="PPS"/>
    <s v="&quot;Azizjon Gulruxxon&quot; Xk"/>
    <x v="0"/>
    <n v="30"/>
    <n v="40621"/>
    <n v="1218630"/>
    <n v="450000"/>
    <m/>
    <n v="207167.1"/>
    <n v="657167.1"/>
  </r>
  <r>
    <n v="2025"/>
    <n v="11"/>
    <d v="2025-11-20T00:00:00"/>
    <s v="PPS00009899"/>
    <s v="Лобархон опа (Тош)"/>
    <s v="Тошкент_Мохира опа"/>
    <s v="PPS"/>
    <s v="&quot;Ko‘k-Saroy N A Hospital&quot; Mchj"/>
    <x v="0"/>
    <n v="96"/>
    <n v="40621"/>
    <n v="3899616"/>
    <n v="1440000"/>
    <m/>
    <n v="662934.72000000009"/>
    <n v="2102934.7200000002"/>
  </r>
  <r>
    <n v="2025"/>
    <n v="11"/>
    <d v="2025-11-20T00:00:00"/>
    <s v="PPS00009900"/>
    <s v="Хилола опа (Сир)"/>
    <s v="Сирдарё_Фотима опа"/>
    <s v="PPS"/>
    <s v="MCHJ Askarbinka Vitaminka"/>
    <x v="0"/>
    <n v="50"/>
    <n v="40621"/>
    <n v="2031050"/>
    <n v="750000"/>
    <m/>
    <n v="345278.5"/>
    <n v="1095278.5"/>
  </r>
  <r>
    <n v="2025"/>
    <n v="11"/>
    <d v="2025-11-20T00:00:00"/>
    <s v="PPS00009914"/>
    <s v="Рано опа (Нав)"/>
    <s v="Навоий_Дильноза опа"/>
    <s v="PPS"/>
    <s v="&quot;Nurvita Pharm&quot; Mchj"/>
    <x v="0"/>
    <n v="30"/>
    <n v="40621"/>
    <n v="1218630"/>
    <n v="450000"/>
    <m/>
    <n v="207167.1"/>
    <n v="657167.1"/>
  </r>
  <r>
    <n v="2025"/>
    <n v="11"/>
    <d v="2025-11-20T00:00:00"/>
    <s v="PPS00009917"/>
    <s v="Рано опа (Нав)"/>
    <s v="Навоий_Дильноза опа"/>
    <s v="PPS"/>
    <s v="&quot;Faxriddin-Farm Navoiy&quot; Xk"/>
    <x v="0"/>
    <n v="30"/>
    <n v="40621"/>
    <n v="1218630"/>
    <n v="450000"/>
    <m/>
    <n v="207167.1"/>
    <n v="657167.1"/>
  </r>
  <r>
    <n v="2025"/>
    <n v="11"/>
    <d v="2025-11-21T00:00:00"/>
    <s v="PPS00009933"/>
    <s v="Рано опа (Нав)"/>
    <s v="Навоий_Дильноза опа"/>
    <s v="PPS"/>
    <s v="&quot;Mubina Orzusi 2022&quot; Mchj"/>
    <x v="0"/>
    <n v="50"/>
    <n v="40621"/>
    <n v="2031050"/>
    <n v="750000"/>
    <m/>
    <n v="345278.5"/>
    <n v="1095278.5"/>
  </r>
  <r>
    <n v="2025"/>
    <n v="11"/>
    <d v="2025-11-24T00:00:00"/>
    <s v="PPS00009951"/>
    <s v="Рано опа (Нав)"/>
    <s v="Навоий_Дильноза опа"/>
    <s v="PPS"/>
    <s v="&quot;Grant Farm   Plyus&quot; Mchj"/>
    <x v="0"/>
    <n v="10"/>
    <n v="40621"/>
    <n v="406210"/>
    <n v="150000"/>
    <m/>
    <n v="69055.700000000012"/>
    <n v="219055.7"/>
  </r>
  <r>
    <n v="2025"/>
    <n v="11"/>
    <d v="2025-11-24T00:00:00"/>
    <s v="PPS00009978"/>
    <s v="Дилноза опа (Жиз)"/>
    <s v="Жиззах_Саодат опа"/>
    <s v="PPS"/>
    <s v="&quot;Akobir Pharm 444&quot; Mchj"/>
    <x v="0"/>
    <n v="50"/>
    <n v="40621"/>
    <n v="2031050"/>
    <n v="750000"/>
    <m/>
    <n v="345278.5"/>
    <n v="1095278.5"/>
  </r>
  <r>
    <n v="2025"/>
    <n v="11"/>
    <d v="2025-11-24T00:00:00"/>
    <s v="PPS00009983"/>
    <s v="Нигора опа (Тош)"/>
    <s v="Тошкент_Мохира опа"/>
    <s v="PPS"/>
    <s v="&quot;Mmm-Apteka&quot; Mchj"/>
    <x v="0"/>
    <n v="30"/>
    <n v="40621"/>
    <n v="1218630"/>
    <n v="450000"/>
    <m/>
    <n v="207167.1"/>
    <n v="657167.1"/>
  </r>
  <r>
    <n v="2025"/>
    <n v="11"/>
    <d v="2025-11-24T00:00:00"/>
    <s v="PPS00009999"/>
    <s v="Дилноза опа (Жиз)"/>
    <s v="Жиззах_Саодат опа"/>
    <s v="PPS"/>
    <s v="SUNISTAR FARM"/>
    <x v="0"/>
    <n v="50"/>
    <n v="40621"/>
    <n v="2031050"/>
    <n v="750000"/>
    <m/>
    <n v="345278.5"/>
    <n v="1095278.5"/>
  </r>
  <r>
    <n v="2025"/>
    <n v="11"/>
    <d v="2025-11-24T00:00:00"/>
    <s v="PPS00010012"/>
    <s v="Шерзод ака (Т.О)"/>
    <s v="Таш.Обл_Шахло опа"/>
    <s v="PPS"/>
    <s v="&quot;111 Tabletok&quot; Mchj"/>
    <x v="1"/>
    <n v="20"/>
    <n v="120000"/>
    <n v="2400000"/>
    <n v="700000"/>
    <m/>
    <n v="408000.00000000006"/>
    <n v="1108000"/>
  </r>
  <r>
    <n v="2025"/>
    <n v="11"/>
    <d v="2025-11-24T00:00:00"/>
    <s v="PPS00010021"/>
    <s v="Жавлон ака (Жиз)"/>
    <s v="Жиззах_Саодат опа"/>
    <s v="PPS"/>
    <s v="ООО &quot;Zuhur Farm&quot;"/>
    <x v="0"/>
    <n v="16"/>
    <n v="40621"/>
    <n v="649936"/>
    <n v="240000"/>
    <m/>
    <n v="110489.12000000001"/>
    <n v="350489.12"/>
  </r>
  <r>
    <n v="2025"/>
    <n v="11"/>
    <d v="2025-11-24T00:00:00"/>
    <s v="PPS00010021"/>
    <s v="Жавлон ака (Жиз)"/>
    <s v="Жиззах_Саодат опа"/>
    <s v="PPS"/>
    <s v="ООО &quot;Zuhur Farm&quot;"/>
    <x v="0"/>
    <n v="4"/>
    <n v="36955.08"/>
    <n v="147820.32"/>
    <n v="60000"/>
    <m/>
    <n v="25129.454400000002"/>
    <n v="85129.454400000002"/>
  </r>
  <r>
    <n v="2025"/>
    <n v="11"/>
    <d v="2025-11-24T00:00:00"/>
    <s v="PPS00010026"/>
    <s v="Рано опа (Нав)"/>
    <s v="Навоий_Дильноза опа"/>
    <s v="PPS"/>
    <s v="&quot;Navoiy Farm 999&quot; Mchj"/>
    <x v="0"/>
    <n v="40"/>
    <n v="40621"/>
    <n v="1624840"/>
    <n v="600000"/>
    <m/>
    <n v="276222.80000000005"/>
    <n v="876222.8"/>
  </r>
  <r>
    <n v="2025"/>
    <n v="11"/>
    <d v="2025-11-25T00:00:00"/>
    <s v="PPS00010055"/>
    <s v="Отабек ака (Шах)"/>
    <s v="Кашкадарьё_Феруз ака"/>
    <s v="PPS"/>
    <s v="&quot;Pharma Plus&quot; Mchj"/>
    <x v="2"/>
    <n v="50"/>
    <n v="65000"/>
    <n v="3250000"/>
    <n v="1000000"/>
    <m/>
    <n v="552500"/>
    <n v="1552500"/>
  </r>
  <r>
    <n v="2025"/>
    <n v="12"/>
    <d v="2025-12-01T00:00:00"/>
    <s v="PPS00010215"/>
    <s v="Рано опа (Нав)"/>
    <s v="Навоий_Дильноза опа"/>
    <s v="PPS"/>
    <s v="&quot;Navoiy Farm 999&quot; Mchj"/>
    <x v="0"/>
    <n v="100"/>
    <n v="40621"/>
    <n v="4062100"/>
    <n v="1500000"/>
    <m/>
    <n v="690557"/>
    <n v="2190557"/>
  </r>
  <r>
    <n v="2025"/>
    <n v="12"/>
    <d v="2025-12-01T00:00:00"/>
    <s v="PPS00010219"/>
    <s v="Рано опа (Нав)"/>
    <s v="Навоий_Дильноза опа"/>
    <s v="PPS"/>
    <s v="&quot;Azizjon Gulruxxon&quot; Xk"/>
    <x v="0"/>
    <n v="20"/>
    <n v="40621"/>
    <n v="812420"/>
    <n v="300000"/>
    <m/>
    <n v="138111.40000000002"/>
    <n v="438111.4"/>
  </r>
  <r>
    <n v="2025"/>
    <n v="12"/>
    <d v="2025-12-01T00:00:00"/>
    <s v="PPS00010228"/>
    <s v="Сарвар ака (Срх)"/>
    <s v="Сурхондарьё_Сарвар ака"/>
    <s v="PPS"/>
    <s v="&quot;ZAMIN-FARM-SIFAT&quot; MChJ"/>
    <x v="0"/>
    <n v="60"/>
    <n v="40621"/>
    <n v="2437260"/>
    <n v="900000"/>
    <m/>
    <n v="414334.2"/>
    <n v="1314334.2"/>
  </r>
  <r>
    <n v="2025"/>
    <n v="12"/>
    <d v="2025-12-02T00:00:00"/>
    <s v="PPS00010267"/>
    <s v="Лобархон опа (Тош)"/>
    <s v="Тошкент_Мохира опа"/>
    <s v="PPS"/>
    <s v="&quot;Biosfera Farm&quot; Mchj"/>
    <x v="0"/>
    <n v="20"/>
    <n v="40621"/>
    <n v="812420"/>
    <n v="300000"/>
    <m/>
    <n v="138111.40000000002"/>
    <n v="438111.4"/>
  </r>
  <r>
    <n v="2025"/>
    <n v="12"/>
    <d v="2025-12-03T00:00:00"/>
    <s v="PPS00010283"/>
    <s v="Дилноза опа (Нав)"/>
    <s v="Навоий_Дильноза опа"/>
    <s v="PPS"/>
    <s v="&quot;Grant Farm   Plyus&quot; Mchj"/>
    <x v="0"/>
    <n v="10"/>
    <n v="40621"/>
    <n v="406210"/>
    <n v="150000"/>
    <m/>
    <n v="69055.700000000012"/>
    <n v="219055.7"/>
  </r>
  <r>
    <n v="2025"/>
    <n v="12"/>
    <d v="2025-12-03T00:00:00"/>
    <s v="PPS00010286"/>
    <s v="Шахноза опа (Кшд)"/>
    <s v="Кашкадарьё_Феруз ака"/>
    <s v="PPS"/>
    <s v="&quot;Feru-Za Pharm&quot; Xk"/>
    <x v="2"/>
    <n v="30"/>
    <n v="65000"/>
    <n v="1950000"/>
    <n v="600000"/>
    <m/>
    <n v="331500"/>
    <n v="931500"/>
  </r>
  <r>
    <n v="2025"/>
    <n v="12"/>
    <d v="2025-12-04T00:00:00"/>
    <s v="PPS00010312"/>
    <s v="Сарвар ака (Срх)"/>
    <s v="Сурхондарьё_Сарвар ака"/>
    <s v="PPS"/>
    <s v="&quot;Doktor-Bek-Farm&quot; Mchj"/>
    <x v="0"/>
    <n v="60"/>
    <n v="40621"/>
    <n v="2437260"/>
    <n v="900000"/>
    <m/>
    <n v="414334.2"/>
    <n v="1314334.2"/>
  </r>
  <r>
    <n v="2025"/>
    <n v="12"/>
    <d v="2025-12-04T00:00:00"/>
    <s v="PPS00010303"/>
    <s v="Лобархон опа (Тош)"/>
    <s v="Тошкент_Мохира опа"/>
    <s v="PPS"/>
    <s v="&quot;Parus-Med-Farm&quot; Mchj"/>
    <x v="0"/>
    <n v="10"/>
    <n v="40621"/>
    <n v="406210"/>
    <n v="150000"/>
    <m/>
    <n v="69055.700000000012"/>
    <n v="219055.7"/>
  </r>
  <r>
    <n v="2025"/>
    <n v="12"/>
    <d v="2025-12-04T00:00:00"/>
    <s v="PPS00010325"/>
    <s v="Дилноза опа (Нав)"/>
    <s v="Навоий_Дильноза опа"/>
    <s v="PPS"/>
    <s v="&quot;FAYZ SADULLO&quot; MChJ"/>
    <x v="0"/>
    <n v="20"/>
    <n v="40621"/>
    <n v="812420"/>
    <n v="300000"/>
    <m/>
    <n v="138111.40000000002"/>
    <n v="438111.4"/>
  </r>
  <r>
    <n v="2025"/>
    <n v="12"/>
    <d v="2025-12-04T00:00:00"/>
    <s v="PPS00010329"/>
    <s v="Рано опа (Нав)"/>
    <s v="Навоий_Дильноза опа"/>
    <s v="PPS"/>
    <s v="&quot;Vita Pharm Navoiy&quot; Mchj"/>
    <x v="0"/>
    <n v="20"/>
    <n v="40621"/>
    <n v="812420"/>
    <n v="300000"/>
    <m/>
    <n v="138111.40000000002"/>
    <n v="438111.4"/>
  </r>
  <r>
    <n v="2025"/>
    <n v="12"/>
    <d v="2025-12-05T00:00:00"/>
    <s v="PPS00010343"/>
    <s v="Отабек ака (Шах)"/>
    <s v="Кашкадарьё_Феруз ака"/>
    <s v="PPS"/>
    <s v="&quot;HOJAT-NUR-FARM&quot; XK"/>
    <x v="2"/>
    <n v="10"/>
    <n v="65000"/>
    <n v="650000"/>
    <n v="200000"/>
    <m/>
    <n v="110500.00000000001"/>
    <n v="310500"/>
  </r>
  <r>
    <n v="2025"/>
    <n v="12"/>
    <d v="2025-12-05T00:00:00"/>
    <s v="PPS00010354"/>
    <s v="Нозими опа (Бух)"/>
    <s v="Бухоро_Рустам ака"/>
    <s v="PPS"/>
    <s v="&quot;Al-Aziz Ayubhon&quot; Mchj"/>
    <x v="0"/>
    <n v="50"/>
    <n v="40621"/>
    <n v="2031050"/>
    <n v="750000"/>
    <m/>
    <n v="345278.5"/>
    <n v="1095278.5"/>
  </r>
  <r>
    <n v="2025"/>
    <n v="12"/>
    <d v="2025-12-05T00:00:00"/>
    <s v="PPS00010372"/>
    <s v="Рано опа (Нав)"/>
    <s v="Навоий_Дильноза опа"/>
    <s v="PPS"/>
    <s v="&quot;XUJAI-JAXON GRAND&quot; MChJ"/>
    <x v="0"/>
    <n v="40"/>
    <n v="40621"/>
    <n v="1624840"/>
    <n v="600000"/>
    <m/>
    <n v="276222.80000000005"/>
    <n v="876222.8"/>
  </r>
  <r>
    <n v="2025"/>
    <n v="12"/>
    <d v="2025-12-09T00:00:00"/>
    <s v="PPS00010377"/>
    <s v="Сарвар ака (Срх)"/>
    <s v="Сурхондарьё_Сарвар ака"/>
    <s v="PPS"/>
    <s v="&quot;Fazliddin-Biznes&quot; Xk"/>
    <x v="0"/>
    <n v="60"/>
    <n v="40621"/>
    <n v="2437260"/>
    <n v="900000"/>
    <m/>
    <n v="414334.2"/>
    <n v="1314334.2"/>
  </r>
  <r>
    <n v="2025"/>
    <n v="12"/>
    <d v="2025-12-09T00:00:00"/>
    <s v="PPS00010384"/>
    <s v="Жавлон ака (Жиз)"/>
    <s v="Жиззах_Саодат опа"/>
    <s v="PPS"/>
    <s v="ООО &quot;Zuhur Farm&quot;"/>
    <x v="0"/>
    <n v="48"/>
    <n v="40621"/>
    <n v="1949808"/>
    <n v="720000"/>
    <m/>
    <n v="331467.36000000004"/>
    <n v="1051467.3600000001"/>
  </r>
  <r>
    <n v="2025"/>
    <n v="12"/>
    <d v="2025-12-09T00:00:00"/>
    <s v="PPS00010387"/>
    <s v="Дилноза опа (Жиз)"/>
    <s v="Жиззах_Саодат опа"/>
    <s v="PPS"/>
    <s v="&quot;Usta Maxmud&quot;Xk"/>
    <x v="0"/>
    <n v="70"/>
    <n v="40621"/>
    <n v="2843470"/>
    <n v="1050000"/>
    <m/>
    <n v="483389.9"/>
    <n v="1533389.9"/>
  </r>
  <r>
    <n v="2025"/>
    <n v="12"/>
    <d v="2025-12-09T00:00:00"/>
    <s v="PPS00010393"/>
    <s v="Дилноза опа (Жиз)"/>
    <s v="Жиззах_Саодат опа"/>
    <s v="PPS"/>
    <s v="&quot;Omad Sahovat Farm&quot; Xk"/>
    <x v="0"/>
    <n v="20"/>
    <n v="40621"/>
    <n v="812420"/>
    <n v="300000"/>
    <m/>
    <n v="138111.40000000002"/>
    <n v="438111.4"/>
  </r>
  <r>
    <n v="2025"/>
    <n v="12"/>
    <d v="2025-12-09T00:00:00"/>
    <s v="PPS00010400"/>
    <s v="Дилноза опа (Нав)"/>
    <s v="Навоий_Дильноза опа"/>
    <s v="PPS"/>
    <s v="&quot;Sandi Farm&quot; Mchj"/>
    <x v="0"/>
    <n v="20"/>
    <n v="40621"/>
    <n v="812420"/>
    <n v="300000"/>
    <m/>
    <n v="138111.40000000002"/>
    <n v="438111.4"/>
  </r>
  <r>
    <n v="2025"/>
    <n v="12"/>
    <d v="2025-12-09T00:00:00"/>
    <s v="PPS00010410"/>
    <s v="Шахноза опа (Кшд)"/>
    <s v="Кашкадарьё_Феруз ака"/>
    <s v="PPS"/>
    <s v="&quot;Азиз-М&quot;Хусусий Фирмаси"/>
    <x v="2"/>
    <n v="20"/>
    <n v="65000"/>
    <n v="1300000"/>
    <n v="400000"/>
    <m/>
    <n v="221000.00000000003"/>
    <n v="621000"/>
  </r>
  <r>
    <n v="2025"/>
    <n v="12"/>
    <d v="2025-12-11T00:00:00"/>
    <s v="PPS00010462"/>
    <s v="Сарвар ака (Срх)"/>
    <s v="Сурхондарьё_Сарвар ака"/>
    <s v="PPS"/>
    <s v="&quot;DOKTOR MER&quot; XK"/>
    <x v="0"/>
    <n v="120"/>
    <n v="40621"/>
    <n v="4874520"/>
    <n v="1800000"/>
    <m/>
    <n v="828668.4"/>
    <n v="2628668.4"/>
  </r>
  <r>
    <n v="2025"/>
    <n v="12"/>
    <d v="2025-12-12T00:00:00"/>
    <s v="PPS00010477"/>
    <s v="Сухроб ака (Бух)"/>
    <s v="Бухоро_Мадина опа"/>
    <s v="PPS"/>
    <s v="&quot;MOXLAROYIM SHODLIK&quot; XK"/>
    <x v="3"/>
    <n v="20"/>
    <n v="64700"/>
    <n v="1294000"/>
    <n v="400000"/>
    <m/>
    <n v="219980.00000000003"/>
    <n v="619980"/>
  </r>
  <r>
    <n v="2025"/>
    <n v="12"/>
    <d v="2025-12-15T00:00:00"/>
    <s v="PPS00010491"/>
    <s v="Сайёра опа"/>
    <s v="Хоразм_Саййора опа"/>
    <s v="PPS"/>
    <s v="&quot;JALIL JAYXUN FARM&quot; MChJ"/>
    <x v="0"/>
    <n v="81"/>
    <n v="40621"/>
    <n v="3290301"/>
    <n v="1215000"/>
    <m/>
    <n v="559351.17000000004"/>
    <n v="1774351.17"/>
  </r>
  <r>
    <n v="2025"/>
    <n v="12"/>
    <d v="2025-12-15T00:00:00"/>
    <s v="PPS00010496"/>
    <s v="Жавлон ака (Жиз)"/>
    <s v="Жиззах_Саодат опа"/>
    <s v="PPS"/>
    <s v="MCHJ Saxob-Uchqun Farm"/>
    <x v="0"/>
    <n v="20"/>
    <n v="40621"/>
    <n v="812420"/>
    <n v="300000"/>
    <m/>
    <n v="138111.40000000002"/>
    <n v="438111.4"/>
  </r>
  <r>
    <n v="2025"/>
    <n v="12"/>
    <d v="2025-12-15T00:00:00"/>
    <s v="PPS00010523"/>
    <s v="Дилноза опа (Жиз)"/>
    <s v="Жиззах_Саодат опа"/>
    <s v="PPS"/>
    <s v="SUNISTAR FARM"/>
    <x v="0"/>
    <n v="50"/>
    <n v="40621"/>
    <n v="2031050"/>
    <n v="750000"/>
    <m/>
    <n v="345278.5"/>
    <n v="1095278.5"/>
  </r>
  <r>
    <n v="2025"/>
    <n v="12"/>
    <d v="2025-12-16T00:00:00"/>
    <s v="PPS00010547"/>
    <s v="Шахло опа (Т.О)"/>
    <s v="Таш.Обл_Шахло опа"/>
    <s v="PPS"/>
    <s v="&quot;LIR&quot; XK"/>
    <x v="1"/>
    <n v="60"/>
    <n v="120000"/>
    <n v="7200000"/>
    <n v="2100000"/>
    <m/>
    <n v="1224000"/>
    <n v="3324000"/>
  </r>
  <r>
    <n v="2025"/>
    <n v="12"/>
    <d v="2025-12-16T00:00:00"/>
    <s v="PPS00010552"/>
    <s v="Отабек ака (Шах)"/>
    <s v="Кашкадарьё_Феруз ака"/>
    <s v="PPS"/>
    <s v="&quot;NUSRAT ASIL FARM&quot; XK"/>
    <x v="2"/>
    <n v="30"/>
    <n v="65000"/>
    <n v="1950000"/>
    <n v="600000"/>
    <m/>
    <n v="331500"/>
    <n v="931500"/>
  </r>
  <r>
    <n v="2025"/>
    <n v="12"/>
    <d v="2025-12-17T00:00:00"/>
    <s v="PPS00010580"/>
    <s v="Шахноза опа (Кшд)"/>
    <s v="Кашкадарьё_Феруз ака"/>
    <s v="PPS"/>
    <s v="&quot;Mitti Farm Med Servis&quot; Mchj"/>
    <x v="2"/>
    <n v="30"/>
    <n v="65000"/>
    <n v="1950000"/>
    <n v="600000"/>
    <m/>
    <n v="331500"/>
    <n v="931500"/>
  </r>
  <r>
    <n v="2025"/>
    <n v="12"/>
    <d v="2025-12-17T00:00:00"/>
    <s v="PPS00010604"/>
    <s v="Наргиза опа (Тош/СВ)"/>
    <s v="Тошкент_Наргиза опа (СВ)"/>
    <s v="PPS"/>
    <s v="&quot;Madina-Pharm Toshkent&quot; Mchj"/>
    <x v="1"/>
    <n v="5"/>
    <n v="120000"/>
    <n v="600000"/>
    <n v="175000"/>
    <m/>
    <n v="102000.00000000001"/>
    <n v="277000"/>
  </r>
  <r>
    <n v="2025"/>
    <n v="12"/>
    <d v="2025-12-22T00:00:00"/>
    <s v="PPS00010637"/>
    <s v="Нозими опа (Бух)"/>
    <s v="Бухоро_Рустам ака"/>
    <s v="PPS"/>
    <s v="Nigina-Dilnoza-Jomard Хк"/>
    <x v="0"/>
    <n v="190"/>
    <n v="40621"/>
    <n v="7717990"/>
    <n v="2850000"/>
    <m/>
    <n v="1312058.3"/>
    <n v="4162058.3"/>
  </r>
  <r>
    <n v="2025"/>
    <n v="12"/>
    <d v="2025-12-22T00:00:00"/>
    <s v="PPS00010654"/>
    <s v="Лобархон опа (Тош)"/>
    <s v="Тошкент_Мохира опа"/>
    <s v="PPS"/>
    <s v="&quot;Ashio Pharm&quot; Mchj"/>
    <x v="0"/>
    <n v="20"/>
    <n v="40621"/>
    <n v="812420"/>
    <n v="300000"/>
    <m/>
    <n v="138111.40000000002"/>
    <n v="438111.4"/>
  </r>
  <r>
    <n v="2025"/>
    <n v="12"/>
    <d v="2025-12-23T00:00:00"/>
    <s v="PPS00010701"/>
    <s v="Дурдона опа (Тош)"/>
    <s v="Тошкент_Мохира опа"/>
    <s v="PPS"/>
    <s v="ООО &quot;Madina Shifo Nur&quot;"/>
    <x v="0"/>
    <n v="20"/>
    <n v="40621"/>
    <n v="812420"/>
    <n v="300000"/>
    <m/>
    <n v="138111.40000000002"/>
    <n v="438111.4"/>
  </r>
  <r>
    <n v="2025"/>
    <n v="12"/>
    <d v="2025-12-25T00:00:00"/>
    <s v="PPS00010743"/>
    <s v="Дилноза опа (Жиз)"/>
    <s v="Жиззах_Саодат опа"/>
    <s v="PPS"/>
    <s v="&quot;Akobir Pharm 444&quot; Mchj"/>
    <x v="0"/>
    <n v="20"/>
    <n v="40621"/>
    <n v="812420"/>
    <n v="300000"/>
    <m/>
    <n v="138111.40000000002"/>
    <n v="438111.4"/>
  </r>
  <r>
    <n v="2025"/>
    <n v="12"/>
    <d v="2025-12-25T00:00:00"/>
    <s v="PPS00010746"/>
    <s v="Дилноза опа (Жиз)"/>
    <s v="Жиззах_Саодат опа"/>
    <s v="PPS"/>
    <s v="&quot;Omad Sahovat Farm&quot; Xk"/>
    <x v="0"/>
    <n v="25"/>
    <n v="40621"/>
    <n v="1015525"/>
    <n v="375000"/>
    <m/>
    <n v="172639.25"/>
    <n v="547639.25"/>
  </r>
  <r>
    <n v="2026"/>
    <n v="1"/>
    <d v="2026-01-05T00:00:00"/>
    <s v="PPS00000004"/>
    <s v="Сарвар ака (Срх)"/>
    <s v="Сурхондарьё_Сарвар ака"/>
    <s v="PPS"/>
    <s v="&quot;Nurbek Layt&quot; Xk"/>
    <x v="0"/>
    <n v="120"/>
    <n v="40621"/>
    <n v="4874520"/>
    <n v="1800000"/>
    <m/>
    <n v="828668.4"/>
    <n v="2628668.4"/>
  </r>
  <r>
    <n v="2026"/>
    <n v="1"/>
    <d v="2026-01-05T00:00:00"/>
    <s v="PPS00000010"/>
    <s v="Нигора опа (Тош)"/>
    <s v="Тошкент_Мохира опа"/>
    <s v="PPS"/>
    <s v="&quot;Millenium Medikal&quot; Mchj"/>
    <x v="0"/>
    <n v="50"/>
    <n v="40621"/>
    <n v="2031050"/>
    <n v="750000"/>
    <m/>
    <n v="345278.5"/>
    <n v="1095278.5"/>
  </r>
  <r>
    <n v="2026"/>
    <n v="1"/>
    <d v="2026-01-05T00:00:00"/>
    <s v="PPS00000025"/>
    <s v="Шахноза опа (Кшд)"/>
    <s v="Кашкадарьё_Феруз ака"/>
    <s v="PPS"/>
    <s v="ЧП &quot;Malxam-Fayz-Dilxush &quot;"/>
    <x v="2"/>
    <n v="30"/>
    <n v="65000"/>
    <n v="1950000"/>
    <n v="600000"/>
    <m/>
    <n v="331500"/>
    <n v="931500"/>
  </r>
  <r>
    <n v="2026"/>
    <n v="1"/>
    <d v="2026-01-05T00:00:00"/>
    <s v="PPS00000028"/>
    <s v="Жавлон ака (Жиз)"/>
    <s v="Жиззах_Саодат опа"/>
    <s v="PPS"/>
    <s v="MCHJ Saxob-Uchqun Farm"/>
    <x v="0"/>
    <n v="20"/>
    <n v="40621"/>
    <n v="812420"/>
    <n v="300000"/>
    <m/>
    <n v="138111.40000000002"/>
    <n v="438111.4"/>
  </r>
  <r>
    <n v="2026"/>
    <n v="1"/>
    <d v="2026-01-06T00:00:00"/>
    <s v="PPS00000051"/>
    <s v="Рано опа (Нав)"/>
    <s v="Навоий_Дильноза опа"/>
    <s v="PPS"/>
    <s v="&quot;Grand-Medikal Center&quot; Mchj"/>
    <x v="0"/>
    <n v="49"/>
    <n v="40621"/>
    <n v="1990429"/>
    <n v="735000"/>
    <m/>
    <n v="338372.93000000005"/>
    <n v="1073372.9300000002"/>
  </r>
  <r>
    <n v="2026"/>
    <n v="1"/>
    <d v="2026-01-06T00:00:00"/>
    <s v="PPS00000051"/>
    <s v="Рано опа (Нав)"/>
    <s v="Навоий_Дильноза опа"/>
    <s v="PPS"/>
    <s v="&quot;Grand-Medikal Center&quot; Mchj"/>
    <x v="0"/>
    <n v="1"/>
    <n v="40621"/>
    <n v="40621"/>
    <n v="15000"/>
    <m/>
    <n v="6905.5700000000006"/>
    <n v="21905.57"/>
  </r>
  <r>
    <n v="2026"/>
    <n v="1"/>
    <d v="2026-01-07T00:00:00"/>
    <s v="PPS00000084"/>
    <s v="Шахло опа (Т.О)"/>
    <s v="Таш.Обл_Шахло опа"/>
    <s v="PPS"/>
    <s v="&quot;LIR&quot; XK"/>
    <x v="3"/>
    <n v="40"/>
    <n v="64700"/>
    <n v="2588000"/>
    <n v="800000"/>
    <m/>
    <n v="439960.00000000006"/>
    <n v="1239960"/>
  </r>
  <r>
    <n v="2026"/>
    <n v="1"/>
    <d v="2026-01-08T00:00:00"/>
    <s v="PPS00000129"/>
    <s v="Сухроб ака (Бух)"/>
    <s v="Бухоро_Мадина опа"/>
    <s v="PPS"/>
    <s v="&quot;NIGINA FARM SANOAT&quot; XK"/>
    <x v="3"/>
    <n v="20"/>
    <n v="64700"/>
    <n v="1294000"/>
    <n v="400000"/>
    <m/>
    <n v="219980.00000000003"/>
    <n v="619980"/>
  </r>
  <r>
    <n v="2026"/>
    <n v="1"/>
    <d v="2026-01-08T00:00:00"/>
    <s v="PPS00000142"/>
    <s v="Жавлон ака (Жиз)"/>
    <s v="Жиззах_Саодат опа"/>
    <s v="PPS"/>
    <s v="&quot;Akobir Pharm 444&quot; Mchj"/>
    <x v="0"/>
    <n v="50"/>
    <n v="40621"/>
    <n v="2031050"/>
    <n v="750000"/>
    <m/>
    <n v="345278.5"/>
    <n v="1095278.5"/>
  </r>
  <r>
    <n v="2026"/>
    <n v="1"/>
    <d v="2026-01-09T00:00:00"/>
    <s v="PPS00000150"/>
    <s v="Саодат опа (Жиз)"/>
    <s v="Жиззах_Саодат опа"/>
    <s v="PPS"/>
    <s v="ООО &quot;Nafis Fayz &quot;"/>
    <x v="0"/>
    <n v="20"/>
    <n v="40621"/>
    <n v="812420"/>
    <n v="300000"/>
    <m/>
    <n v="138111.40000000002"/>
    <n v="438111.4"/>
  </r>
  <r>
    <n v="2026"/>
    <n v="1"/>
    <d v="2026-01-09T00:00:00"/>
    <s v="PPS00000162"/>
    <s v="Шахло опа (Т.О)"/>
    <s v="Таш.Обл_Шахло опа"/>
    <s v="PPS"/>
    <s v="ООО &quot;Lukmoni-Xakim&quot;"/>
    <x v="1"/>
    <n v="10"/>
    <n v="120000"/>
    <n v="1200000"/>
    <n v="350000"/>
    <m/>
    <n v="204000.00000000003"/>
    <n v="554000"/>
  </r>
  <r>
    <n v="2026"/>
    <n v="1"/>
    <d v="2026-01-09T00:00:00"/>
    <s v="PPS00000162"/>
    <s v="Шахло опа (Т.О)"/>
    <s v="Таш.Обл_Шахло опа"/>
    <s v="PPS"/>
    <s v="ООО &quot;Lukmoni-Xakim&quot;"/>
    <x v="1"/>
    <n v="30"/>
    <n v="120000"/>
    <n v="3600000"/>
    <n v="1050000"/>
    <m/>
    <n v="612000"/>
    <n v="1662000"/>
  </r>
  <r>
    <n v="2026"/>
    <n v="1"/>
    <d v="2026-01-09T00:00:00"/>
    <s v="PPS00000162"/>
    <s v="Шахло опа (Т.О)"/>
    <s v="Таш.Обл_Шахло опа"/>
    <s v="PPS"/>
    <s v="ООО &quot;Lukmoni-Xakim&quot;"/>
    <x v="3"/>
    <n v="40"/>
    <n v="64700"/>
    <n v="2588000"/>
    <n v="800000"/>
    <m/>
    <n v="439960.00000000006"/>
    <n v="1239960"/>
  </r>
  <r>
    <n v="2026"/>
    <n v="1"/>
    <d v="2026-01-12T00:00:00"/>
    <s v="PPS00000192"/>
    <s v="Сарвар ака (Срх)"/>
    <s v="Сурхондарьё_Сарвар ака"/>
    <s v="PPS"/>
    <s v="&quot;ZAMIN-FARM-SIFAT&quot; MChJ"/>
    <x v="0"/>
    <n v="120"/>
    <n v="40621"/>
    <n v="4874520"/>
    <n v="1800000"/>
    <m/>
    <n v="828668.4"/>
    <n v="2628668.4"/>
  </r>
  <r>
    <n v="2026"/>
    <n v="1"/>
    <d v="2026-01-12T00:00:00"/>
    <s v="PPS00000198"/>
    <s v="Жавлон ака (Жиз)"/>
    <s v="Жиззах_Саодат опа"/>
    <s v="PPS"/>
    <s v="MCHJ Saxob-Uchqun Farm"/>
    <x v="0"/>
    <n v="40"/>
    <n v="40621"/>
    <n v="1624840"/>
    <n v="600000"/>
    <m/>
    <n v="276222.80000000005"/>
    <n v="876222.8"/>
  </r>
  <r>
    <n v="2026"/>
    <n v="1"/>
    <d v="2026-01-12T00:00:00"/>
    <s v="PPS00000203"/>
    <s v="Камола опа (Тош)"/>
    <s v="Тошкент_Мохира опа"/>
    <s v="PPS"/>
    <s v="&quot;AR-ROZIY FARM&quot; MChJ"/>
    <x v="0"/>
    <n v="20"/>
    <n v="40621"/>
    <n v="812420"/>
    <n v="300000"/>
    <m/>
    <n v="138111.40000000002"/>
    <n v="438111.4"/>
  </r>
  <r>
    <n v="2026"/>
    <n v="1"/>
    <d v="2026-01-12T00:00:00"/>
    <s v="PPS00000207"/>
    <s v="Дурдона опа (Тош)"/>
    <s v="Тошкент_Мохира опа"/>
    <s v="PPS"/>
    <s v="&quot;GIYO SHIFO FARM&quot; MChJ"/>
    <x v="0"/>
    <n v="50"/>
    <n v="40621"/>
    <n v="2031050"/>
    <n v="750000"/>
    <m/>
    <n v="345278.5"/>
    <n v="1095278.5"/>
  </r>
  <r>
    <n v="2026"/>
    <n v="1"/>
    <d v="2026-01-12T00:00:00"/>
    <s v="PPS00000240"/>
    <s v="Дурдона опа (Тош)"/>
    <s v="Тошкент_Мохира опа"/>
    <s v="PPS"/>
    <s v="&quot;Genesis Trade&quot; Mchj"/>
    <x v="0"/>
    <n v="50"/>
    <n v="40621"/>
    <n v="2031050"/>
    <n v="750000"/>
    <m/>
    <n v="345278.5"/>
    <n v="1095278.5"/>
  </r>
  <r>
    <n v="2026"/>
    <n v="1"/>
    <d v="2026-01-13T00:00:00"/>
    <s v="PPS00000263"/>
    <s v="Сарвар ака (Срх)"/>
    <s v="Сурхондарьё_Сарвар ака"/>
    <s v="PPS"/>
    <s v="&quot;Ulug'bek Med Farm Denov&quot; Xk"/>
    <x v="0"/>
    <n v="60"/>
    <n v="40621"/>
    <n v="2437260"/>
    <n v="900000"/>
    <m/>
    <n v="414334.2"/>
    <n v="1314334.2"/>
  </r>
  <r>
    <n v="2026"/>
    <n v="1"/>
    <d v="2026-01-13T00:00:00"/>
    <s v="PPS00000268"/>
    <s v="Шахноза опа (Кшд)"/>
    <s v="Кашкадарьё_Феруз ака"/>
    <s v="PPS"/>
    <s v="&quot;Fizio Pharm&quot; Xk"/>
    <x v="2"/>
    <n v="10"/>
    <n v="65000"/>
    <n v="650000"/>
    <n v="200000"/>
    <m/>
    <n v="110500.00000000001"/>
    <n v="310500"/>
  </r>
  <r>
    <n v="2026"/>
    <n v="1"/>
    <d v="2026-01-13T00:00:00"/>
    <s v="PPS00000284"/>
    <s v="Дурдона опа (Тош)"/>
    <s v="Тошкент_Мохира опа"/>
    <s v="PPS"/>
    <s v="ООО &quot;Madina Shifo Nur&quot;"/>
    <x v="0"/>
    <n v="20"/>
    <n v="40621"/>
    <n v="812420"/>
    <n v="300000"/>
    <m/>
    <n v="138111.40000000002"/>
    <n v="438111.4"/>
  </r>
  <r>
    <n v="2026"/>
    <n v="1"/>
    <d v="2026-01-14T00:00:00"/>
    <s v="PPS00000301"/>
    <s v="Нигора опа (Тош)"/>
    <s v="Тошкент_Мохира опа"/>
    <s v="PPS"/>
    <s v="&quot;Millenium Medikal&quot; Mchj"/>
    <x v="0"/>
    <n v="30"/>
    <n v="40621"/>
    <n v="1218630"/>
    <n v="450000"/>
    <m/>
    <n v="207167.1"/>
    <n v="657167.1"/>
  </r>
  <r>
    <n v="2026"/>
    <n v="1"/>
    <d v="2026-01-14T00:00:00"/>
    <s v="PPS00000308"/>
    <s v="Людмила Опа (Срд)"/>
    <s v="Сурхондарьё_Людмила опа"/>
    <s v="PPS"/>
    <s v="&quot;Biopharm Trade&quot; Mchj"/>
    <x v="0"/>
    <n v="30"/>
    <n v="40621"/>
    <n v="1218630"/>
    <n v="450000"/>
    <m/>
    <n v="207167.1"/>
    <n v="657167.1"/>
  </r>
  <r>
    <n v="2026"/>
    <n v="1"/>
    <d v="2026-01-14T00:00:00"/>
    <s v="PPS00000316"/>
    <s v="Нигора опа (Тош)"/>
    <s v="Тошкент_Мохира опа"/>
    <s v="PPS"/>
    <s v="&quot;Proxima&quot; Xk"/>
    <x v="0"/>
    <n v="30"/>
    <n v="40621"/>
    <n v="1218630"/>
    <n v="450000"/>
    <m/>
    <n v="207167.1"/>
    <n v="657167.1"/>
  </r>
  <r>
    <n v="2026"/>
    <n v="1"/>
    <d v="2026-01-15T00:00:00"/>
    <s v="PPS00000350"/>
    <s v="Нигора опа (Тош)"/>
    <s v="Тошкент_Мохира опа"/>
    <s v="PPS"/>
    <s v="&quot;Sebzor Med Davo&quot; Mchj"/>
    <x v="0"/>
    <n v="50"/>
    <n v="40621"/>
    <n v="2031050"/>
    <n v="750000"/>
    <m/>
    <n v="345278.5"/>
    <n v="1095278.5"/>
  </r>
  <r>
    <n v="2026"/>
    <n v="1"/>
    <d v="2026-01-15T00:00:00"/>
    <s v="PPS00000354"/>
    <s v="Рано опа (Нав)"/>
    <s v="Навоий_Дильноза опа"/>
    <s v="PPS"/>
    <s v="&quot;Faxriddin-Farm Navoiy&quot; Xk"/>
    <x v="0"/>
    <n v="20"/>
    <n v="40621"/>
    <n v="812420"/>
    <n v="300000"/>
    <m/>
    <n v="138111.40000000002"/>
    <n v="438111.4"/>
  </r>
  <r>
    <n v="2026"/>
    <n v="1"/>
    <d v="2026-01-16T00:00:00"/>
    <s v="PPS00000373"/>
    <s v="Мохира опа (Тош)"/>
    <s v="Тошкент_Мохира опа"/>
    <s v="PPS"/>
    <s v="ООО &quot;Shohfarm&quot;"/>
    <x v="0"/>
    <n v="48"/>
    <n v="40621"/>
    <n v="1949808"/>
    <n v="720000"/>
    <m/>
    <n v="331467.36000000004"/>
    <n v="1051467.3600000001"/>
  </r>
  <r>
    <n v="2026"/>
    <n v="1"/>
    <d v="2026-01-16T00:00:00"/>
    <s v="PPS00000382"/>
    <s v="Сарвар ака (Срх)"/>
    <s v="Сурхондарьё_Сарвар ака"/>
    <s v="PPS"/>
    <s v="Asil Firdavs Shifo Mchj"/>
    <x v="0"/>
    <n v="60"/>
    <n v="40621"/>
    <n v="2437260"/>
    <n v="900000"/>
    <m/>
    <n v="414334.2"/>
    <n v="1314334.2"/>
  </r>
  <r>
    <n v="2026"/>
    <n v="1"/>
    <d v="2026-01-16T00:00:00"/>
    <s v="PPS00000385"/>
    <s v="Нозими опа (Бух)"/>
    <s v="Бухоро_Рустам ака"/>
    <s v="PPS"/>
    <s v="&quot;Madina- Farm Sintez&quot; Mchj"/>
    <x v="0"/>
    <n v="20"/>
    <n v="40621"/>
    <n v="812420"/>
    <n v="300000"/>
    <m/>
    <n v="138111.40000000002"/>
    <n v="438111.4"/>
  </r>
  <r>
    <n v="2026"/>
    <n v="1"/>
    <d v="2026-01-19T00:00:00"/>
    <s v="PPS00000397"/>
    <s v="Нозими опа (Бух)"/>
    <s v="Бухоро_Рустам ака"/>
    <s v="PPS"/>
    <s v="&quot;IBN SINO&quot; XK"/>
    <x v="0"/>
    <n v="40"/>
    <n v="40621"/>
    <n v="1624840"/>
    <n v="600000"/>
    <m/>
    <n v="276222.80000000005"/>
    <n v="876222.8"/>
  </r>
  <r>
    <n v="2026"/>
    <n v="1"/>
    <d v="2026-01-19T00:00:00"/>
    <s v="PPS00000404"/>
    <s v="Дурдона опа (Тош)"/>
    <s v="Тошкент_Мохира опа"/>
    <s v="PPS"/>
    <s v="MCHJ Amirbek  Madina"/>
    <x v="0"/>
    <n v="20"/>
    <n v="40621"/>
    <n v="812420"/>
    <n v="300000"/>
    <m/>
    <n v="138111.40000000002"/>
    <n v="438111.4"/>
  </r>
  <r>
    <n v="2026"/>
    <n v="1"/>
    <d v="2026-01-19T00:00:00"/>
    <s v="PPS00000423"/>
    <s v="Рано опа (Нав)"/>
    <s v="Навоий_Дильноза опа"/>
    <s v="PPS"/>
    <s v="&quot;Grand-Medikal Center&quot; Mchj"/>
    <x v="0"/>
    <n v="60"/>
    <n v="40621"/>
    <n v="2437260"/>
    <n v="900000"/>
    <m/>
    <n v="414334.2"/>
    <n v="1314334.2"/>
  </r>
  <r>
    <n v="2026"/>
    <n v="1"/>
    <d v="2026-01-19T00:00:00"/>
    <s v="PPS00000457"/>
    <s v="Рано опа (Нав)"/>
    <s v="Навоий_Дильноза опа"/>
    <s v="PPS"/>
    <s v="&quot;Nurvita Pharm&quot; Mchj"/>
    <x v="0"/>
    <n v="40"/>
    <n v="40621"/>
    <n v="1624840"/>
    <n v="600000"/>
    <m/>
    <n v="276222.80000000005"/>
    <n v="876222.8"/>
  </r>
  <r>
    <n v="2026"/>
    <n v="1"/>
    <d v="2026-01-19T00:00:00"/>
    <s v="PPS00000463"/>
    <s v="Жавлон ака (Жиз)"/>
    <s v="Жиззах_Саодат опа"/>
    <s v="PPS"/>
    <s v="MCHJ Saxob-Uchqun Farm"/>
    <x v="0"/>
    <n v="80"/>
    <n v="40621"/>
    <n v="3249680"/>
    <n v="1200000"/>
    <m/>
    <n v="552445.60000000009"/>
    <n v="1752445.6"/>
  </r>
  <r>
    <n v="2026"/>
    <n v="1"/>
    <d v="2026-01-20T00:00:00"/>
    <s v="PPS00000467"/>
    <s v="Зилола опа (Тош)"/>
    <s v="Тошкент_Зилола опа"/>
    <s v="PPS"/>
    <s v="ООО &quot;Madina Shifo Nur&quot;"/>
    <x v="1"/>
    <n v="30"/>
    <n v="120000"/>
    <n v="3600000"/>
    <n v="1050000"/>
    <m/>
    <n v="612000"/>
    <n v="1662000"/>
  </r>
  <r>
    <n v="2026"/>
    <n v="1"/>
    <d v="2026-01-20T00:00:00"/>
    <s v="PPS00000472"/>
    <s v="Саодат опа (Жиз)"/>
    <s v="Жиззах_Саодат опа"/>
    <s v="PPS"/>
    <s v="ООО &quot;Nafis Fayz &quot;"/>
    <x v="0"/>
    <n v="60"/>
    <n v="40621"/>
    <n v="2437260"/>
    <n v="900000"/>
    <m/>
    <n v="414334.2"/>
    <n v="1314334.2"/>
  </r>
  <r>
    <n v="2026"/>
    <n v="1"/>
    <d v="2026-01-20T00:00:00"/>
    <s v="PPS00000485"/>
    <s v="Зилола опа (Т.О)"/>
    <s v="Таш.Обл_Шахло опа"/>
    <s v="PPS"/>
    <s v="&quot;Sharh-5&quot; Mchj"/>
    <x v="3"/>
    <n v="10"/>
    <n v="64700"/>
    <n v="647000"/>
    <n v="200000"/>
    <m/>
    <n v="109990.00000000001"/>
    <n v="309990"/>
  </r>
  <r>
    <n v="2026"/>
    <n v="1"/>
    <d v="2026-01-20T00:00:00"/>
    <s v="PPS00000485"/>
    <s v="Зилола опа (Т.О)"/>
    <s v="Таш.Обл_Шахло опа"/>
    <s v="PPS"/>
    <s v="&quot;Sharh-5&quot; Mchj"/>
    <x v="1"/>
    <n v="10"/>
    <n v="120000"/>
    <n v="1200000"/>
    <n v="350000"/>
    <m/>
    <n v="204000.00000000003"/>
    <n v="554000"/>
  </r>
  <r>
    <n v="2026"/>
    <n v="1"/>
    <d v="2026-01-21T00:00:00"/>
    <s v="PPS00000502"/>
    <s v="Нозими опа (Бух)"/>
    <s v="Бухоро_Рустам ака"/>
    <s v="PPS"/>
    <s v="&quot;SITORABONU-FARM-BAXT&quot; MChJ"/>
    <x v="0"/>
    <n v="20"/>
    <n v="40621"/>
    <n v="812420"/>
    <n v="300000"/>
    <m/>
    <n v="138111.40000000002"/>
    <n v="438111.4"/>
  </r>
  <r>
    <n v="2026"/>
    <n v="1"/>
    <d v="2026-01-21T00:00:00"/>
    <s v="PPS00000504"/>
    <s v="Лобархон опа (Тош)"/>
    <s v="Тошкент_Мохира опа"/>
    <s v="PPS"/>
    <s v="&quot;Biosfera Farm&quot; Mchj"/>
    <x v="0"/>
    <n v="25"/>
    <n v="40621"/>
    <n v="1015525"/>
    <n v="375000"/>
    <m/>
    <n v="172639.25"/>
    <n v="547639.25"/>
  </r>
  <r>
    <n v="2026"/>
    <n v="1"/>
    <d v="2026-01-21T00:00:00"/>
    <s v="PPS00000511"/>
    <s v="Зилола опа (Тош)"/>
    <s v="Тошкент_Зилола опа"/>
    <s v="PPS"/>
    <s v="&quot;7777 PHARM&quot; MChJ"/>
    <x v="1"/>
    <n v="10"/>
    <n v="120000"/>
    <n v="1200000"/>
    <n v="350000"/>
    <m/>
    <n v="204000.00000000003"/>
    <n v="554000"/>
  </r>
  <r>
    <n v="2026"/>
    <n v="1"/>
    <d v="2026-01-22T00:00:00"/>
    <s v="PPS00000526"/>
    <s v="Дилноза опа (Нав)"/>
    <s v="Навоий_Дильноза опа"/>
    <s v="PPS"/>
    <s v="&quot;Murat Farm&quot; Mchj"/>
    <x v="0"/>
    <n v="15"/>
    <n v="40621"/>
    <n v="609315"/>
    <n v="225000"/>
    <m/>
    <n v="103583.55"/>
    <n v="328583.55"/>
  </r>
  <r>
    <n v="2026"/>
    <n v="1"/>
    <d v="2026-01-22T00:00:00"/>
    <s v="PPS00000529"/>
    <s v="Отабек ака (Шах)"/>
    <s v="Кашкадарьё_Феруз ака"/>
    <s v="PPS"/>
    <s v="&quot;Ulug`Bek&quot; Mchj"/>
    <x v="2"/>
    <n v="20"/>
    <n v="65000"/>
    <n v="1300000"/>
    <n v="400000"/>
    <m/>
    <n v="221000.00000000003"/>
    <n v="621000"/>
  </r>
  <r>
    <n v="2026"/>
    <n v="1"/>
    <d v="2026-01-22T00:00:00"/>
    <s v="PPS00000532"/>
    <s v="Нозими опа (Бух)"/>
    <s v="Бухоро_Рустам ака"/>
    <s v="PPS"/>
    <s v="&quot;Al-Aziz Ayubhon&quot; Mchj"/>
    <x v="0"/>
    <n v="40"/>
    <n v="40621"/>
    <n v="1624840"/>
    <n v="600000"/>
    <m/>
    <n v="276222.80000000005"/>
    <n v="876222.8"/>
  </r>
  <r>
    <n v="2026"/>
    <n v="1"/>
    <d v="2026-01-22T00:00:00"/>
    <s v="PPS00000538"/>
    <s v="Лобархон опа (Тош)"/>
    <s v="Тошкент_Мохира опа"/>
    <s v="PPS"/>
    <s v="&quot;Qwerty Farm&quot; Mchj"/>
    <x v="0"/>
    <n v="10"/>
    <n v="40621"/>
    <n v="406210"/>
    <n v="150000"/>
    <m/>
    <n v="69055.700000000012"/>
    <n v="219055.7"/>
  </r>
  <r>
    <n v="2026"/>
    <n v="1"/>
    <d v="2026-01-22T00:00:00"/>
    <s v="PPS00000539"/>
    <s v="Рано опа (Нав)"/>
    <s v="Навоий_Дильноза опа"/>
    <s v="PPS"/>
    <s v="&quot;Vita Pharm Navoiy&quot; Mchj"/>
    <x v="0"/>
    <n v="20"/>
    <n v="40621"/>
    <n v="812420"/>
    <n v="300000"/>
    <m/>
    <n v="138111.40000000002"/>
    <n v="438111.4"/>
  </r>
  <r>
    <n v="2026"/>
    <n v="1"/>
    <d v="2026-01-22T00:00:00"/>
    <s v="PPS00000561"/>
    <s v="Нозими опа (Бух)"/>
    <s v="Бухоро_Рустам ака"/>
    <s v="PPS"/>
    <s v="&quot;Garden Pharma&quot; Mchj"/>
    <x v="0"/>
    <n v="120"/>
    <n v="40621"/>
    <n v="4874520"/>
    <n v="1800000"/>
    <m/>
    <n v="828668.4"/>
    <n v="2628668.4"/>
  </r>
  <r>
    <n v="2026"/>
    <n v="1"/>
    <d v="2026-01-22T00:00:00"/>
    <s v="PPS00000567"/>
    <s v="Рано опа (Нав)"/>
    <s v="Навоий_Дильноза опа"/>
    <s v="PPS"/>
    <s v="&quot;Faxriddin-Farm Navoiy&quot; Xk"/>
    <x v="0"/>
    <n v="10"/>
    <n v="40621"/>
    <n v="406210"/>
    <n v="150000"/>
    <m/>
    <n v="69055.700000000012"/>
    <n v="219055.7"/>
  </r>
  <r>
    <n v="2026"/>
    <n v="1"/>
    <d v="2026-01-26T00:00:00"/>
    <s v="PPS00000633"/>
    <s v="Сардор ака (Т.О)"/>
    <s v="Таш.Обл_Шахло опа"/>
    <s v="PPS"/>
    <s v="&quot;Azimjon Nozim Farm&quot; Mchj"/>
    <x v="3"/>
    <n v="20"/>
    <n v="64700"/>
    <n v="1294000"/>
    <n v="400000"/>
    <m/>
    <n v="219980.00000000003"/>
    <n v="619980"/>
  </r>
  <r>
    <n v="2026"/>
    <n v="1"/>
    <d v="2026-01-27T00:00:00"/>
    <s v="PPS00000668"/>
    <s v="Рано опа (Нав)"/>
    <s v="Навоий_Дильноза опа"/>
    <s v="PPS"/>
    <s v="&quot;Faxriddin-Farm Navoiy&quot; Xk"/>
    <x v="0"/>
    <n v="20"/>
    <n v="40621"/>
    <n v="812420"/>
    <n v="300000"/>
    <m/>
    <n v="138111.40000000002"/>
    <n v="438111.4"/>
  </r>
  <r>
    <n v="2026"/>
    <n v="1"/>
    <d v="2026-01-27T00:00:00"/>
    <s v="PPS00000670"/>
    <s v="Отабек ака (Шах)"/>
    <s v="Кашкадарьё_Феруз ака"/>
    <s v="PPS"/>
    <s v="&quot;NUSRAT ASIL FARM&quot; XK"/>
    <x v="2"/>
    <n v="30"/>
    <n v="65000"/>
    <n v="1950000"/>
    <n v="600000"/>
    <m/>
    <n v="331500"/>
    <n v="931500"/>
  </r>
  <r>
    <n v="2026"/>
    <n v="1"/>
    <d v="2026-01-27T00:00:00"/>
    <s v="PPS00000682"/>
    <s v="Дурдона опа (Тош)"/>
    <s v="Тошкент_Мохира опа"/>
    <s v="PPS"/>
    <s v="ООО &quot;Madina Shifo Nur&quot;"/>
    <x v="0"/>
    <n v="20"/>
    <n v="40621"/>
    <n v="812420"/>
    <n v="300000"/>
    <m/>
    <n v="138111.40000000002"/>
    <n v="438111.4"/>
  </r>
  <r>
    <n v="2026"/>
    <n v="1"/>
    <d v="2026-01-28T00:00:00"/>
    <s v="PPS00000691"/>
    <s v="Отабек ака (Шах)"/>
    <s v="Кашкадарьё_Феруз ака"/>
    <s v="PPS"/>
    <s v="&quot;Qamashi Dori-Darmon&quot; Mchj"/>
    <x v="2"/>
    <n v="20"/>
    <n v="65000"/>
    <n v="1300000"/>
    <n v="400000"/>
    <m/>
    <n v="221000.00000000003"/>
    <n v="621000"/>
  </r>
  <r>
    <n v="2026"/>
    <n v="1"/>
    <d v="2026-01-28T00:00:00"/>
    <s v="PPS00000701"/>
    <s v="Рузигул опа (Сир)"/>
    <s v="Сирдарьё_Зилола Опа"/>
    <s v="PPS"/>
    <s v="&quot;ILHOMBEK PHARM MEDICAL&quot; MChJ"/>
    <x v="3"/>
    <n v="10"/>
    <n v="64700"/>
    <n v="647000"/>
    <n v="200000"/>
    <m/>
    <n v="109990.00000000001"/>
    <n v="309990"/>
  </r>
  <r>
    <n v="2026"/>
    <n v="1"/>
    <d v="2026-01-28T00:00:00"/>
    <s v="PPS00000725"/>
    <s v="Сарвар ака (Срх)"/>
    <s v="Сурхондарьё_Сарвар ака"/>
    <s v="PPS"/>
    <s v="&quot;Fazliddin-Biznes&quot; Xk"/>
    <x v="0"/>
    <n v="120"/>
    <n v="40621"/>
    <n v="4874520"/>
    <n v="1800000"/>
    <m/>
    <n v="828668.4"/>
    <n v="2628668.4"/>
  </r>
  <r>
    <n v="2026"/>
    <n v="1"/>
    <d v="2026-01-29T00:00:00"/>
    <s v="PPS00000749"/>
    <s v="Дилноза опа (Жиз)"/>
    <s v="Жиззах_Саодат опа"/>
    <s v="PPS"/>
    <s v="&quot;Usta Maxmud&quot;Xk"/>
    <x v="0"/>
    <n v="50"/>
    <n v="40621"/>
    <n v="2031050"/>
    <n v="750000"/>
    <m/>
    <n v="345278.5"/>
    <n v="1095278.5"/>
  </r>
  <r>
    <n v="2026"/>
    <n v="1"/>
    <d v="2026-01-29T00:00:00"/>
    <s v="PPS00000755"/>
    <s v="Мадина опа (Бух)"/>
    <s v="Бухоро_Мадина опа"/>
    <s v="PPS"/>
    <s v="&quot;Romitan Med Lab&quot; Mchj"/>
    <x v="1"/>
    <n v="10"/>
    <n v="120000"/>
    <n v="1200000"/>
    <n v="350000"/>
    <m/>
    <n v="204000.00000000003"/>
    <n v="554000"/>
  </r>
  <r>
    <n v="2026"/>
    <n v="1"/>
    <d v="2026-01-29T00:00:00"/>
    <s v="PPS00000756"/>
    <s v="Зилола опа (Тош)"/>
    <s v="Тошкент_Зилола опа"/>
    <s v="PPS"/>
    <s v="&quot;7777 PHARM&quot; MChJ"/>
    <x v="1"/>
    <n v="20"/>
    <n v="120000"/>
    <n v="2400000"/>
    <n v="700000"/>
    <m/>
    <n v="408000.00000000006"/>
    <n v="1108000"/>
  </r>
  <r>
    <n v="2026"/>
    <n v="1"/>
    <d v="2026-01-29T00:00:00"/>
    <s v="PPS00000762"/>
    <s v="Рано опа (Нав)"/>
    <s v="Навоий_Дильноза опа"/>
    <s v="PPS"/>
    <s v="&quot;Sof Dori Farm&quot; Mchj"/>
    <x v="0"/>
    <n v="35"/>
    <n v="40621"/>
    <n v="1421735"/>
    <n v="525000"/>
    <m/>
    <n v="241694.95"/>
    <n v="766694.95"/>
  </r>
  <r>
    <n v="2026"/>
    <n v="1"/>
    <d v="2026-01-29T00:00:00"/>
    <s v="PPS00000763"/>
    <s v="Рано опа (Нав)"/>
    <s v="Навоий_Дильноза опа"/>
    <s v="PPS"/>
    <s v="&quot;FITO-FARM-LEK&quot; MChJ"/>
    <x v="0"/>
    <n v="33"/>
    <n v="40621"/>
    <n v="1340493"/>
    <n v="495000"/>
    <m/>
    <n v="227883.81000000003"/>
    <n v="722883.81"/>
  </r>
  <r>
    <n v="2026"/>
    <n v="1"/>
    <d v="2026-01-29T00:00:00"/>
    <s v="PPS00000765"/>
    <s v="Рузигул опа (Сир)"/>
    <s v="Сирдарьё_Зилола Опа"/>
    <s v="PPS"/>
    <s v="ООО &quot;Shodlik-Mc&quot;"/>
    <x v="3"/>
    <n v="10"/>
    <n v="64700"/>
    <n v="647000"/>
    <n v="200000"/>
    <m/>
    <n v="109990.00000000001"/>
    <n v="309990"/>
  </r>
  <r>
    <n v="2026"/>
    <n v="2"/>
    <d v="2026-02-02T00:00:00"/>
    <s v="PPS00000839"/>
    <s v="Дурдона опа (Тош)"/>
    <s v="Тошкент_Мохира опа"/>
    <s v="PPS"/>
    <s v="MCHJ Amirbek  Madina"/>
    <x v="0"/>
    <n v="48"/>
    <n v="40621"/>
    <n v="1949808"/>
    <n v="720000"/>
    <m/>
    <n v="331467.36000000004"/>
    <n v="1051467.3600000001"/>
  </r>
  <r>
    <n v="2026"/>
    <n v="2"/>
    <d v="2026-02-03T00:00:00"/>
    <s v="PPS00000870"/>
    <s v="Дилноза опа (Нав)"/>
    <s v="Навоий_Дильноза опа"/>
    <s v="PPS"/>
    <s v="&quot;Mubina Orzusi 2022&quot; Mchj"/>
    <x v="0"/>
    <n v="125"/>
    <n v="40621"/>
    <n v="5077625"/>
    <n v="1875000"/>
    <m/>
    <n v="863196.25000000012"/>
    <n v="2738196.25"/>
  </r>
  <r>
    <n v="2026"/>
    <n v="2"/>
    <d v="2026-02-03T00:00:00"/>
    <s v="PPS00000870"/>
    <s v="Дилноза опа (Нав)"/>
    <s v="Навоий_Дильноза опа"/>
    <s v="PPS"/>
    <s v="&quot;Mubina Orzusi 2022&quot; Mchj"/>
    <x v="0"/>
    <n v="25"/>
    <n v="40621"/>
    <n v="1015525"/>
    <n v="375000"/>
    <m/>
    <n v="172639.25"/>
    <n v="547639.25"/>
  </r>
  <r>
    <n v="2026"/>
    <n v="2"/>
    <d v="2026-02-05T00:00:00"/>
    <s v="PPS00000936"/>
    <s v="Зилола опа (Тош)"/>
    <s v="Тошкент_Зилола опа"/>
    <s v="PPS"/>
    <s v="&quot;Farmiya&quot; Mchj"/>
    <x v="1"/>
    <n v="10"/>
    <n v="120000"/>
    <n v="1200000"/>
    <n v="350000"/>
    <m/>
    <n v="204000.00000000003"/>
    <n v="554000"/>
  </r>
  <r>
    <n v="2026"/>
    <n v="2"/>
    <d v="2026-02-05T00:00:00"/>
    <s v="PPS00000942"/>
    <s v="Рузигул опа (Сир)"/>
    <s v="Сирдарьё_Зилола Опа"/>
    <s v="PPS"/>
    <s v="ООО  &quot;Darmon As-Sabur&quot;"/>
    <x v="3"/>
    <n v="10"/>
    <n v="64700"/>
    <n v="647000"/>
    <n v="200000"/>
    <m/>
    <n v="109990.00000000001"/>
    <n v="309990"/>
  </r>
  <r>
    <n v="2026"/>
    <n v="2"/>
    <d v="2026-02-05T00:00:00"/>
    <s v="PPS00000943"/>
    <s v="Зилола опа (Тош)"/>
    <s v="Тошкент_Зилола опа"/>
    <s v="PPS"/>
    <s v="&quot;7777 PHARM&quot; MChJ"/>
    <x v="1"/>
    <n v="41"/>
    <n v="120000"/>
    <n v="4920000"/>
    <n v="1435000"/>
    <m/>
    <n v="836400.00000000012"/>
    <n v="2271400"/>
  </r>
  <r>
    <n v="2026"/>
    <n v="2"/>
    <d v="2026-02-05T00:00:00"/>
    <s v="PPS00000960"/>
    <s v="Рано опа (Нав)"/>
    <s v="Навоий_Дильноза опа"/>
    <s v="PPS"/>
    <s v="&quot;Vita Pharm Navoiy&quot; Mchj"/>
    <x v="0"/>
    <n v="20"/>
    <n v="40621"/>
    <n v="812420"/>
    <n v="300000"/>
    <m/>
    <n v="138111.40000000002"/>
    <n v="438111.4"/>
  </r>
  <r>
    <n v="2026"/>
    <n v="2"/>
    <d v="2026-02-05T00:00:00"/>
    <s v="PPS00000974"/>
    <s v="Дилноза опа (Жиз)"/>
    <s v="Жиззах_Саодат опа"/>
    <s v="PPS"/>
    <s v="&quot;Omad Sahovat Farm&quot; Xk"/>
    <x v="0"/>
    <n v="20"/>
    <n v="40621"/>
    <n v="812420"/>
    <n v="300000"/>
    <m/>
    <n v="138111.40000000002"/>
    <n v="438111.4"/>
  </r>
  <r>
    <n v="2026"/>
    <n v="2"/>
    <d v="2026-02-05T00:00:00"/>
    <s v="PPS00000976"/>
    <s v="Сухроб ака (Бух)"/>
    <s v="Бухоро_Мадина опа"/>
    <s v="PPS"/>
    <s v="&quot;NIGINA FARM SANOAT&quot; XK"/>
    <x v="3"/>
    <n v="30"/>
    <n v="64700"/>
    <n v="1941000"/>
    <n v="600000"/>
    <m/>
    <n v="329970"/>
    <n v="929970"/>
  </r>
  <r>
    <n v="2026"/>
    <n v="2"/>
    <d v="2026-02-05T00:00:00"/>
    <s v="PPS00000981"/>
    <s v="Нозими опа (Бух)"/>
    <s v="Бухоро_Рустам ака"/>
    <s v="PPS"/>
    <s v="&quot;Madina- Farm Sintez&quot; Mchj"/>
    <x v="0"/>
    <n v="40"/>
    <n v="40621"/>
    <n v="1624840"/>
    <n v="600000"/>
    <m/>
    <n v="276222.80000000005"/>
    <n v="876222.8"/>
  </r>
  <r>
    <n v="2026"/>
    <n v="2"/>
    <d v="2026-02-05T00:00:00"/>
    <s v="PPS00000991"/>
    <s v="Зилола опа (Тош)"/>
    <s v="Тошкент_Зилола опа"/>
    <s v="PPS"/>
    <s v="ООО &quot;Madina Shifo Nur&quot;"/>
    <x v="1"/>
    <n v="40"/>
    <n v="120000"/>
    <n v="4800000"/>
    <n v="1400000"/>
    <m/>
    <n v="816000.00000000012"/>
    <n v="2216000"/>
  </r>
  <r>
    <n v="2026"/>
    <n v="2"/>
    <d v="2026-02-09T00:00:00"/>
    <s v="PPS00001038"/>
    <s v="Дилноза опа (Жиз)"/>
    <s v="Жиззах_Саодат опа"/>
    <s v="PPS"/>
    <s v="&quot;Usta Maxmud&quot;Xk"/>
    <x v="0"/>
    <n v="10"/>
    <n v="40621"/>
    <n v="406210"/>
    <n v="150000"/>
    <m/>
    <n v="69055.700000000012"/>
    <n v="219055.7"/>
  </r>
  <r>
    <n v="2026"/>
    <n v="2"/>
    <d v="2026-02-09T00:00:00"/>
    <s v="PPS00001040"/>
    <s v="Дилноза опа (Жиз)"/>
    <s v="Жиззах_Саодат опа"/>
    <s v="PPS"/>
    <s v="SUNISTAR FARM"/>
    <x v="0"/>
    <n v="50"/>
    <n v="40621"/>
    <n v="2031050"/>
    <n v="750000"/>
    <m/>
    <n v="345278.5"/>
    <n v="1095278.5"/>
  </r>
  <r>
    <n v="2026"/>
    <n v="2"/>
    <d v="2026-02-09T00:00:00"/>
    <s v="PPS00001043"/>
    <s v="Жавлон ака (Жиз)"/>
    <s v="Жиззах_Саодат опа"/>
    <s v="PPS"/>
    <s v="MCHJ Saxob-Uchqun Farm"/>
    <x v="0"/>
    <n v="30"/>
    <n v="40621"/>
    <n v="1218630"/>
    <n v="450000"/>
    <m/>
    <n v="207167.1"/>
    <n v="657167.1"/>
  </r>
  <r>
    <n v="2026"/>
    <n v="2"/>
    <d v="2026-02-09T00:00:00"/>
    <s v="PPS00001082"/>
    <s v="Камола опа (Тош)"/>
    <s v="Тошкент_Мохира опа"/>
    <s v="PPS"/>
    <s v="&quot;Kumushkent Farm Savdo&quot; Mchj"/>
    <x v="0"/>
    <n v="20"/>
    <n v="40621"/>
    <n v="812420"/>
    <n v="300000"/>
    <m/>
    <n v="138111.40000000002"/>
    <n v="438111.4"/>
  </r>
  <r>
    <n v="2026"/>
    <n v="2"/>
    <d v="2026-02-09T00:00:00"/>
    <s v="PPS00001095"/>
    <s v="Рано опа (Нав)"/>
    <s v="Навоий_Дильноза опа"/>
    <s v="PPS"/>
    <s v="&quot;Nurvita Pharm&quot; Mchj"/>
    <x v="0"/>
    <n v="20"/>
    <n v="40621"/>
    <n v="812420"/>
    <n v="300000"/>
    <m/>
    <n v="138111.40000000002"/>
    <n v="438111.4"/>
  </r>
  <r>
    <n v="2026"/>
    <n v="2"/>
    <d v="2026-02-11T00:00:00"/>
    <s v="PPS00001161"/>
    <s v="Мадина опа (Бух)"/>
    <s v="Бухоро_Мадина опа"/>
    <s v="PPS"/>
    <s v="&quot;Madina- Farm Sintez&quot; Mchj"/>
    <x v="1"/>
    <n v="20"/>
    <n v="120000"/>
    <n v="2400000"/>
    <n v="700000"/>
    <m/>
    <n v="408000.00000000006"/>
    <n v="1108000"/>
  </r>
  <r>
    <n v="2026"/>
    <n v="2"/>
    <d v="2026-02-11T00:00:00"/>
    <s v="PPS00001161"/>
    <s v="Мадина опа (Бух)"/>
    <s v="Бухоро_Мадина опа"/>
    <s v="PPS"/>
    <s v="&quot;Madina- Farm Sintez&quot; Mchj"/>
    <x v="3"/>
    <n v="20"/>
    <n v="64700"/>
    <n v="1294000"/>
    <n v="400000"/>
    <m/>
    <n v="219980.00000000003"/>
    <n v="619980"/>
  </r>
  <r>
    <n v="2026"/>
    <n v="2"/>
    <d v="2026-02-12T00:00:00"/>
    <s v="PPS00001211"/>
    <s v="Нигора опа (Сир)"/>
    <s v="Сирдарьё_Зилола Опа"/>
    <s v="PPS"/>
    <s v="&quot;Hamkor Salomatlik&quot; Mchj"/>
    <x v="3"/>
    <n v="10"/>
    <n v="64700"/>
    <n v="647000"/>
    <n v="200000"/>
    <m/>
    <n v="109990.00000000001"/>
    <n v="309990"/>
  </r>
  <r>
    <n v="2026"/>
    <n v="2"/>
    <d v="2026-02-13T00:00:00"/>
    <s v="PPS00001232"/>
    <s v="Нозими опа (Бух)"/>
    <s v="Бухоро_Рустам ака"/>
    <s v="PPS"/>
    <s v="&quot;Garden Pharma&quot; Mchj"/>
    <x v="0"/>
    <n v="120"/>
    <n v="40621"/>
    <n v="4874520"/>
    <n v="1800000"/>
    <m/>
    <n v="828668.4"/>
    <n v="2628668.4"/>
  </r>
  <r>
    <n v="2026"/>
    <n v="2"/>
    <d v="2026-02-13T00:00:00"/>
    <s v="PPS00001258"/>
    <s v="Нигора опа (Тош)"/>
    <s v="Тошкент_Мохира опа"/>
    <s v="PPS"/>
    <s v="&quot;Millenium Medikal&quot; Mchj"/>
    <x v="0"/>
    <n v="50"/>
    <n v="40621"/>
    <n v="2031050"/>
    <n v="750000"/>
    <m/>
    <n v="345278.5"/>
    <n v="1095278.5"/>
  </r>
  <r>
    <n v="2026"/>
    <n v="2"/>
    <d v="2026-02-16T00:00:00"/>
    <s v="PPS00001290"/>
    <s v="Рано опа (Нав)"/>
    <s v="Навоий_Дильноза опа"/>
    <s v="PPS"/>
    <s v="&quot;Vita Pharm Navoiy&quot; Mchj"/>
    <x v="0"/>
    <n v="20"/>
    <n v="40621"/>
    <n v="812420"/>
    <n v="300000"/>
    <m/>
    <n v="138111.40000000002"/>
    <n v="438111.4"/>
  </r>
  <r>
    <n v="2026"/>
    <n v="2"/>
    <d v="2026-02-16T00:00:00"/>
    <s v="PPS00001305"/>
    <s v="Жавлон ака (Жиз)"/>
    <s v="Жиззах_Саодат опа"/>
    <s v="PPS"/>
    <s v="MCHJ Saxob-Uchqun Farm"/>
    <x v="0"/>
    <n v="60"/>
    <n v="40621"/>
    <n v="2437260"/>
    <n v="900000"/>
    <m/>
    <n v="414334.2"/>
    <n v="1314334.2"/>
  </r>
  <r>
    <n v="2026"/>
    <n v="2"/>
    <d v="2026-02-16T00:00:00"/>
    <s v="PPS00001314"/>
    <s v="Рано опа (Нав)"/>
    <s v="Навоий_Дильноза опа"/>
    <s v="PPS"/>
    <s v="&quot;NAVBAHOR DORI TA'MINOTI&quot; MChJ"/>
    <x v="0"/>
    <n v="100"/>
    <n v="40621"/>
    <n v="4062100"/>
    <n v="1500000"/>
    <m/>
    <n v="690557"/>
    <n v="2190557"/>
  </r>
  <r>
    <n v="2026"/>
    <n v="2"/>
    <d v="2026-02-16T00:00:00"/>
    <s v="PPS00001328"/>
    <s v="Жавлон ака (Жиз)"/>
    <s v="Жиззах_Саодат опа"/>
    <s v="PPS"/>
    <s v="ООО &quot;Zuhur Farm&quot;"/>
    <x v="0"/>
    <n v="40"/>
    <n v="40621"/>
    <n v="1624840"/>
    <n v="600000"/>
    <m/>
    <n v="276222.80000000005"/>
    <n v="876222.8"/>
  </r>
  <r>
    <n v="2026"/>
    <n v="2"/>
    <d v="2026-02-17T00:00:00"/>
    <s v="PPS00001351"/>
    <s v="Зилола опа (Тош)"/>
    <s v="Тошкент_Зилола опа"/>
    <s v="PPS"/>
    <s v="&quot;7777 PHARM&quot; MChJ"/>
    <x v="1"/>
    <n v="50"/>
    <n v="120000"/>
    <n v="6000000"/>
    <n v="1750000"/>
    <m/>
    <n v="1020000.0000000001"/>
    <n v="2770000"/>
  </r>
  <r>
    <n v="2026"/>
    <n v="2"/>
    <d v="2026-02-18T00:00:00"/>
    <s v="PPS00001380"/>
    <s v="Шерзод ака (Т.О)"/>
    <s v="Таш.Обл_Шахло опа"/>
    <s v="PPS"/>
    <s v="&quot;PLATINUM OPTIMA SERVICE&quot; MChJ"/>
    <x v="1"/>
    <n v="30"/>
    <n v="120000"/>
    <n v="3600000"/>
    <n v="1050000"/>
    <m/>
    <n v="612000"/>
    <n v="1662000"/>
  </r>
  <r>
    <n v="2026"/>
    <n v="2"/>
    <d v="2026-02-18T00:00:00"/>
    <s v="PPS00001389"/>
    <s v="Отабек ака (Шах)"/>
    <s v="Кашкадарьё_Феруз ака"/>
    <s v="PPS"/>
    <s v="&quot;Ulug`Bek&quot; Mchj"/>
    <x v="2"/>
    <n v="30"/>
    <n v="65000"/>
    <n v="1950000"/>
    <n v="600000"/>
    <m/>
    <n v="331500"/>
    <n v="931500"/>
  </r>
  <r>
    <n v="2026"/>
    <n v="2"/>
    <d v="2026-02-19T00:00:00"/>
    <s v="PPS00001423"/>
    <s v="Дилноза опа (Жиз)"/>
    <s v="Жиззах_Саодат опа"/>
    <s v="PPS"/>
    <s v="&quot;Usta Maxmud&quot;Xk"/>
    <x v="0"/>
    <n v="50"/>
    <n v="40621"/>
    <n v="2031050"/>
    <n v="750000"/>
    <m/>
    <n v="345278.5"/>
    <n v="1095278.5"/>
  </r>
  <r>
    <n v="2026"/>
    <n v="2"/>
    <d v="2026-02-19T00:00:00"/>
    <s v="PPS00001438"/>
    <s v="Шахло опа (Т.О)"/>
    <s v="Таш.Обл_Шахло опа"/>
    <s v="PPS"/>
    <s v="&quot;Sharh-5&quot; Mchj"/>
    <x v="1"/>
    <n v="20"/>
    <n v="120000"/>
    <n v="2400000"/>
    <n v="700000"/>
    <m/>
    <n v="408000.00000000006"/>
    <n v="1108000"/>
  </r>
  <r>
    <n v="2026"/>
    <n v="2"/>
    <d v="2026-02-19T00:00:00"/>
    <s v="PPS00001442"/>
    <s v="Рано опа (Нав)"/>
    <s v="Навоий_Дильноза опа"/>
    <s v="PPS"/>
    <s v="&quot;FITO-FARM-LEK&quot; MChJ"/>
    <x v="0"/>
    <n v="17"/>
    <n v="40621"/>
    <n v="690557"/>
    <n v="255000"/>
    <m/>
    <n v="117394.69"/>
    <n v="372394.69"/>
  </r>
  <r>
    <n v="2026"/>
    <n v="2"/>
    <d v="2026-02-19T00:00:00"/>
    <s v="PPS00001448"/>
    <s v="Нигора опа (Сир)"/>
    <s v="Сирдарьё_Зилола Опа"/>
    <s v="PPS"/>
    <s v="&quot;Shifobaxsh&quot; Xk"/>
    <x v="3"/>
    <n v="30"/>
    <n v="64700"/>
    <n v="1941000"/>
    <n v="600000"/>
    <m/>
    <n v="329970"/>
    <n v="929970"/>
  </r>
  <r>
    <n v="2026"/>
    <n v="2"/>
    <d v="2026-02-20T00:00:00"/>
    <s v="PPS00001492"/>
    <s v="Нигора опа (Тош)"/>
    <s v="Тошкент_Мохира опа"/>
    <s v="PPS"/>
    <s v="&quot;Mmm-Apteka&quot; Mchj"/>
    <x v="0"/>
    <n v="22"/>
    <n v="40621"/>
    <n v="893662"/>
    <n v="330000"/>
    <m/>
    <n v="151922.54"/>
    <n v="481922.54000000004"/>
  </r>
  <r>
    <n v="2026"/>
    <n v="2"/>
    <d v="2026-02-23T00:00:00"/>
    <s v="PPS00001499"/>
    <s v="Жавлон ака (Жиз)"/>
    <s v="Жиззах_Саодат опа"/>
    <s v="PPS"/>
    <s v="MCHJ Saxob-Uchqun Farm"/>
    <x v="0"/>
    <n v="50"/>
    <n v="40621"/>
    <n v="2031050"/>
    <n v="750000"/>
    <m/>
    <n v="345278.5"/>
    <n v="1095278.5"/>
  </r>
  <r>
    <n v="2026"/>
    <n v="2"/>
    <d v="2026-02-23T00:00:00"/>
    <s v="PPS00001519"/>
    <s v="Лобархон опа (Тош)"/>
    <s v="Тошкент_Мохира опа"/>
    <s v="PPS"/>
    <s v="&quot;Simonte Med Farm&quot; Mchj"/>
    <x v="0"/>
    <n v="15"/>
    <n v="40621"/>
    <n v="609315"/>
    <n v="225000"/>
    <m/>
    <n v="103583.55"/>
    <n v="328583.55"/>
  </r>
  <r>
    <n v="2026"/>
    <n v="2"/>
    <d v="2026-02-23T00:00:00"/>
    <s v="PPS00001528"/>
    <s v="Зилола опа (Тош)"/>
    <s v="Тошкент_Зилола опа"/>
    <s v="PPS"/>
    <s v="ООО &quot;Madina Shifo Nur&quot;"/>
    <x v="1"/>
    <n v="30"/>
    <n v="120000"/>
    <n v="3600000"/>
    <n v="1050000"/>
    <m/>
    <n v="612000"/>
    <n v="1662000"/>
  </r>
  <r>
    <n v="2026"/>
    <n v="2"/>
    <d v="2026-02-23T00:00:00"/>
    <s v="PPS00001529"/>
    <s v="Зилола опа (Тош)"/>
    <s v="Тошкент_Зилола опа"/>
    <s v="PPS"/>
    <s v="&quot;Farmiya&quot; Mchj"/>
    <x v="1"/>
    <n v="20"/>
    <n v="120000"/>
    <n v="2400000"/>
    <n v="700000"/>
    <m/>
    <n v="408000.00000000006"/>
    <n v="1108000"/>
  </r>
  <r>
    <n v="2026"/>
    <n v="2"/>
    <d v="2026-02-23T00:00:00"/>
    <s v="PPS00001535"/>
    <s v="Рано опа (Нав)"/>
    <s v="Навоий_Дильноза опа"/>
    <s v="PPS"/>
    <s v="&quot;Navoiy Ultra Diagnostika&quot; Mchj"/>
    <x v="0"/>
    <n v="7"/>
    <n v="40621"/>
    <n v="284347"/>
    <n v="105000"/>
    <m/>
    <n v="48338.990000000005"/>
    <n v="153338.99"/>
  </r>
  <r>
    <n v="2026"/>
    <n v="2"/>
    <d v="2026-02-23T00:00:00"/>
    <s v="PPS00001535"/>
    <s v="Рано опа (Нав)"/>
    <s v="Навоий_Дильноза опа"/>
    <s v="PPS"/>
    <s v="&quot;Navoiy Ultra Diagnostika&quot; Mchj"/>
    <x v="0"/>
    <n v="13"/>
    <n v="40621"/>
    <n v="528073"/>
    <n v="195000"/>
    <m/>
    <n v="89772.41"/>
    <n v="284772.41000000003"/>
  </r>
  <r>
    <n v="2026"/>
    <n v="2"/>
    <d v="2026-02-24T00:00:00"/>
    <s v="PPS00001549"/>
    <s v="Фотима опа (Бух)"/>
    <s v="Бухоро_Мадина опа"/>
    <s v="PPS"/>
    <s v="&quot;Medteka Pharmacy&quot; Mchj"/>
    <x v="1"/>
    <n v="20"/>
    <n v="120000"/>
    <n v="2400000"/>
    <n v="700000"/>
    <m/>
    <n v="408000.00000000006"/>
    <n v="1108000"/>
  </r>
  <r>
    <n v="2026"/>
    <n v="2"/>
    <d v="2026-02-24T00:00:00"/>
    <s v="PPS00001549"/>
    <s v="Фотима опа (Бух)"/>
    <s v="Бухоро_Мадина опа"/>
    <s v="PPS"/>
    <s v="&quot;Medteka Pharmacy&quot; Mchj"/>
    <x v="3"/>
    <n v="50"/>
    <n v="64700"/>
    <n v="3235000"/>
    <n v="1000000"/>
    <m/>
    <n v="549950"/>
    <n v="1549950"/>
  </r>
  <r>
    <n v="2026"/>
    <n v="2"/>
    <d v="2026-02-25T00:00:00"/>
    <s v="PPS00001588"/>
    <s v="Нигора опа (Тош)"/>
    <s v="Тошкент_Мохира опа"/>
    <s v="PPS"/>
    <s v="&quot;Proxima&quot; Xk"/>
    <x v="0"/>
    <n v="50"/>
    <n v="40621"/>
    <n v="2031050"/>
    <n v="750000"/>
    <m/>
    <n v="345278.5"/>
    <n v="1095278.5"/>
  </r>
  <r>
    <n v="2026"/>
    <n v="2"/>
    <d v="2026-02-26T00:00:00"/>
    <s v="PPS00001632"/>
    <s v="Рано опа (Нав)"/>
    <s v="Навоий_Дильноза опа"/>
    <s v="PPS"/>
    <s v="&quot;NAVOIY BINAFSHA&quot; XK"/>
    <x v="0"/>
    <n v="20"/>
    <n v="40621"/>
    <n v="812420"/>
    <n v="300000"/>
    <m/>
    <n v="138111.40000000002"/>
    <n v="438111.4"/>
  </r>
  <r>
    <n v="2026"/>
    <n v="2"/>
    <d v="2026-02-26T00:00:00"/>
    <s v="PPS00001642"/>
    <s v="Нозими опа (Бух)"/>
    <s v="Бухоро_Рустам ака"/>
    <s v="PPS"/>
    <s v="&quot;Al-Aziz Ayubhon&quot; Mchj"/>
    <x v="0"/>
    <n v="43"/>
    <n v="40621"/>
    <n v="1746703"/>
    <n v="645000"/>
    <m/>
    <n v="296939.51"/>
    <n v="941939.51"/>
  </r>
  <r>
    <n v="2026"/>
    <n v="2"/>
    <d v="2026-02-26T00:00:00"/>
    <s v="PPS00001652"/>
    <s v="Рано опа (Нав)"/>
    <s v="Навоий_Дильноза опа"/>
    <s v="PPS"/>
    <s v="&quot;FITO-FARM-LEK&quot; MChJ"/>
    <x v="0"/>
    <n v="18"/>
    <n v="40621"/>
    <n v="731178"/>
    <n v="270000"/>
    <m/>
    <n v="124300.26000000001"/>
    <n v="394300.26"/>
  </r>
  <r>
    <n v="2026"/>
    <n v="2"/>
    <d v="2026-02-26T00:00:00"/>
    <s v="PPS00001657"/>
    <s v="Нигора опа (Тош)"/>
    <s v="Тошкент_Мохира опа"/>
    <s v="PPS"/>
    <s v="&quot;Millenium Medikal&quot; Mchj"/>
    <x v="0"/>
    <n v="100"/>
    <n v="40621"/>
    <n v="4062100"/>
    <n v="1500000"/>
    <m/>
    <n v="690557"/>
    <n v="2190557"/>
  </r>
  <r>
    <n v="2026"/>
    <n v="2"/>
    <d v="2026-02-27T00:00:00"/>
    <s v="PPS00001667"/>
    <s v="Сардор ака (Т.О)"/>
    <s v="Таш.Обл_Шахло опа"/>
    <s v="PPS"/>
    <s v="&quot;Azimjon Nozim Farm&quot; Mchj"/>
    <x v="3"/>
    <n v="40"/>
    <n v="64700"/>
    <n v="2588000"/>
    <n v="800000"/>
    <m/>
    <n v="439960.00000000006"/>
    <n v="1239960"/>
  </r>
  <r>
    <n v="2026"/>
    <n v="2"/>
    <d v="2026-02-27T00:00:00"/>
    <s v="PPS00001669"/>
    <s v="Нигора опа (Тош)"/>
    <s v="Тошкент_Мохира опа"/>
    <s v="PPS"/>
    <s v="World Of Medicine Mchj"/>
    <x v="0"/>
    <n v="40"/>
    <n v="40621"/>
    <n v="1624840"/>
    <n v="600000"/>
    <m/>
    <n v="276222.80000000005"/>
    <n v="876222.8"/>
  </r>
  <r>
    <n v="2026"/>
    <n v="2"/>
    <d v="2026-02-27T00:00:00"/>
    <s v="PPS00001695"/>
    <s v="Шамсинур опа (Срд)"/>
    <s v="Сурхондарьё_Людмила опа"/>
    <s v="PPS"/>
    <s v="Ali-Shifo-Angor  Х.к."/>
    <x v="0"/>
    <n v="60"/>
    <n v="40621"/>
    <n v="2437260"/>
    <n v="900000"/>
    <m/>
    <n v="414334.2"/>
    <n v="1314334.2"/>
  </r>
  <r>
    <n v="2026"/>
    <n v="2"/>
    <d v="2026-02-27T00:00:00"/>
    <s v="PPS00001713"/>
    <s v="Мадина опа (Бух)"/>
    <s v="Бухоро_Мадина опа"/>
    <s v="PPS"/>
    <s v="&quot;FAMILY PHARMACY&quot; XK"/>
    <x v="3"/>
    <n v="10"/>
    <n v="64700"/>
    <n v="647000"/>
    <n v="200000"/>
    <m/>
    <n v="109990.00000000001"/>
    <n v="309990"/>
  </r>
  <r>
    <n v="2026"/>
    <n v="3"/>
    <d v="2026-03-02T00:00:00"/>
    <s v="PPS00001745"/>
    <s v="Саодат опа (Жиз)"/>
    <s v="Жиззах_Саодат опа"/>
    <s v="PPS"/>
    <s v="ООО &quot;Nafis Fayz &quot;"/>
    <x v="0"/>
    <n v="40"/>
    <n v="40621"/>
    <n v="1624840"/>
    <n v="600000"/>
    <m/>
    <n v="276222.80000000005"/>
    <n v="876222.8"/>
  </r>
  <r>
    <n v="2026"/>
    <n v="3"/>
    <d v="2026-03-02T00:00:00"/>
    <s v="PPS00001752"/>
    <s v="Рано опа (Нав)"/>
    <s v="Навоий_Дильноза опа"/>
    <s v="PPS"/>
    <s v="&quot;FITO-FARM-LEK&quot; MChJ"/>
    <x v="0"/>
    <n v="16"/>
    <n v="40621"/>
    <n v="649936"/>
    <n v="240000"/>
    <m/>
    <n v="110489.12000000001"/>
    <n v="350489.12"/>
  </r>
  <r>
    <n v="2026"/>
    <n v="3"/>
    <d v="2026-03-03T00:00:00"/>
    <s v="PPS00001774"/>
    <s v="Отабек ака (Шах)"/>
    <s v="Кашкадарьё_Феруз ака"/>
    <s v="PPS"/>
    <s v="&quot;NUSRAT ASIL FARM&quot; XK"/>
    <x v="2"/>
    <n v="50"/>
    <n v="65000"/>
    <n v="3250000"/>
    <n v="1000000"/>
    <m/>
    <n v="552500"/>
    <n v="1552500"/>
  </r>
  <r>
    <n v="2026"/>
    <n v="3"/>
    <d v="2026-03-04T00:00:00"/>
    <s v="PPS00001798"/>
    <s v="Зилола опа (Тош)"/>
    <s v="Тошкент_Зилола опа"/>
    <s v="PPS"/>
    <s v="&quot;7777 PHARM&quot; MChJ"/>
    <x v="1"/>
    <n v="40"/>
    <n v="120000"/>
    <n v="4800000"/>
    <n v="1400000"/>
    <m/>
    <n v="816000.00000000012"/>
    <n v="2216000"/>
  </r>
  <r>
    <n v="2026"/>
    <n v="3"/>
    <d v="2026-03-04T00:00:00"/>
    <s v="PPS00001805"/>
    <s v="Зилола опа (Тош)"/>
    <s v="Тошкент_Зилола опа"/>
    <s v="PPS"/>
    <s v="ООО &quot;Madina Shifo Nur&quot;"/>
    <x v="1"/>
    <n v="30"/>
    <n v="120000"/>
    <n v="3600000"/>
    <n v="1050000"/>
    <m/>
    <n v="612000"/>
    <n v="1662000"/>
  </r>
  <r>
    <n v="2026"/>
    <n v="3"/>
    <d v="2026-03-05T00:00:00"/>
    <s v="PPS00001831"/>
    <s v="Дилноза опа (Жиз)"/>
    <s v="Жиззах_Саодат опа"/>
    <s v="PPS"/>
    <s v="&quot;Akobir Pharm 444&quot; Mchj"/>
    <x v="0"/>
    <n v="30"/>
    <n v="40621"/>
    <n v="1218630"/>
    <n v="450000"/>
    <m/>
    <n v="207167.1"/>
    <n v="657167.1"/>
  </r>
  <r>
    <n v="2026"/>
    <n v="3"/>
    <d v="2026-03-05T00:00:00"/>
    <s v="PPS00001833"/>
    <s v="Рано опа (Нав)"/>
    <s v="Навоий_Дильноза опа"/>
    <s v="PPS"/>
    <s v="&quot;Grand-Medikal Center&quot; Mchj"/>
    <x v="0"/>
    <n v="60"/>
    <n v="40621"/>
    <n v="2437260"/>
    <n v="900000"/>
    <m/>
    <n v="414334.2"/>
    <n v="1314334.2"/>
  </r>
  <r>
    <n v="2026"/>
    <n v="3"/>
    <d v="2026-03-10T00:00:00"/>
    <s v="PPS00001883"/>
    <s v="Дилноза опа (Жиз)"/>
    <s v="Жиззах_Саодат опа"/>
    <s v="PPS"/>
    <s v="&quot;Usta Maxmud&quot;Xk"/>
    <x v="0"/>
    <n v="50"/>
    <n v="40621"/>
    <n v="2031050"/>
    <n v="750000"/>
    <m/>
    <n v="345278.5"/>
    <n v="1095278.5"/>
  </r>
  <r>
    <n v="2026"/>
    <n v="3"/>
    <d v="2026-03-10T00:00:00"/>
    <s v="PPS00001915"/>
    <s v="Жавлон ака (Жиз)"/>
    <s v="Жиззах_Саодат опа"/>
    <s v="PPS"/>
    <s v="&quot;Farm-Dil-Bek&quot; Mchj"/>
    <x v="0"/>
    <n v="10"/>
    <n v="40621"/>
    <n v="406210"/>
    <n v="150000"/>
    <m/>
    <n v="69055.700000000012"/>
    <n v="219055.7"/>
  </r>
  <r>
    <n v="2026"/>
    <n v="3"/>
    <d v="2026-03-11T00:00:00"/>
    <s v="PPS00001943"/>
    <s v="Сардор ака (Т.О)"/>
    <s v="Таш.Обл_Шахло опа"/>
    <s v="PPS"/>
    <s v="Shams-Xumo Farm  Мчж"/>
    <x v="3"/>
    <n v="20"/>
    <n v="64700"/>
    <n v="1294000"/>
    <n v="400000"/>
    <m/>
    <n v="219980.00000000003"/>
    <n v="619980"/>
  </r>
  <r>
    <n v="2026"/>
    <n v="3"/>
    <d v="2026-03-11T00:00:00"/>
    <s v="PPS00001945"/>
    <s v="Зилола опа (Т.О)"/>
    <s v="Таш.Обл_Шахло опа"/>
    <s v="PPS"/>
    <s v="&quot;Sharh-5&quot; Mchj"/>
    <x v="3"/>
    <n v="10"/>
    <n v="64700"/>
    <n v="647000"/>
    <n v="200000"/>
    <m/>
    <n v="109990.00000000001"/>
    <n v="309990"/>
  </r>
  <r>
    <n v="2026"/>
    <n v="3"/>
    <d v="2026-03-11T00:00:00"/>
    <s v="PPS00001952"/>
    <s v="Нилюфар опа (Кшд)"/>
    <s v="Кашкадарьё_Нилуфар опа"/>
    <s v="PPS"/>
    <s v="ЧП &quot;Mirzoxid Iskandar&quot;"/>
    <x v="0"/>
    <n v="10"/>
    <n v="40621"/>
    <n v="406210"/>
    <n v="150000"/>
    <m/>
    <n v="69055.700000000012"/>
    <n v="219055.7"/>
  </r>
  <r>
    <n v="2026"/>
    <n v="3"/>
    <d v="2026-03-11T00:00:00"/>
    <s v="PPS00001954"/>
    <s v="Рано опа (Нав)"/>
    <s v="Навоий_Дильноза опа"/>
    <s v="PPS"/>
    <s v="&quot;ФАРРУХ-95&quot; ХF"/>
    <x v="0"/>
    <n v="50"/>
    <n v="40621"/>
    <n v="2031050"/>
    <n v="750000"/>
    <m/>
    <n v="345278.5"/>
    <n v="1095278.5"/>
  </r>
  <r>
    <n v="2026"/>
    <n v="3"/>
    <d v="2026-03-11T00:00:00"/>
    <s v="PPS00001963"/>
    <s v="Шахноза опа (Кшд)"/>
    <s v="Кашкадарьё_Феруз ака"/>
    <s v="PPS"/>
    <s v="&quot;Feru-Za Pharm&quot; Xk"/>
    <x v="2"/>
    <n v="30"/>
    <n v="65000"/>
    <n v="1950000"/>
    <n v="600000"/>
    <m/>
    <n v="331500"/>
    <n v="931500"/>
  </r>
  <r>
    <n v="2026"/>
    <n v="3"/>
    <d v="2026-03-11T00:00:00"/>
    <s v="PPS00001973"/>
    <s v="Зилола опа (Т.О)"/>
    <s v="Таш.Обл_Шахло опа"/>
    <s v="PPS"/>
    <s v="&quot;Nurobod Farm Agro&quot; Xk"/>
    <x v="1"/>
    <n v="11"/>
    <n v="120000"/>
    <n v="1320000"/>
    <n v="385000"/>
    <m/>
    <n v="224400.00000000003"/>
    <n v="609400"/>
  </r>
  <r>
    <n v="2026"/>
    <n v="3"/>
    <d v="2026-03-11T00:00:00"/>
    <s v="PPS00001973"/>
    <s v="Зилола опа (Т.О)"/>
    <s v="Таш.Обл_Шахло опа"/>
    <s v="PPS"/>
    <s v="&quot;Nurobod Farm Agro&quot; Xk"/>
    <x v="1"/>
    <n v="9"/>
    <n v="120000"/>
    <n v="1080000"/>
    <n v="315000"/>
    <m/>
    <n v="183600"/>
    <n v="498600"/>
  </r>
  <r>
    <n v="2026"/>
    <n v="3"/>
    <d v="2026-03-12T00:00:00"/>
    <s v="PPS00001984"/>
    <s v="Мадина опа (Бух)"/>
    <s v="Бухоро_Мадина опа"/>
    <s v="PPS"/>
    <s v="&quot;APOLLO INVEST&quot; MChJ"/>
    <x v="1"/>
    <n v="20"/>
    <n v="120000"/>
    <n v="2400000"/>
    <n v="700000"/>
    <m/>
    <n v="408000.00000000006"/>
    <n v="1108000"/>
  </r>
  <r>
    <n v="2026"/>
    <n v="3"/>
    <d v="2026-03-12T00:00:00"/>
    <s v="PPS00001986"/>
    <s v="Зилола опа (Т.О)"/>
    <s v="Таш.Обл_Шахло опа"/>
    <s v="PPS"/>
    <s v="ООО &quot;Lukmoni-Xakim&quot;"/>
    <x v="1"/>
    <n v="50"/>
    <n v="120000"/>
    <n v="6000000"/>
    <n v="1750000"/>
    <m/>
    <n v="1020000.0000000001"/>
    <n v="2770000"/>
  </r>
  <r>
    <n v="2026"/>
    <n v="3"/>
    <d v="2026-03-12T00:00:00"/>
    <s v="PPS00001994"/>
    <s v="Отабек ака (Шах)"/>
    <s v="Кашкадарьё_Феруз ака"/>
    <s v="PPS"/>
    <s v="&quot;NUSRAT ASIL FARM&quot; XK"/>
    <x v="2"/>
    <n v="60"/>
    <n v="65000"/>
    <n v="3900000"/>
    <n v="1200000"/>
    <m/>
    <n v="663000"/>
    <n v="1863000"/>
  </r>
  <r>
    <n v="2026"/>
    <n v="3"/>
    <d v="2026-03-12T00:00:00"/>
    <s v="PPS00001994"/>
    <s v="Отабек ака (Шах)"/>
    <s v="Кашкадарьё_Феруз ака"/>
    <s v="PPS"/>
    <s v="&quot;NUSRAT ASIL FARM&quot; XK"/>
    <x v="2"/>
    <n v="40"/>
    <n v="65000"/>
    <n v="2600000"/>
    <n v="800000"/>
    <m/>
    <n v="442000.00000000006"/>
    <n v="1242000"/>
  </r>
  <r>
    <n v="2026"/>
    <n v="3"/>
    <d v="2026-03-12T00:00:00"/>
    <s v="PPS00002005"/>
    <s v="Зилола опа (Тош)"/>
    <s v="Тошкент_Зилола опа"/>
    <s v="PPS"/>
    <s v="ООО &quot;Madina Shifo Nur&quot;"/>
    <x v="1"/>
    <n v="30"/>
    <n v="120000"/>
    <n v="3600000"/>
    <n v="1050000"/>
    <m/>
    <n v="612000"/>
    <n v="1662000"/>
  </r>
  <r>
    <n v="2026"/>
    <n v="3"/>
    <d v="2026-03-12T00:00:00"/>
    <s v="PPS00002019"/>
    <s v="Рано опа (Нав)"/>
    <s v="Навоий_Дильноза опа"/>
    <s v="PPS"/>
    <s v="&quot;Nurvita Pharm&quot; Mchj"/>
    <x v="0"/>
    <n v="14"/>
    <n v="40621"/>
    <n v="568694"/>
    <n v="210000"/>
    <m/>
    <n v="96677.98000000001"/>
    <n v="306677.98"/>
  </r>
  <r>
    <n v="2026"/>
    <n v="3"/>
    <d v="2026-03-13T00:00:00"/>
    <s v="PPS00002026"/>
    <s v="Рузигул опа (Сир)"/>
    <s v="Сирдарьё_Зилола Опа"/>
    <s v="PPS"/>
    <s v="&quot;Saodat Shifo Hamkor&quot; Mchj"/>
    <x v="3"/>
    <n v="5"/>
    <n v="64700"/>
    <n v="323500"/>
    <n v="100000"/>
    <m/>
    <n v="54995.000000000007"/>
    <n v="154995"/>
  </r>
  <r>
    <n v="2026"/>
    <n v="3"/>
    <d v="2026-03-13T00:00:00"/>
    <s v="PPS00002037"/>
    <s v="Зилола Опа (Сир)"/>
    <s v="Сирдарьё_Зилола Опа"/>
    <s v="PPS"/>
    <s v="Guliston tumani tibbiyot birlashmasi"/>
    <x v="3"/>
    <n v="50"/>
    <n v="64700"/>
    <n v="3235000"/>
    <n v="1000000"/>
    <m/>
    <n v="549950"/>
    <n v="1549950"/>
  </r>
  <r>
    <n v="2026"/>
    <n v="3"/>
    <d v="2026-03-13T00:00:00"/>
    <s v="PPS00002038"/>
    <s v="Зилола Опа (Сир)"/>
    <s v="Сирдарьё_Зилола Опа"/>
    <s v="PPS"/>
    <s v="Guliston tumani tibbiyot birlashmasi"/>
    <x v="1"/>
    <n v="50"/>
    <n v="120000"/>
    <n v="6000000"/>
    <n v="1750000"/>
    <m/>
    <n v="1020000.0000000001"/>
    <n v="2770000"/>
  </r>
  <r>
    <n v="2026"/>
    <n v="3"/>
    <d v="2026-03-16T00:00:00"/>
    <s v="PPS00002070"/>
    <s v="Жавлон ака (Жиз)"/>
    <s v="Жиззах_Саодат опа"/>
    <s v="PPS"/>
    <s v="MCHJ Saxob-Uchqun Farm"/>
    <x v="0"/>
    <n v="60"/>
    <n v="40621"/>
    <n v="2437260"/>
    <n v="900000"/>
    <m/>
    <n v="414334.2"/>
    <n v="1314334.2"/>
  </r>
  <r>
    <n v="2026"/>
    <n v="3"/>
    <d v="2026-03-16T00:00:00"/>
    <s v="PPS00002080"/>
    <s v="Камола опа (Тош)"/>
    <s v="Тошкент_Мохира опа"/>
    <s v="PPS"/>
    <s v="&quot;7777 PHARM&quot; MChJ"/>
    <x v="0"/>
    <n v="10"/>
    <n v="40621"/>
    <n v="406210"/>
    <n v="150000"/>
    <m/>
    <n v="69055.700000000012"/>
    <n v="219055.7"/>
  </r>
  <r>
    <n v="2026"/>
    <n v="3"/>
    <d v="2026-03-16T00:00:00"/>
    <s v="PPS00002083"/>
    <s v="Шерзод ака (Т.О)"/>
    <s v="Таш.Обл_Шахло опа"/>
    <s v="PPS"/>
    <s v="&quot;PLATINUM OPTIMA SERVICE&quot; MChJ"/>
    <x v="1"/>
    <n v="20"/>
    <n v="120000"/>
    <n v="2400000"/>
    <n v="700000"/>
    <m/>
    <n v="408000.00000000006"/>
    <n v="1108000"/>
  </r>
  <r>
    <n v="2026"/>
    <n v="3"/>
    <d v="2026-03-16T00:00:00"/>
    <s v="PPS00002085"/>
    <s v="Дилноза опа (Жиз)"/>
    <s v="Жиззах_Саодат опа"/>
    <s v="PPS"/>
    <s v="&quot;Shaxizodaa Med&quot; Xk"/>
    <x v="0"/>
    <n v="15"/>
    <n v="40621"/>
    <n v="609315"/>
    <n v="225000"/>
    <m/>
    <n v="103583.55"/>
    <n v="328583.55"/>
  </r>
  <r>
    <n v="2026"/>
    <n v="3"/>
    <d v="2026-03-16T00:00:00"/>
    <s v="PPS00002086"/>
    <s v="Шерзод ака (Т.О)"/>
    <s v="Таш.Обл_Шахло опа"/>
    <s v="PPS"/>
    <s v="&quot;ASROR-ShIFOKOR&quot; XK"/>
    <x v="1"/>
    <n v="10"/>
    <n v="120000"/>
    <n v="1200000"/>
    <n v="350000"/>
    <m/>
    <n v="204000.00000000003"/>
    <n v="554000"/>
  </r>
  <r>
    <n v="2026"/>
    <n v="3"/>
    <d v="2026-03-18T00:00:00"/>
    <s v="PPS00002144"/>
    <s v="Отабек ака (Шах)"/>
    <s v="Кашкадарьё_Феруз ака"/>
    <s v="PPS"/>
    <s v="&quot;Qamashi Dori-Darmon&quot; Mchj"/>
    <x v="2"/>
    <n v="20"/>
    <n v="65000"/>
    <n v="1300000"/>
    <n v="400000"/>
    <m/>
    <n v="221000.00000000003"/>
    <n v="621000"/>
  </r>
  <r>
    <n v="2026"/>
    <n v="3"/>
    <d v="2026-03-18T00:00:00"/>
    <s v="PPS00002146"/>
    <s v="Шерзод ака (Т.О)"/>
    <s v="Таш.Обл_Шахло опа"/>
    <s v="PPS"/>
    <s v="&quot;DARMON NUR BIZNES&quot; MChJ"/>
    <x v="1"/>
    <n v="3"/>
    <n v="120000"/>
    <n v="360000"/>
    <n v="105000"/>
    <m/>
    <n v="61200.000000000007"/>
    <n v="166200"/>
  </r>
  <r>
    <n v="2026"/>
    <n v="3"/>
    <d v="2026-03-19T00:00:00"/>
    <s v="PPS00002178"/>
    <s v="Нозими опа (Бух)"/>
    <s v="Бухоро_Рустам ака"/>
    <s v="PPS"/>
    <s v="&quot;Madina- Farm Sintez&quot; Mchj"/>
    <x v="0"/>
    <n v="20"/>
    <n v="40621"/>
    <n v="812420"/>
    <n v="300000"/>
    <m/>
    <n v="138111.40000000002"/>
    <n v="438111.4"/>
  </r>
  <r>
    <n v="2026"/>
    <n v="3"/>
    <d v="2026-03-24T00:00:00"/>
    <s v="PPS00002205"/>
    <s v="Шахноза опа (Кшд)"/>
    <s v="Кашкадарьё_Феруз ака"/>
    <s v="PPS"/>
    <s v="&quot;Feru-Za Pharm&quot; Xk"/>
    <x v="2"/>
    <n v="40"/>
    <n v="65000"/>
    <n v="2600000"/>
    <n v="800000"/>
    <m/>
    <n v="442000.00000000006"/>
    <n v="1242000"/>
  </r>
  <r>
    <n v="2026"/>
    <n v="3"/>
    <d v="2026-03-24T00:00:00"/>
    <s v="PPS00002209"/>
    <s v="Жавлон ака (Жиз)"/>
    <s v="Жиззах_Саодат опа"/>
    <s v="PPS"/>
    <s v="&quot;Shifobaxsh Chashma&quot; Xk"/>
    <x v="0"/>
    <n v="10"/>
    <n v="40621"/>
    <n v="406210"/>
    <n v="150000"/>
    <m/>
    <n v="69055.700000000012"/>
    <n v="219055.7"/>
  </r>
  <r>
    <n v="2026"/>
    <n v="3"/>
    <d v="2026-03-24T00:00:00"/>
    <s v="PPS00002216"/>
    <s v="Фотима опа (Бух)"/>
    <s v="Бухоро_Мадина опа"/>
    <s v="PPS"/>
    <s v="&quot;Yadro-Med Farm&quot; Mchj"/>
    <x v="3"/>
    <n v="10"/>
    <n v="64700"/>
    <n v="647000"/>
    <n v="200000"/>
    <m/>
    <n v="109990.00000000001"/>
    <n v="309990"/>
  </r>
  <r>
    <n v="2026"/>
    <n v="3"/>
    <d v="2026-03-24T00:00:00"/>
    <s v="PPS00002219"/>
    <s v="Отабек ака (Шах)"/>
    <s v="Кашкадарьё_Феруз ака"/>
    <s v="PPS"/>
    <s v="&quot;Avena Nur Farm&quot; Xk"/>
    <x v="2"/>
    <n v="30"/>
    <n v="65000"/>
    <n v="1950000"/>
    <n v="600000"/>
    <m/>
    <n v="331500"/>
    <n v="931500"/>
  </r>
  <r>
    <n v="2026"/>
    <n v="3"/>
    <d v="2026-03-24T00:00:00"/>
    <s v="PPS00002236"/>
    <s v="Камола опа (Тош)"/>
    <s v="Тошкент_Мохира опа"/>
    <s v="PPS"/>
    <s v="&quot;Bio Plus Farm&quot; Mchj"/>
    <x v="0"/>
    <n v="10"/>
    <n v="40621"/>
    <n v="406210"/>
    <n v="150000"/>
    <m/>
    <n v="69055.700000000012"/>
    <n v="219055.7"/>
  </r>
  <r>
    <n v="2026"/>
    <n v="3"/>
    <d v="2026-03-25T00:00:00"/>
    <s v="PPS00002256"/>
    <s v="Зилола опа (Тош)"/>
    <s v="Тошкент_Зилола опа"/>
    <s v="PPS"/>
    <s v="&quot;Xasanboy  Farma&quot; Mchj"/>
    <x v="1"/>
    <n v="20"/>
    <n v="120000"/>
    <n v="2400000"/>
    <n v="700000"/>
    <m/>
    <n v="408000.00000000006"/>
    <n v="1108000"/>
  </r>
  <r>
    <n v="2026"/>
    <n v="3"/>
    <d v="2026-03-25T00:00:00"/>
    <s v="PPS00002263"/>
    <s v="Зилола опа (Тош)"/>
    <s v="Тошкент_Зилола опа"/>
    <s v="PPS"/>
    <s v="&quot;7777 PHARM&quot; MChJ"/>
    <x v="1"/>
    <n v="40"/>
    <n v="120000"/>
    <n v="4800000"/>
    <n v="1400000"/>
    <m/>
    <n v="816000.00000000012"/>
    <n v="2216000"/>
  </r>
  <r>
    <n v="2026"/>
    <n v="3"/>
    <d v="2026-03-25T00:00:00"/>
    <s v="PPS00002266"/>
    <s v="Зилола опа (Т.О)"/>
    <s v="Таш.Обл_Шахло опа"/>
    <s v="PPS"/>
    <s v="&quot;White Star Plyus&quot; Mchj"/>
    <x v="1"/>
    <n v="10"/>
    <n v="120000"/>
    <n v="1200000"/>
    <n v="350000"/>
    <m/>
    <n v="204000.00000000003"/>
    <n v="554000"/>
  </r>
  <r>
    <n v="2026"/>
    <n v="3"/>
    <d v="2026-03-25T00:00:00"/>
    <s v="PPS00002269"/>
    <s v="Нозими опа (Бух)"/>
    <s v="Бухоро_Рустам ака"/>
    <s v="PPS"/>
    <s v="&quot;Al-Aziz Ayubhon&quot; Mchj"/>
    <x v="0"/>
    <n v="50"/>
    <n v="40621"/>
    <n v="2031050"/>
    <n v="750000"/>
    <m/>
    <n v="345278.5"/>
    <n v="1095278.5"/>
  </r>
  <r>
    <n v="2026"/>
    <n v="3"/>
    <d v="2026-03-25T00:00:00"/>
    <s v="PPS00002292"/>
    <s v="Нигора опа (Тош)"/>
    <s v="Тошкент_Мохира опа"/>
    <s v="PPS"/>
    <s v="&quot;Mmm-Apteka&quot; Mchj"/>
    <x v="0"/>
    <n v="17"/>
    <n v="40621"/>
    <n v="690557"/>
    <n v="255000"/>
    <m/>
    <n v="117394.69"/>
    <n v="372394.69"/>
  </r>
  <r>
    <n v="2026"/>
    <n v="3"/>
    <d v="2026-03-26T00:00:00"/>
    <s v="PPS00002307"/>
    <s v="Дилноза опа (Жиз)"/>
    <s v="Жиззах_Саодат опа"/>
    <s v="PPS"/>
    <s v="&quot;Usta Maxmud&quot;Xk"/>
    <x v="0"/>
    <n v="20"/>
    <n v="40621"/>
    <n v="812420"/>
    <n v="300000"/>
    <m/>
    <n v="138111.40000000002"/>
    <n v="438111.4"/>
  </r>
  <r>
    <n v="2026"/>
    <n v="3"/>
    <d v="2026-03-26T00:00:00"/>
    <s v="PPS00002334"/>
    <s v="Дилноза опа (Жиз)"/>
    <s v="Жиззах_Саодат опа"/>
    <s v="PPS"/>
    <s v="&quot;Omad Sahovat Farm&quot; Xk"/>
    <x v="0"/>
    <n v="14"/>
    <n v="40621"/>
    <n v="568694"/>
    <n v="210000"/>
    <m/>
    <n v="96677.98000000001"/>
    <n v="306677.98"/>
  </r>
  <r>
    <n v="2026"/>
    <n v="3"/>
    <d v="2026-03-26T00:00:00"/>
    <s v="PPS00002334"/>
    <s v="Дилноза опа (Жиз)"/>
    <s v="Жиззах_Саодат опа"/>
    <s v="PPS"/>
    <s v="&quot;Omad Sahovat Farm&quot; Xk"/>
    <x v="0"/>
    <n v="16"/>
    <n v="40621"/>
    <n v="649936"/>
    <n v="240000"/>
    <m/>
    <n v="110489.12000000001"/>
    <n v="350489.12"/>
  </r>
  <r>
    <n v="2026"/>
    <n v="3"/>
    <d v="2026-03-26T00:00:00"/>
    <s v="PPS00002346"/>
    <s v="Рано опа (Нав)"/>
    <s v="Навоий_Дильноза опа"/>
    <s v="PPS"/>
    <s v="&quot;Vita Pharm Navoiy&quot; Mchj"/>
    <x v="0"/>
    <n v="10"/>
    <n v="40621"/>
    <n v="406210"/>
    <n v="150000"/>
    <m/>
    <n v="69055.700000000012"/>
    <n v="219055.7"/>
  </r>
  <r>
    <n v="2026"/>
    <n v="3"/>
    <d v="2026-03-26T00:00:00"/>
    <s v="PPS00002352"/>
    <s v="Мадина опа (Бух)"/>
    <s v="Бухоро_Мадина опа"/>
    <s v="PPS"/>
    <s v="&quot;Madina- Farm Sintez&quot; Mchj"/>
    <x v="1"/>
    <n v="20"/>
    <n v="120000"/>
    <n v="2400000"/>
    <n v="700000"/>
    <m/>
    <n v="408000.00000000006"/>
    <n v="1108000"/>
  </r>
  <r>
    <n v="2026"/>
    <n v="3"/>
    <d v="2026-03-27T00:00:00"/>
    <s v="PPS00002390"/>
    <s v="Шерзод ака (Т.О)"/>
    <s v="Таш.Обл_Шахло опа"/>
    <s v="PPS"/>
    <s v="&quot;DARMON NUR BIZNES&quot; MChJ"/>
    <x v="1"/>
    <n v="5"/>
    <n v="120000"/>
    <n v="600000"/>
    <n v="175000"/>
    <m/>
    <n v="102000.00000000001"/>
    <n v="277000"/>
  </r>
  <r>
    <n v="2026"/>
    <n v="3"/>
    <d v="2026-03-27T00:00:00"/>
    <s v="PPS00002394"/>
    <s v="Лобархон опа (Тош)"/>
    <s v="Тошкент_Мохира опа"/>
    <s v="PPS"/>
    <s v="&quot;Amir Farm Trade&quot; Mchj"/>
    <x v="0"/>
    <n v="30"/>
    <n v="40621"/>
    <n v="1218630"/>
    <n v="450000"/>
    <m/>
    <n v="207167.1"/>
    <n v="657167.1"/>
  </r>
  <r>
    <n v="2026"/>
    <n v="3"/>
    <d v="2026-03-27T00:00:00"/>
    <s v="PPS00002397"/>
    <s v="Шерзод ака (Т.О)"/>
    <s v="Таш.Обл_Шахло опа"/>
    <s v="PPS"/>
    <s v="&quot;PLATINUM OPTIMA SERVICE&quot; MChJ"/>
    <x v="1"/>
    <n v="20"/>
    <n v="120000"/>
    <n v="2400000"/>
    <n v="700000"/>
    <m/>
    <n v="408000.00000000006"/>
    <n v="1108000"/>
  </r>
  <r>
    <n v="2026"/>
    <n v="3"/>
    <d v="2026-03-30T00:00:00"/>
    <s v="PPS00002402"/>
    <s v="Зилола опа (Тош)"/>
    <s v="Тошкент_Зилола опа"/>
    <s v="PPS"/>
    <s v="&quot;Health Planeta&quot; Mchj"/>
    <x v="1"/>
    <n v="20"/>
    <n v="120000"/>
    <n v="2400000"/>
    <n v="700000"/>
    <m/>
    <n v="408000.00000000006"/>
    <n v="1108000"/>
  </r>
  <r>
    <n v="2026"/>
    <n v="3"/>
    <d v="2026-03-30T00:00:00"/>
    <s v="PPS00002404"/>
    <s v="Жавлон ака (Жиз)"/>
    <s v="Жиззах_Саодат опа"/>
    <s v="PPS"/>
    <s v="MCHJ Saxob-Uchqun Farm"/>
    <x v="0"/>
    <n v="60"/>
    <n v="40621"/>
    <n v="2437260"/>
    <n v="900000"/>
    <m/>
    <n v="414334.2"/>
    <n v="1314334.2"/>
  </r>
  <r>
    <n v="2026"/>
    <n v="3"/>
    <d v="2026-03-30T00:00:00"/>
    <s v="PPS00002426"/>
    <s v="Рано опа (Нав)"/>
    <s v="Навоий_Дильноза опа"/>
    <s v="PPS"/>
    <s v="&quot;Navoiy Farm 999&quot; Mchj"/>
    <x v="0"/>
    <n v="100"/>
    <n v="40621"/>
    <n v="4062100"/>
    <n v="1500000"/>
    <m/>
    <n v="690557"/>
    <n v="2190557"/>
  </r>
  <r>
    <n v="2026"/>
    <n v="3"/>
    <d v="2026-03-30T00:00:00"/>
    <s v="PPS00002443"/>
    <s v="Зилола опа (Тош)"/>
    <s v="Тошкент_Зилола опа"/>
    <s v="PPS"/>
    <s v="ООО &quot;Madina Shifo Nur&quot;"/>
    <x v="1"/>
    <n v="30"/>
    <n v="120000"/>
    <n v="3600000"/>
    <n v="1050000"/>
    <m/>
    <n v="612000"/>
    <n v="1662000"/>
  </r>
  <r>
    <n v="2026"/>
    <n v="3"/>
    <d v="2026-03-30T00:00:00"/>
    <s v="PPS00002464"/>
    <s v="Шахло опа (Т.О)"/>
    <s v="Таш.Обл_Шахло опа"/>
    <s v="PPS"/>
    <s v="&quot;LIR&quot; XK"/>
    <x v="1"/>
    <n v="33"/>
    <n v="120000"/>
    <n v="3960000"/>
    <n v="1155000"/>
    <m/>
    <n v="673200"/>
    <n v="1828200"/>
  </r>
  <r>
    <n v="2026"/>
    <n v="3"/>
    <d v="2026-03-30T00:00:00"/>
    <s v="PPS00002464"/>
    <s v="Шахло опа (Т.О)"/>
    <s v="Таш.Обл_Шахло опа"/>
    <s v="PPS"/>
    <s v="&quot;LIR&quot; XK"/>
    <x v="1"/>
    <n v="7"/>
    <n v="120000"/>
    <n v="840000"/>
    <n v="245000"/>
    <m/>
    <n v="142800"/>
    <n v="387800"/>
  </r>
  <r>
    <n v="2026"/>
    <n v="3"/>
    <d v="2026-03-31T00:00:00"/>
    <s v="PPS00002467"/>
    <s v="Нигора опа (Тош)"/>
    <s v="Тошкент_Мохира опа"/>
    <s v="PPS"/>
    <s v="World Of Medicine Mchj"/>
    <x v="0"/>
    <n v="50"/>
    <n v="40621"/>
    <n v="2031050"/>
    <n v="750000"/>
    <m/>
    <n v="345278.5"/>
    <n v="1095278.5"/>
  </r>
  <r>
    <n v="2026"/>
    <n v="3"/>
    <d v="2026-03-31T00:00:00"/>
    <s v="PPS00002476"/>
    <s v="Сарвар ака (Срх)"/>
    <s v="Сурхондарьё_Сарвар ака"/>
    <s v="PPS"/>
    <s v="&quot;ZAMIN-FARM-SIFAT&quot; MChJ"/>
    <x v="0"/>
    <n v="116"/>
    <n v="40621"/>
    <n v="4712036"/>
    <n v="1740000"/>
    <m/>
    <n v="801046.12000000011"/>
    <n v="2541046.12"/>
  </r>
  <r>
    <n v="2026"/>
    <n v="3"/>
    <d v="2026-03-31T00:00:00"/>
    <s v="PPS00002476"/>
    <s v="Сарвар ака (Срх)"/>
    <s v="Сурхондарьё_Сарвар ака"/>
    <s v="PPS"/>
    <s v="&quot;ZAMIN-FARM-SIFAT&quot; MChJ"/>
    <x v="0"/>
    <n v="4"/>
    <n v="40621"/>
    <n v="162484"/>
    <n v="60000"/>
    <m/>
    <n v="27622.280000000002"/>
    <n v="87622.28"/>
  </r>
  <r>
    <n v="2026"/>
    <n v="3"/>
    <d v="2026-03-31T00:00:00"/>
    <s v="PPS00002481"/>
    <s v="Отабек ака (Шах)"/>
    <s v="Кашкадарьё_Феруз ака"/>
    <s v="PPS"/>
    <s v="&quot;NUSRAT ASIL FARM&quot; XK"/>
    <x v="2"/>
    <n v="400"/>
    <n v="65000"/>
    <n v="26000000"/>
    <n v="8000000"/>
    <m/>
    <n v="4420000"/>
    <n v="12420000"/>
  </r>
  <r>
    <n v="2026"/>
    <n v="3"/>
    <d v="2026-03-31T00:00:00"/>
    <s v="PPS00002496"/>
    <s v="Шерзод ака (Т.О)"/>
    <s v="Таш.Обл_Шахло опа"/>
    <s v="PPS"/>
    <s v="&quot;PLATINUM OPTIMA SERVICE&quot; MChJ"/>
    <x v="1"/>
    <n v="30"/>
    <n v="120000"/>
    <n v="3600000"/>
    <n v="1050000"/>
    <m/>
    <n v="612000"/>
    <n v="1662000"/>
  </r>
  <r>
    <n v="2026"/>
    <n v="4"/>
    <d v="2026-04-01T00:00:00"/>
    <s v="PPS00002506"/>
    <s v="Нигора опа (Тош)"/>
    <s v="Тошкент_Мохира опа"/>
    <s v="PPS"/>
    <s v="&quot;Proxima&quot; Xk"/>
    <x v="0"/>
    <n v="50"/>
    <n v="40621"/>
    <n v="2031050"/>
    <n v="750000"/>
    <m/>
    <n v="345278.5"/>
    <n v="1095278.5"/>
  </r>
  <r>
    <n v="2026"/>
    <n v="4"/>
    <d v="2026-04-02T00:00:00"/>
    <s v="PPS00002531"/>
    <s v="Нозими опа (Бух)"/>
    <s v="Бухоро_Рустам ака"/>
    <s v="PPS"/>
    <s v="&quot;Garden Pharma&quot; Mchj"/>
    <x v="0"/>
    <n v="120"/>
    <n v="40621"/>
    <n v="4874520"/>
    <n v="1800000"/>
    <m/>
    <n v="828668.4"/>
    <n v="2628668.4"/>
  </r>
  <r>
    <n v="2026"/>
    <n v="4"/>
    <d v="2026-04-02T00:00:00"/>
    <s v="PPS00002543"/>
    <s v="Зилола опа (Тош)"/>
    <s v="Тошкент_Зилола опа"/>
    <s v="PPS"/>
    <s v="&quot;Sezam-Farm-Plyus&quot; Mchj"/>
    <x v="1"/>
    <n v="15"/>
    <n v="120000"/>
    <n v="1800000"/>
    <n v="525000"/>
    <m/>
    <n v="306000"/>
    <n v="831000"/>
  </r>
  <r>
    <n v="2026"/>
    <n v="4"/>
    <d v="2026-04-02T00:00:00"/>
    <s v="PPS00002564"/>
    <s v="Сухроб ака (Бух)"/>
    <s v="Бухоро_Мадина опа"/>
    <s v="PPS"/>
    <s v="&quot;G'IJDUVON BEKFARM&quot; MChJ"/>
    <x v="3"/>
    <n v="20"/>
    <n v="64700"/>
    <n v="1294000"/>
    <n v="400000"/>
    <m/>
    <n v="219980.00000000003"/>
    <n v="619980"/>
  </r>
  <r>
    <n v="2026"/>
    <n v="4"/>
    <d v="2026-04-03T00:00:00"/>
    <s v="PPS00002578"/>
    <s v="Манзура опа (Тош)"/>
    <s v="Тошкент_Мохира опа"/>
    <s v="PPS"/>
    <s v="ООО &quot;Shohfarm&quot;"/>
    <x v="0"/>
    <n v="25"/>
    <n v="40621"/>
    <n v="1015525"/>
    <n v="375000"/>
    <m/>
    <n v="172639.25"/>
    <n v="547639.25"/>
  </r>
  <r>
    <n v="2026"/>
    <n v="4"/>
    <d v="2026-04-03T00:00:00"/>
    <s v="PPS00002588"/>
    <s v="Шахноза опа (Кшд)"/>
    <s v="Кашкадарьё_Феруз ака"/>
    <s v="PPS"/>
    <s v="&quot;Feru-Za Pharm&quot; Xk"/>
    <x v="2"/>
    <n v="60"/>
    <n v="65000"/>
    <n v="3900000"/>
    <n v="1200000"/>
    <m/>
    <n v="663000"/>
    <n v="1863000"/>
  </r>
  <r>
    <n v="2026"/>
    <n v="4"/>
    <d v="2026-04-03T00:00:00"/>
    <s v="PPS00002600"/>
    <s v="Нигора опа (Тош)"/>
    <s v="Тошкент_Мохира опа"/>
    <s v="PPS"/>
    <s v="&quot;Najot Farm Plyus&quot; Mchj"/>
    <x v="0"/>
    <n v="39"/>
    <n v="40621"/>
    <n v="1584219"/>
    <n v="585000"/>
    <m/>
    <n v="269317.23000000004"/>
    <n v="854317.23"/>
  </r>
  <r>
    <n v="2026"/>
    <n v="4"/>
    <d v="2026-04-03T00:00:00"/>
    <s v="PPS00002600"/>
    <s v="Нигора опа (Тош)"/>
    <s v="Тошкент_Мохира опа"/>
    <s v="PPS"/>
    <s v="&quot;Najot Farm Plyus&quot; Mchj"/>
    <x v="0"/>
    <n v="11"/>
    <n v="40621"/>
    <n v="446831"/>
    <n v="165000"/>
    <m/>
    <n v="75961.27"/>
    <n v="240961.27000000002"/>
  </r>
  <r>
    <n v="2026"/>
    <n v="4"/>
    <d v="2026-04-03T00:00:00"/>
    <s v="PPS00002616"/>
    <s v="Нигора опа (Тош)"/>
    <s v="Тошкент_Мохира опа"/>
    <s v="PPS"/>
    <s v="&quot;Mmm-Apteka&quot; Mchj"/>
    <x v="0"/>
    <n v="30"/>
    <n v="40621"/>
    <n v="1218630"/>
    <n v="450000"/>
    <m/>
    <n v="207167.1"/>
    <n v="657167.1"/>
  </r>
  <r>
    <n v="2026"/>
    <n v="4"/>
    <d v="2026-04-06T00:00:00"/>
    <s v="PPS00002626"/>
    <s v="Дилноза опа (Жиз)"/>
    <s v="Жиззах_Саодат опа"/>
    <s v="PPS"/>
    <s v="&quot;Omad Sahovat Farm&quot; Xk"/>
    <x v="0"/>
    <n v="20"/>
    <n v="40621"/>
    <n v="812420"/>
    <n v="300000"/>
    <m/>
    <n v="138111.40000000002"/>
    <n v="438111.4"/>
  </r>
  <r>
    <n v="2026"/>
    <n v="4"/>
    <d v="2026-04-06T00:00:00"/>
    <s v="PPS00002635"/>
    <s v="Дилноза опа (Жиз)"/>
    <s v="Жиззах_Саодат опа"/>
    <s v="PPS"/>
    <s v="&quot;Malxam-2&quot; Xk"/>
    <x v="0"/>
    <n v="10"/>
    <n v="40621"/>
    <n v="406210"/>
    <n v="150000"/>
    <m/>
    <n v="69055.700000000012"/>
    <n v="219055.7"/>
  </r>
  <r>
    <n v="2026"/>
    <n v="4"/>
    <d v="2026-04-06T00:00:00"/>
    <s v="PPS00002643"/>
    <s v="Рано опа (Нав)"/>
    <s v="Навоий_Дильноза опа"/>
    <s v="PPS"/>
    <s v="&quot;Faxriddin-Farm Navoiy&quot; Xk"/>
    <x v="0"/>
    <n v="30"/>
    <n v="40621"/>
    <n v="1218630"/>
    <n v="450000"/>
    <m/>
    <n v="207167.1"/>
    <n v="657167.1"/>
  </r>
  <r>
    <n v="2026"/>
    <n v="4"/>
    <d v="2026-04-06T00:00:00"/>
    <s v="PPS00002645"/>
    <s v="Сардор ака (Т.О)"/>
    <s v="Таш.Обл_Шахло опа"/>
    <s v="PPS"/>
    <s v="&quot;57-Дорихона&quot; Мчж"/>
    <x v="3"/>
    <n v="20"/>
    <n v="64700"/>
    <n v="1294000"/>
    <n v="400000"/>
    <m/>
    <n v="219980.00000000003"/>
    <n v="619980"/>
  </r>
  <r>
    <n v="2026"/>
    <n v="4"/>
    <d v="2026-04-06T00:00:00"/>
    <s v="PPS00002668"/>
    <s v="Шахло опа (Т.О)"/>
    <s v="Таш.Обл_Шахло опа"/>
    <s v="PPS"/>
    <s v="ООО &quot;Lukmoni-Xakim&quot;"/>
    <x v="3"/>
    <n v="15"/>
    <n v="64700"/>
    <n v="970500"/>
    <n v="300000"/>
    <m/>
    <n v="164985"/>
    <n v="464985"/>
  </r>
  <r>
    <n v="2026"/>
    <n v="4"/>
    <d v="2026-04-07T00:00:00"/>
    <s v="PPS00002696"/>
    <s v="Хуршид Ака 3 (Сам)"/>
    <s v="Самарканд_Хуршед ака"/>
    <s v="PPS"/>
    <s v="&quot;Dreem Pharmacy&quot; Mchj"/>
    <x v="4"/>
    <n v="200"/>
    <n v="90000"/>
    <n v="18000000"/>
    <n v="5000000"/>
    <m/>
    <n v="3060000"/>
    <n v="8060000"/>
  </r>
  <r>
    <n v="2026"/>
    <n v="4"/>
    <d v="2026-04-07T00:00:00"/>
    <s v="PPS00002702"/>
    <s v="Улугбек ака (Хор)"/>
    <s v="Хоразм_Улугбек ака"/>
    <s v="PPS"/>
    <s v="&quot;Intermed Pharmaceutical&quot; Mchj"/>
    <x v="4"/>
    <n v="200"/>
    <n v="90000"/>
    <n v="18000000"/>
    <n v="5000000"/>
    <m/>
    <n v="3060000"/>
    <n v="8060000"/>
  </r>
  <r>
    <n v="2026"/>
    <n v="4"/>
    <d v="2026-04-07T00:00:00"/>
    <s v="PPS00002707"/>
    <s v="Рузигул опа (Сир)"/>
    <s v="Сирдарьё_Зилола Опа"/>
    <s v="PPS"/>
    <s v="&quot;Zoxirbek Biznes&quot; Mchj"/>
    <x v="3"/>
    <n v="28"/>
    <n v="64700"/>
    <n v="1811600"/>
    <n v="560000"/>
    <m/>
    <n v="307972"/>
    <n v="867972"/>
  </r>
  <r>
    <n v="2026"/>
    <n v="4"/>
    <d v="2026-04-08T00:00:00"/>
    <s v="PPS00002742"/>
    <s v="Шерзод ака (Т.О)"/>
    <s v="Таш.Обл_Шахло опа"/>
    <s v="PPS"/>
    <s v="&quot;PLATINUM OPTIMA SERVICE&quot; MChJ"/>
    <x v="1"/>
    <n v="30"/>
    <n v="120000"/>
    <n v="3600000"/>
    <n v="1050000"/>
    <m/>
    <n v="612000"/>
    <n v="1662000"/>
  </r>
  <r>
    <n v="2026"/>
    <n v="4"/>
    <d v="2026-04-09T00:00:00"/>
    <s v="PPS00002782"/>
    <s v="Нурхон опа (Сам)"/>
    <s v="Самарканд_Хуршед ака 2"/>
    <s v="PPS"/>
    <s v="&quot;Мир Умар&quot; Xk"/>
    <x v="4"/>
    <n v="30"/>
    <n v="90000"/>
    <n v="2700000"/>
    <n v="750000"/>
    <m/>
    <n v="459000.00000000006"/>
    <n v="1209000"/>
  </r>
  <r>
    <n v="2026"/>
    <n v="4"/>
    <d v="2026-04-09T00:00:00"/>
    <s v="PPS00002782"/>
    <s v="Нурхон опа (Сам)"/>
    <s v="Самарканд_Хуршед ака 2"/>
    <s v="PPS"/>
    <s v="&quot;Мир Умар&quot; Xk"/>
    <x v="1"/>
    <n v="30"/>
    <n v="120000"/>
    <n v="3600000"/>
    <n v="1050000"/>
    <m/>
    <n v="612000"/>
    <n v="1662000"/>
  </r>
  <r>
    <n v="2026"/>
    <n v="4"/>
    <d v="2026-04-09T00:00:00"/>
    <s v="PPS00002787"/>
    <s v="Анвар ака (Срд)"/>
    <s v="Сурхондарьё_Анвар ака"/>
    <s v="PPS"/>
    <s v="ЧП &quot;Malham-Med-Farm&quot;"/>
    <x v="1"/>
    <n v="47"/>
    <n v="120000"/>
    <n v="5640000"/>
    <n v="1645000"/>
    <m/>
    <n v="958800.00000000012"/>
    <n v="2603800"/>
  </r>
  <r>
    <n v="2026"/>
    <n v="4"/>
    <d v="2026-04-09T00:00:00"/>
    <s v="PPS00002796"/>
    <s v="Рано опа (Нав)"/>
    <s v="Навоий_Дильноза опа"/>
    <s v="PPS"/>
    <s v="&quot;NAVBAHOR DORI TA'MINOTI&quot; MChJ"/>
    <x v="0"/>
    <n v="100"/>
    <n v="40621"/>
    <n v="4062100"/>
    <n v="1500000"/>
    <m/>
    <n v="690557"/>
    <n v="2190557"/>
  </r>
  <r>
    <n v="2026"/>
    <n v="4"/>
    <d v="2026-04-09T00:00:00"/>
    <s v="PPS00002801"/>
    <s v="Зилола опа (Тош)"/>
    <s v="Тошкент_Зилола опа"/>
    <s v="PPS"/>
    <s v="&quot;Xasanboy  Farma&quot; Mchj"/>
    <x v="1"/>
    <n v="25"/>
    <n v="120000"/>
    <n v="3000000"/>
    <n v="875000"/>
    <m/>
    <n v="510000.00000000006"/>
    <n v="1385000"/>
  </r>
  <r>
    <n v="2026"/>
    <n v="4"/>
    <d v="2026-04-09T00:00:00"/>
    <s v="PPS00002803"/>
    <s v="Дилноза опа (Жиз)"/>
    <s v="Жиззах_Саодат опа"/>
    <s v="PPS"/>
    <s v="&quot;Akobir Pharm 444&quot; Mchj"/>
    <x v="0"/>
    <n v="30"/>
    <n v="40621"/>
    <n v="1218630"/>
    <n v="450000"/>
    <m/>
    <n v="207167.1"/>
    <n v="657167.1"/>
  </r>
  <r>
    <n v="2026"/>
    <n v="4"/>
    <d v="2026-04-09T00:00:00"/>
    <s v="PPS00002804"/>
    <s v="Рузигул опа (Сир)"/>
    <s v="Сирдарьё_Зилола Опа"/>
    <s v="PPS"/>
    <s v="MCHJ Eko Farm-S"/>
    <x v="3"/>
    <n v="10"/>
    <n v="64700"/>
    <n v="647000"/>
    <n v="200000"/>
    <m/>
    <n v="109990.00000000001"/>
    <n v="309990"/>
  </r>
  <r>
    <n v="2026"/>
    <n v="4"/>
    <d v="2026-04-09T00:00:00"/>
    <s v="PPS00002805"/>
    <s v="Нурхон опа (Сам)"/>
    <s v="Самарканд_Хуршед ака 2"/>
    <s v="PPS"/>
    <s v="&quot;Al-Almaz&quot; Mchj"/>
    <x v="4"/>
    <n v="20"/>
    <n v="90000"/>
    <n v="1800000"/>
    <n v="500000"/>
    <m/>
    <n v="306000"/>
    <n v="806000"/>
  </r>
  <r>
    <n v="2026"/>
    <n v="4"/>
    <d v="2026-04-09T00:00:00"/>
    <s v="PPS00002809"/>
    <s v="Рано опа (Нав)"/>
    <s v="Навоий_Дильноза опа"/>
    <s v="PPS"/>
    <s v="&quot;Vita Pharm Navoiy&quot; Mchj"/>
    <x v="0"/>
    <n v="20"/>
    <n v="40621"/>
    <n v="812420"/>
    <n v="300000"/>
    <m/>
    <n v="138111.40000000002"/>
    <n v="438111.4"/>
  </r>
  <r>
    <n v="2026"/>
    <n v="4"/>
    <d v="2026-04-09T00:00:00"/>
    <s v="PPS00002813"/>
    <s v="Шахло опа (Сам)"/>
    <s v="Самарканд_Хуршед ака 3"/>
    <s v="PPS"/>
    <s v="&quot;Asatullayeva Afruza Farm&quot; Mchj"/>
    <x v="3"/>
    <n v="30"/>
    <n v="64700"/>
    <n v="1941000"/>
    <n v="600000"/>
    <m/>
    <n v="329970"/>
    <n v="929970"/>
  </r>
  <r>
    <n v="2026"/>
    <n v="4"/>
    <d v="2026-04-09T00:00:00"/>
    <s v="PPS00002821"/>
    <s v="Саодат опа (Сир)"/>
    <s v="Сирдарё_Фотима опа"/>
    <s v="PPS"/>
    <s v="&quot;Rayim Farm Invest&quot; Mchj"/>
    <x v="1"/>
    <n v="30"/>
    <n v="120000"/>
    <n v="3600000"/>
    <n v="1050000"/>
    <m/>
    <n v="612000"/>
    <n v="1662000"/>
  </r>
  <r>
    <n v="2026"/>
    <n v="4"/>
    <d v="2026-04-09T00:00:00"/>
    <s v="PPS00002821"/>
    <s v="Саодат опа (Сир)"/>
    <s v="Сирдарё_Фотима опа"/>
    <s v="PPS"/>
    <s v="&quot;Rayim Farm Invest&quot; Mchj"/>
    <x v="2"/>
    <n v="30"/>
    <n v="65000"/>
    <n v="1950000"/>
    <n v="600000"/>
    <m/>
    <n v="331500"/>
    <n v="931500"/>
  </r>
  <r>
    <n v="2026"/>
    <n v="4"/>
    <d v="2026-04-10T00:00:00"/>
    <s v="PPS00002843"/>
    <s v="Шахло опа (Сам)"/>
    <s v="Самарканд_Хуршед ака 3"/>
    <s v="PPS"/>
    <s v="&quot;Мир Умар&quot; Xk"/>
    <x v="3"/>
    <n v="100"/>
    <n v="64700"/>
    <n v="6470000"/>
    <n v="2000000"/>
    <m/>
    <n v="1099900"/>
    <n v="3099900"/>
  </r>
  <r>
    <n v="2026"/>
    <n v="4"/>
    <d v="2026-04-10T00:00:00"/>
    <s v="PPS00002861"/>
    <s v="Нафосат опа (Бух)"/>
    <s v="Бухоро_Нафосат опа"/>
    <s v="PPS"/>
    <s v="&quot;NIGINA FARM SANOAT&quot; XK"/>
    <x v="4"/>
    <n v="150"/>
    <n v="90000"/>
    <n v="13500000"/>
    <n v="3750000"/>
    <m/>
    <n v="2295000"/>
    <n v="6045000"/>
  </r>
  <r>
    <n v="2026"/>
    <n v="4"/>
    <d v="2026-04-10T00:00:00"/>
    <s v="PPS00002872"/>
    <s v="Шахло опа (Сам)"/>
    <s v="Самарканд_Хуршед ака 3"/>
    <s v="PPS"/>
    <s v="&quot;Shaxbozbek Umurzoqov&quot; Mchj"/>
    <x v="3"/>
    <n v="50"/>
    <n v="64700"/>
    <n v="3235000"/>
    <n v="1000000"/>
    <m/>
    <n v="549950"/>
    <n v="1549950"/>
  </r>
  <r>
    <n v="2026"/>
    <n v="4"/>
    <d v="2026-04-10T00:00:00"/>
    <s v="PPS00002880"/>
    <s v="Рано опа (Нав)"/>
    <s v="Навоий_Дильноза опа"/>
    <s v="PPS"/>
    <s v="&quot;Grand-Medikal Center&quot; Mchj"/>
    <x v="0"/>
    <n v="64"/>
    <n v="40621"/>
    <n v="2599744"/>
    <n v="960000"/>
    <m/>
    <n v="441956.48000000004"/>
    <n v="1401956.48"/>
  </r>
  <r>
    <n v="2026"/>
    <n v="4"/>
    <d v="2026-04-13T00:00:00"/>
    <s v="PPS00002907"/>
    <s v="Нафосат опа (Сам)"/>
    <s v="Самарканд_Хуршед ака 2"/>
    <s v="PPS"/>
    <s v="&quot;Grand Javoxir Pharm&quot; Mchj"/>
    <x v="4"/>
    <n v="50"/>
    <n v="90000"/>
    <n v="4500000"/>
    <n v="1250000"/>
    <m/>
    <n v="765000"/>
    <n v="2015000"/>
  </r>
  <r>
    <n v="2026"/>
    <n v="4"/>
    <d v="2026-04-13T00:00:00"/>
    <s v="PPS00002910"/>
    <s v="Нурхон опа (Сам)"/>
    <s v="Самарканд_Хуршед ака 2"/>
    <s v="PPS"/>
    <s v="&quot;Platinum Farm Plyus&quot; Mchj"/>
    <x v="1"/>
    <n v="8"/>
    <n v="120000"/>
    <n v="960000"/>
    <n v="280000"/>
    <m/>
    <n v="163200"/>
    <n v="443200"/>
  </r>
  <r>
    <n v="2026"/>
    <n v="4"/>
    <d v="2026-04-13T00:00:00"/>
    <s v="PPS00002910"/>
    <s v="Нурхон опа (Сам)"/>
    <s v="Самарканд_Хуршед ака 2"/>
    <s v="PPS"/>
    <s v="&quot;Platinum Farm Plyus&quot; Mchj"/>
    <x v="4"/>
    <n v="50"/>
    <n v="90000"/>
    <n v="4500000"/>
    <n v="1250000"/>
    <m/>
    <n v="765000"/>
    <n v="2015000"/>
  </r>
  <r>
    <n v="2026"/>
    <n v="4"/>
    <d v="2026-04-13T00:00:00"/>
    <s v="PPS00002914"/>
    <s v="Нигора опа (Тош)"/>
    <s v="Тошкент_Мохира опа"/>
    <s v="PPS"/>
    <s v="ООО &quot;Star Pharm&quot;"/>
    <x v="0"/>
    <n v="10"/>
    <n v="40621"/>
    <n v="406210"/>
    <n v="150000"/>
    <m/>
    <n v="69055.700000000012"/>
    <n v="219055.7"/>
  </r>
  <r>
    <n v="2026"/>
    <n v="4"/>
    <d v="2026-04-13T00:00:00"/>
    <s v="PPS00002948"/>
    <s v="Рано опа (Нав)"/>
    <s v="Навоий_Дильноза опа"/>
    <s v="PPS"/>
    <s v="&quot;FITO-FARM-LEK&quot; MChJ"/>
    <x v="0"/>
    <n v="17"/>
    <n v="40621"/>
    <n v="690557"/>
    <n v="255000"/>
    <m/>
    <n v="117394.69"/>
    <n v="372394.69"/>
  </r>
  <r>
    <n v="2026"/>
    <n v="4"/>
    <d v="2026-04-13T00:00:00"/>
    <s v="PPS00002957"/>
    <s v="Нафосат опа (Сам)"/>
    <s v="Самарканд_Хуршед ака 2"/>
    <s v="PPS"/>
    <s v="&quot;Jasmina Aslbek Parizoda&quot; Mchj"/>
    <x v="4"/>
    <n v="20"/>
    <n v="90000"/>
    <n v="1800000"/>
    <n v="500000"/>
    <m/>
    <n v="306000"/>
    <n v="806000"/>
  </r>
  <r>
    <n v="2026"/>
    <n v="4"/>
    <d v="2026-04-13T00:00:00"/>
    <s v="PPS00002964"/>
    <s v="Жавлон ака (Жиз)"/>
    <s v="Жиззах_Саодат опа"/>
    <s v="PPS"/>
    <s v="ООО &quot;Zuhur Farm&quot;"/>
    <x v="0"/>
    <n v="16"/>
    <n v="40621"/>
    <n v="649936"/>
    <n v="240000"/>
    <m/>
    <n v="110489.12000000001"/>
    <n v="350489.12"/>
  </r>
  <r>
    <n v="2026"/>
    <n v="4"/>
    <d v="2026-04-13T00:00:00"/>
    <s v="PPS00002965"/>
    <s v="Дилноза опа (Жиз)"/>
    <s v="Жиззах_Саодат опа"/>
    <s v="PPS"/>
    <s v="&quot;Shaxizodaa Med&quot; Xk"/>
    <x v="0"/>
    <n v="24"/>
    <n v="40621"/>
    <n v="974904"/>
    <n v="360000"/>
    <m/>
    <n v="165733.68000000002"/>
    <n v="525733.68000000005"/>
  </r>
  <r>
    <n v="2026"/>
    <n v="4"/>
    <d v="2026-04-13T00:00:00"/>
    <s v="PPS00002967"/>
    <s v="Нафосат опа (Бух)"/>
    <s v="Бухоро_Нафосат опа"/>
    <s v="PPS"/>
    <s v="&quot;Madina- Farm Sintez&quot; Mchj"/>
    <x v="4"/>
    <n v="50"/>
    <n v="90000"/>
    <n v="4500000"/>
    <n v="1250000"/>
    <m/>
    <n v="765000"/>
    <n v="2015000"/>
  </r>
  <r>
    <n v="2026"/>
    <n v="4"/>
    <d v="2026-04-14T00:00:00"/>
    <s v="PPS00002983"/>
    <s v="Равшан ака (Сам)"/>
    <s v="Самарканд_Хуршед ака 2"/>
    <s v="PPS"/>
    <s v="&quot;Farmadok Diabet&quot; Mchj"/>
    <x v="2"/>
    <n v="100"/>
    <n v="65000"/>
    <n v="6500000"/>
    <n v="2000000"/>
    <m/>
    <n v="1105000"/>
    <n v="3105000"/>
  </r>
  <r>
    <n v="2026"/>
    <n v="4"/>
    <d v="2026-04-14T00:00:00"/>
    <s v="PPS00002983"/>
    <s v="Равшан ака (Сам)"/>
    <s v="Самарканд_Хуршед ака 2"/>
    <s v="PPS"/>
    <s v="&quot;Farmadok Diabet&quot; Mchj"/>
    <x v="4"/>
    <n v="100"/>
    <n v="90000"/>
    <n v="9000000"/>
    <n v="2500000"/>
    <m/>
    <n v="1530000"/>
    <n v="4030000"/>
  </r>
  <r>
    <n v="2026"/>
    <n v="4"/>
    <d v="2026-04-14T00:00:00"/>
    <s v="PPS00002999"/>
    <s v="Рузигул опа (Сир)"/>
    <s v="Сирдарьё_Зилола Опа"/>
    <s v="PPS"/>
    <s v="ООО &quot;Saxovat Farm&quot;"/>
    <x v="3"/>
    <n v="20"/>
    <n v="64700"/>
    <n v="1294000"/>
    <n v="400000"/>
    <m/>
    <n v="219980.00000000003"/>
    <n v="619980"/>
  </r>
  <r>
    <n v="2026"/>
    <n v="4"/>
    <d v="2026-04-14T00:00:00"/>
    <s v="PPS00003004"/>
    <s v="Равшан ака (Сам)"/>
    <s v="Самарканд_Хуршед ака 2"/>
    <s v="PPS"/>
    <s v="&quot;NOTIS PHARMA&quot; MChJ"/>
    <x v="2"/>
    <n v="50"/>
    <n v="65000"/>
    <n v="3250000"/>
    <n v="1000000"/>
    <m/>
    <n v="552500"/>
    <n v="1552500"/>
  </r>
  <r>
    <n v="2026"/>
    <n v="4"/>
    <d v="2026-04-14T00:00:00"/>
    <s v="PPS00003006"/>
    <s v="Сардор ака (Т.О)"/>
    <s v="Таш.Обл_Шахло опа"/>
    <s v="PPS"/>
    <s v="Shams-Xumo Farm  Мчж"/>
    <x v="3"/>
    <n v="10"/>
    <n v="64700"/>
    <n v="647000"/>
    <n v="200000"/>
    <m/>
    <n v="109990.00000000001"/>
    <n v="309990"/>
  </r>
  <r>
    <n v="2026"/>
    <n v="4"/>
    <d v="2026-04-15T00:00:00"/>
    <s v="PPS00003011"/>
    <s v="Жавохир ака (Сам)"/>
    <s v="Самарканд_Хуршед ака 2"/>
    <s v="PPS"/>
    <s v="Смиле Траде Мчж"/>
    <x v="1"/>
    <n v="30"/>
    <n v="120000"/>
    <n v="3600000"/>
    <n v="1050000"/>
    <m/>
    <n v="612000"/>
    <n v="1662000"/>
  </r>
  <r>
    <n v="2026"/>
    <n v="4"/>
    <d v="2026-04-15T00:00:00"/>
    <s v="PPS00003011"/>
    <s v="Жавохир ака (Сам)"/>
    <s v="Самарканд_Хуршед ака 2"/>
    <s v="PPS"/>
    <s v="Смиле Траде Мчж"/>
    <x v="2"/>
    <n v="30"/>
    <n v="65000"/>
    <n v="1950000"/>
    <n v="600000"/>
    <m/>
    <n v="331500"/>
    <n v="931500"/>
  </r>
  <r>
    <n v="2026"/>
    <n v="4"/>
    <d v="2026-04-15T00:00:00"/>
    <s v="PPS00003011"/>
    <s v="Жавохир ака (Сам)"/>
    <s v="Самарканд_Хуршед ака 2"/>
    <s v="PPS"/>
    <s v="Смиле Траде Мчж"/>
    <x v="4"/>
    <n v="50"/>
    <n v="90000"/>
    <n v="4500000"/>
    <n v="1250000"/>
    <m/>
    <n v="765000"/>
    <n v="2015000"/>
  </r>
  <r>
    <n v="2026"/>
    <n v="4"/>
    <d v="2026-04-15T00:00:00"/>
    <s v="PPS00003013"/>
    <s v="Нафосат опа (Сам)"/>
    <s v="Самарканд_Хуршед ака 2"/>
    <s v="PPS"/>
    <s v="&quot;Humo Farm Invest Group&quot; Mchj"/>
    <x v="4"/>
    <n v="100"/>
    <n v="90000"/>
    <n v="9000000"/>
    <n v="2500000"/>
    <m/>
    <n v="1530000"/>
    <n v="4030000"/>
  </r>
  <r>
    <n v="2026"/>
    <n v="4"/>
    <d v="2026-04-15T00:00:00"/>
    <s v="PPS00003016"/>
    <s v="Хуршид Ака 3 (Сам)"/>
    <s v="Самарканд_Хуршед ака"/>
    <s v="PPS"/>
    <s v="&quot;Yumaxfarm-Servis&quot; Mchj"/>
    <x v="4"/>
    <n v="200"/>
    <n v="90000"/>
    <n v="18000000"/>
    <n v="5000000"/>
    <m/>
    <n v="3060000"/>
    <n v="8060000"/>
  </r>
  <r>
    <n v="2026"/>
    <n v="4"/>
    <d v="2026-04-15T00:00:00"/>
    <s v="PPS00003017"/>
    <s v="Хуршид Ака 3 (Сам)"/>
    <s v="Самарканд_Хуршед ака"/>
    <s v="PPS"/>
    <s v="&quot;Yumaxfarm-Servis&quot; Mchj"/>
    <x v="3"/>
    <n v="200"/>
    <n v="64700"/>
    <n v="12940000"/>
    <n v="4000000"/>
    <m/>
    <n v="2199800"/>
    <n v="6199800"/>
  </r>
  <r>
    <n v="2026"/>
    <n v="4"/>
    <d v="2026-04-15T00:00:00"/>
    <s v="PPS00003044"/>
    <s v="Фотима опа (Сир)"/>
    <s v="Сирдарё_Фотима опа"/>
    <s v="PPS"/>
    <s v="&quot;Shanxay Shifo Plus&quot; Mchj"/>
    <x v="2"/>
    <n v="50"/>
    <n v="65000"/>
    <n v="3250000"/>
    <n v="1000000"/>
    <m/>
    <n v="552500"/>
    <n v="1552500"/>
  </r>
  <r>
    <n v="2026"/>
    <n v="4"/>
    <d v="2026-04-15T00:00:00"/>
    <s v="PPS00003045"/>
    <s v="Анвар ака (Срд)"/>
    <s v="Сурхондарьё_Анвар ака"/>
    <s v="PPS"/>
    <s v="&quot;Nodirbek&quot; Xk"/>
    <x v="2"/>
    <n v="40"/>
    <n v="65000"/>
    <n v="2600000"/>
    <n v="800000"/>
    <m/>
    <n v="442000.00000000006"/>
    <n v="1242000"/>
  </r>
  <r>
    <n v="2026"/>
    <n v="4"/>
    <d v="2026-04-16T00:00:00"/>
    <s v="PPS00003060"/>
    <s v="Рузигул опа (Сир)"/>
    <s v="Сирдарьё_Зилола Опа"/>
    <s v="PPS"/>
    <s v="ООО &quot;Shodlik-Mc&quot;"/>
    <x v="3"/>
    <n v="60"/>
    <n v="64700"/>
    <n v="3882000"/>
    <n v="1200000"/>
    <m/>
    <n v="659940"/>
    <n v="1859940"/>
  </r>
  <r>
    <n v="2026"/>
    <n v="4"/>
    <d v="2026-04-16T00:00:00"/>
    <s v="PPS00003067"/>
    <s v="Нигора опа (Сир)"/>
    <s v="Сирдарьё_Зилола Опа"/>
    <s v="PPS"/>
    <s v="&quot;ILHOMBEK PHARM MEDICAL&quot; MChJ"/>
    <x v="3"/>
    <n v="10"/>
    <n v="64700"/>
    <n v="647000"/>
    <n v="200000"/>
    <m/>
    <n v="109990.00000000001"/>
    <n v="309990"/>
  </r>
  <r>
    <n v="2026"/>
    <n v="4"/>
    <d v="2026-04-16T00:00:00"/>
    <s v="PPS00003073"/>
    <s v="Равшан ака (Сам)"/>
    <s v="Самарканд_Хуршед ака 2"/>
    <s v="PPS"/>
    <s v="&quot;Ziyo Pharm Apteka&quot; Mchj"/>
    <x v="1"/>
    <n v="20"/>
    <n v="120000"/>
    <n v="2400000"/>
    <n v="700000"/>
    <m/>
    <n v="408000.00000000006"/>
    <n v="1108000"/>
  </r>
  <r>
    <n v="2026"/>
    <n v="4"/>
    <d v="2026-04-16T00:00:00"/>
    <s v="PPS00003073"/>
    <s v="Равшан ака (Сам)"/>
    <s v="Самарканд_Хуршед ака 2"/>
    <s v="PPS"/>
    <s v="&quot;Ziyo Pharm Apteka&quot; Mchj"/>
    <x v="4"/>
    <n v="20"/>
    <n v="90000"/>
    <n v="1800000"/>
    <n v="500000"/>
    <m/>
    <n v="306000"/>
    <n v="806000"/>
  </r>
  <r>
    <n v="2026"/>
    <n v="4"/>
    <d v="2026-04-16T00:00:00"/>
    <s v="PPS00003090"/>
    <s v="Хуршид Ака 3 (Сам)"/>
    <s v="Самарканд_Хуршед ака 3"/>
    <s v="PPS"/>
    <s v="Pul`S Farm Mchj"/>
    <x v="3"/>
    <n v="100"/>
    <n v="64700"/>
    <n v="6470000"/>
    <n v="2000000"/>
    <m/>
    <n v="1099900"/>
    <n v="3099900"/>
  </r>
  <r>
    <n v="2026"/>
    <n v="4"/>
    <d v="2026-04-16T00:00:00"/>
    <s v="PPS00003095"/>
    <s v="Нигора опа (Сир)"/>
    <s v="Сирдарьё_Зилола Опа"/>
    <s v="PPS"/>
    <s v="&quot;Shifobaxsh&quot; Xk"/>
    <x v="3"/>
    <n v="20"/>
    <n v="64700"/>
    <n v="1294000"/>
    <n v="400000"/>
    <m/>
    <n v="219980.00000000003"/>
    <n v="619980"/>
  </r>
  <r>
    <n v="2026"/>
    <n v="4"/>
    <d v="2026-04-16T00:00:00"/>
    <s v="PPS00003097"/>
    <s v="Зилола опа (Т.О)"/>
    <s v="Таш.Обл_Шахло опа"/>
    <s v="PPS"/>
    <s v="&quot;White Star Plyus&quot; Mchj"/>
    <x v="3"/>
    <n v="20"/>
    <n v="64700"/>
    <n v="1294000"/>
    <n v="400000"/>
    <m/>
    <n v="219980.00000000003"/>
    <n v="619980"/>
  </r>
  <r>
    <n v="2026"/>
    <n v="4"/>
    <d v="2026-04-16T00:00:00"/>
    <s v="PPS00003102"/>
    <s v="Фотима опа (Сир)"/>
    <s v="Сирдарё_Фотима опа"/>
    <s v="PPS"/>
    <s v="&quot;Baxtiyor Turg'unovich&quot; Ktxf"/>
    <x v="2"/>
    <n v="100"/>
    <n v="65000"/>
    <n v="6500000"/>
    <n v="2000000"/>
    <m/>
    <n v="1105000"/>
    <n v="3105000"/>
  </r>
  <r>
    <n v="2026"/>
    <n v="4"/>
    <d v="2026-04-16T00:00:00"/>
    <s v="PPS00003117"/>
    <s v="Рано опа (Нав)"/>
    <s v="Навоий_Дильноза опа"/>
    <s v="PPS"/>
    <s v="&quot;Faxriddin-Farm Navoiy&quot; Xk"/>
    <x v="0"/>
    <n v="12"/>
    <n v="40621"/>
    <n v="487452"/>
    <n v="180000"/>
    <m/>
    <n v="82866.840000000011"/>
    <n v="262866.84000000003"/>
  </r>
  <r>
    <n v="2026"/>
    <n v="4"/>
    <d v="2026-04-17T00:00:00"/>
    <s v="PPS00003129"/>
    <s v="Жавохир ака (Сам)"/>
    <s v="Самарканд_Хуршед ака 2"/>
    <s v="PPS"/>
    <s v="&quot;Shukrona Shifo S Y&quot; Mchj"/>
    <x v="2"/>
    <n v="100"/>
    <n v="65000"/>
    <n v="6500000"/>
    <n v="2000000"/>
    <m/>
    <n v="1105000"/>
    <n v="3105000"/>
  </r>
  <r>
    <n v="2026"/>
    <n v="4"/>
    <d v="2026-04-17T00:00:00"/>
    <s v="PPS00003141"/>
    <s v="Равшан ака (Сам)"/>
    <s v="Самарканд_Хуршед ака 2"/>
    <s v="PPS"/>
    <s v="&quot;Nobilis Pharma&quot; Mchj"/>
    <x v="4"/>
    <n v="40"/>
    <n v="90000"/>
    <n v="3600000"/>
    <n v="1000000"/>
    <m/>
    <n v="612000"/>
    <n v="1612000"/>
  </r>
  <r>
    <n v="2026"/>
    <n v="4"/>
    <d v="2026-04-17T00:00:00"/>
    <s v="PPS00003141"/>
    <s v="Равшан ака (Сам)"/>
    <s v="Самарканд_Хуршед ака 2"/>
    <s v="PPS"/>
    <s v="&quot;Nobilis Pharma&quot; Mchj"/>
    <x v="4"/>
    <n v="10"/>
    <n v="90000"/>
    <n v="900000"/>
    <n v="250000"/>
    <m/>
    <n v="153000"/>
    <n v="403000"/>
  </r>
  <r>
    <n v="2026"/>
    <n v="4"/>
    <d v="2026-04-17T00:00:00"/>
    <s v="PPS00003145"/>
    <s v="Равшан ака (Сам)"/>
    <s v="Самарканд_Хуршед ака 2"/>
    <s v="PPS"/>
    <s v="&quot;IRODA&quot; MChJ"/>
    <x v="4"/>
    <n v="40"/>
    <n v="90000"/>
    <n v="3600000"/>
    <n v="1000000"/>
    <m/>
    <n v="612000"/>
    <n v="1612000"/>
  </r>
  <r>
    <n v="2026"/>
    <n v="4"/>
    <d v="2026-04-17T00:00:00"/>
    <s v="PPS00003145"/>
    <s v="Равшан ака (Сам)"/>
    <s v="Самарканд_Хуршед ака 2"/>
    <s v="PPS"/>
    <s v="&quot;IRODA&quot; MChJ"/>
    <x v="2"/>
    <n v="20"/>
    <n v="65000"/>
    <n v="1300000"/>
    <n v="400000"/>
    <m/>
    <n v="221000.00000000003"/>
    <n v="621000"/>
  </r>
  <r>
    <n v="2026"/>
    <n v="4"/>
    <d v="2026-04-17T00:00:00"/>
    <s v="PPS00003145"/>
    <s v="Равшан ака (Сам)"/>
    <s v="Самарканд_Хуршед ака 2"/>
    <s v="PPS"/>
    <s v="&quot;IRODA&quot; MChJ"/>
    <x v="1"/>
    <n v="10"/>
    <n v="120000"/>
    <n v="1200000"/>
    <n v="350000"/>
    <m/>
    <n v="204000.00000000003"/>
    <n v="554000"/>
  </r>
  <r>
    <n v="2026"/>
    <n v="4"/>
    <d v="2026-04-17T00:00:00"/>
    <s v="PPS00003152"/>
    <s v="Нигора опа (Сир)"/>
    <s v="Сирдарьё_Зилола Опа"/>
    <s v="PPS"/>
    <s v="&quot;Odina Pharm 000&quot; Mchj"/>
    <x v="3"/>
    <n v="20"/>
    <n v="64700"/>
    <n v="1294000"/>
    <n v="400000"/>
    <m/>
    <n v="219980.00000000003"/>
    <n v="619980"/>
  </r>
  <r>
    <n v="2026"/>
    <n v="4"/>
    <d v="2026-04-17T00:00:00"/>
    <s v="PPS00003155"/>
    <s v="Жавохир ака (Сам)"/>
    <s v="Самарканд_Хуршед ака 2"/>
    <s v="PPS"/>
    <s v="&quot;Shaxzod Med Line&quot; Mchj"/>
    <x v="2"/>
    <n v="10"/>
    <n v="65000"/>
    <n v="650000"/>
    <n v="200000"/>
    <m/>
    <n v="110500.00000000001"/>
    <n v="310500"/>
  </r>
  <r>
    <n v="2026"/>
    <n v="4"/>
    <d v="2026-04-17T00:00:00"/>
    <s v="PPS00003155"/>
    <s v="Жавохир ака (Сам)"/>
    <s v="Самарканд_Хуршед ака 2"/>
    <s v="PPS"/>
    <s v="&quot;Shaxzod Med Line&quot; Mchj"/>
    <x v="4"/>
    <n v="19"/>
    <n v="90000"/>
    <n v="1710000"/>
    <n v="475000"/>
    <m/>
    <n v="290700"/>
    <n v="765700"/>
  </r>
  <r>
    <n v="2026"/>
    <n v="4"/>
    <d v="2026-04-17T00:00:00"/>
    <s v="PPS00003156"/>
    <s v="Шахноза опа (Кшд)"/>
    <s v="Кашкадарьё_Феруз ака"/>
    <s v="PPS"/>
    <s v="&quot;Feru-Za Pharm&quot; Xk"/>
    <x v="2"/>
    <n v="60"/>
    <n v="65000"/>
    <n v="3900000"/>
    <n v="1200000"/>
    <m/>
    <n v="663000"/>
    <n v="1863000"/>
  </r>
  <r>
    <n v="2026"/>
    <n v="4"/>
    <d v="2026-04-17T00:00:00"/>
    <s v="PPS00003174"/>
    <s v="Сардор ака (Т.О)"/>
    <s v="Таш.Обл_Шахло опа"/>
    <s v="PPS"/>
    <s v="ООО &quot;Hulkar Pharm Plyus&quot;"/>
    <x v="3"/>
    <n v="50"/>
    <n v="64700"/>
    <n v="3235000"/>
    <n v="1000000"/>
    <m/>
    <n v="549950"/>
    <n v="1549950"/>
  </r>
  <r>
    <n v="2026"/>
    <n v="4"/>
    <d v="2026-04-20T00:00:00"/>
    <s v="PPS00003208"/>
    <s v="Равшан ака (Сам)"/>
    <s v="Самарканд_Хуршед ака 2"/>
    <s v="PPS"/>
    <s v="&quot;Shukrona Shifo S Y&quot; Mchj"/>
    <x v="4"/>
    <n v="30"/>
    <n v="90000"/>
    <n v="2700000"/>
    <n v="750000"/>
    <m/>
    <n v="459000.00000000006"/>
    <n v="1209000"/>
  </r>
  <r>
    <n v="2026"/>
    <n v="4"/>
    <d v="2026-04-20T00:00:00"/>
    <s v="PPS00003209"/>
    <s v="Шерзод ака (Т.О)"/>
    <s v="Таш.Обл_Шахло опа"/>
    <s v="PPS"/>
    <s v="&quot;PLATINUM OPTIMA SERVICE&quot; MChJ"/>
    <x v="1"/>
    <n v="5"/>
    <n v="120000"/>
    <n v="600000"/>
    <n v="175000"/>
    <m/>
    <n v="102000.00000000001"/>
    <n v="277000"/>
  </r>
  <r>
    <n v="2026"/>
    <n v="4"/>
    <d v="2026-04-20T00:00:00"/>
    <s v="PPS00003209"/>
    <s v="Шерзод ака (Т.О)"/>
    <s v="Таш.Обл_Шахло опа"/>
    <s v="PPS"/>
    <s v="&quot;PLATINUM OPTIMA SERVICE&quot; MChJ"/>
    <x v="1"/>
    <n v="45"/>
    <n v="120000"/>
    <n v="5400000"/>
    <n v="1575000"/>
    <m/>
    <n v="918000.00000000012"/>
    <n v="2493000"/>
  </r>
  <r>
    <n v="2026"/>
    <n v="4"/>
    <d v="2026-04-20T00:00:00"/>
    <s v="PPS00003263"/>
    <s v="Сардор ака (Т.О)"/>
    <s v="Таш.Обл_Шахло опа"/>
    <s v="PPS"/>
    <s v="&quot;Azimjon Nozim Farm&quot; Mchj"/>
    <x v="3"/>
    <n v="40"/>
    <n v="64700"/>
    <n v="2588000"/>
    <n v="800000"/>
    <m/>
    <n v="439960.00000000006"/>
    <n v="1239960"/>
  </r>
  <r>
    <n v="2026"/>
    <n v="4"/>
    <d v="2026-04-21T00:00:00"/>
    <s v="PPS00003285"/>
    <s v="Анвар ака (Срд)"/>
    <s v="Сурхондарьё_Анвар ака"/>
    <s v="PPS"/>
    <s v="&quot;NABIBA-DAVO&quot; XK"/>
    <x v="1"/>
    <n v="40"/>
    <n v="120000"/>
    <n v="4800000"/>
    <n v="1400000"/>
    <m/>
    <n v="816000.00000000012"/>
    <n v="2216000"/>
  </r>
  <r>
    <n v="2026"/>
    <n v="4"/>
    <d v="2026-04-21T00:00:00"/>
    <s v="PPS00003294"/>
    <s v="Шахло опа (Сам)"/>
    <s v="Самарканд_Хуршед ака 3"/>
    <s v="PPS"/>
    <s v="&quot;Samarqand Provizor&quot; Mchj"/>
    <x v="3"/>
    <n v="20"/>
    <n v="64700"/>
    <n v="1294000"/>
    <n v="400000"/>
    <m/>
    <n v="219980.00000000003"/>
    <n v="619980"/>
  </r>
  <r>
    <n v="2026"/>
    <n v="4"/>
    <d v="2026-04-21T00:00:00"/>
    <s v="PPS00003299"/>
    <s v="Фотима опа (Сир)"/>
    <s v="Сирдарё_Фотима опа"/>
    <s v="PPS"/>
    <s v="ЧП &quot;Ozodbek-Yan-Farm&quot;"/>
    <x v="1"/>
    <n v="10"/>
    <n v="120000"/>
    <n v="1200000"/>
    <n v="350000"/>
    <m/>
    <n v="204000.00000000003"/>
    <n v="554000"/>
  </r>
  <r>
    <n v="2026"/>
    <n v="4"/>
    <d v="2026-04-21T00:00:00"/>
    <s v="PPS00003301"/>
    <s v="Шахло опа (Т.О)"/>
    <s v="Таш.Обл_Шахло опа"/>
    <s v="PPS"/>
    <s v="&quot;Sharh-5&quot; Mchj"/>
    <x v="1"/>
    <n v="30"/>
    <n v="120000"/>
    <n v="3600000"/>
    <n v="1050000"/>
    <m/>
    <n v="612000"/>
    <n v="1662000"/>
  </r>
  <r>
    <n v="2026"/>
    <n v="4"/>
    <d v="2026-04-21T00:00:00"/>
    <s v="PPS00003321"/>
    <s v="Равшан ака (Сам)"/>
    <s v="Самарканд_Хуршед ака 2"/>
    <s v="PPS"/>
    <s v="&quot;FARMASAM&quot; MChJ"/>
    <x v="4"/>
    <n v="20"/>
    <n v="90000"/>
    <n v="1800000"/>
    <n v="500000"/>
    <m/>
    <n v="306000"/>
    <n v="806000"/>
  </r>
  <r>
    <n v="2026"/>
    <n v="4"/>
    <d v="2026-04-21T00:00:00"/>
    <s v="PPS00003321"/>
    <s v="Равшан ака (Сам)"/>
    <s v="Самарканд_Хуршед ака 2"/>
    <s v="PPS"/>
    <s v="&quot;FARMASAM&quot; MChJ"/>
    <x v="2"/>
    <n v="30"/>
    <n v="65000"/>
    <n v="1950000"/>
    <n v="600000"/>
    <m/>
    <n v="331500"/>
    <n v="931500"/>
  </r>
  <r>
    <n v="2026"/>
    <n v="4"/>
    <d v="2026-04-21T00:00:00"/>
    <s v="PPS00003332"/>
    <s v="Анвар ака (Срд)"/>
    <s v="Сурхондарьё_Анвар ака"/>
    <s v="PPS"/>
    <s v="&quot;MUXDILXON FARIM&quot; XK"/>
    <x v="2"/>
    <n v="30"/>
    <n v="65000"/>
    <n v="1950000"/>
    <n v="600000"/>
    <m/>
    <n v="331500"/>
    <n v="931500"/>
  </r>
  <r>
    <n v="2026"/>
    <n v="4"/>
    <d v="2026-04-21T00:00:00"/>
    <s v="PPS00003333"/>
    <s v="Нурхон опа (Сам)"/>
    <s v="Самарканд_Хуршед ака 2"/>
    <s v="PPS"/>
    <s v="&quot;Мир Умар&quot; Xk"/>
    <x v="1"/>
    <n v="30"/>
    <n v="120000"/>
    <n v="3600000"/>
    <n v="1050000"/>
    <m/>
    <n v="612000"/>
    <n v="1662000"/>
  </r>
  <r>
    <n v="2026"/>
    <n v="4"/>
    <d v="2026-04-21T00:00:00"/>
    <s v="PPS00003333"/>
    <s v="Нурхон опа (Сам)"/>
    <s v="Самарканд_Хуршед ака 2"/>
    <s v="PPS"/>
    <s v="&quot;Мир Умар&quot; Xk"/>
    <x v="4"/>
    <n v="40"/>
    <n v="90000"/>
    <n v="3600000"/>
    <n v="1000000"/>
    <m/>
    <n v="612000"/>
    <n v="1612000"/>
  </r>
  <r>
    <n v="2026"/>
    <n v="4"/>
    <d v="2026-04-21T00:00:00"/>
    <s v="PPS00003336"/>
    <s v="Анвар ака (Срд)"/>
    <s v="Сурхондарьё_Анвар ака"/>
    <s v="PPS"/>
    <s v="&quot;Tabobat  Ok Trade&quot; Mchj"/>
    <x v="1"/>
    <n v="40"/>
    <n v="120000"/>
    <n v="4800000"/>
    <n v="1400000"/>
    <m/>
    <n v="816000.00000000012"/>
    <n v="2216000"/>
  </r>
  <r>
    <n v="2026"/>
    <n v="4"/>
    <d v="2026-04-21T00:00:00"/>
    <s v="PPS00003337"/>
    <s v="Жавохир ака (Сам)"/>
    <s v="Самарканд_Хуршед ака 2"/>
    <s v="PPS"/>
    <s v="&quot;Bulungur Diabet Farm&quot; Mchj"/>
    <x v="4"/>
    <n v="50"/>
    <n v="90000"/>
    <n v="4500000"/>
    <n v="1250000"/>
    <m/>
    <n v="765000"/>
    <n v="2015000"/>
  </r>
  <r>
    <n v="2026"/>
    <n v="4"/>
    <d v="2026-04-21T00:00:00"/>
    <s v="PPS00003353"/>
    <s v="Каюм ака (Шах)"/>
    <s v="Кашкадарьё_Феруз ака"/>
    <s v="PPS"/>
    <s v="&quot;Tadbirkor&quot; Xk"/>
    <x v="2"/>
    <n v="10"/>
    <n v="65000"/>
    <n v="650000"/>
    <n v="200000"/>
    <m/>
    <n v="110500.00000000001"/>
    <n v="310500"/>
  </r>
  <r>
    <n v="2026"/>
    <n v="4"/>
    <d v="2026-04-21T00:00:00"/>
    <s v="PPS00003366"/>
    <s v="Шахноза опа (Кшд)"/>
    <s v="Кашкадарьё_Феруз ака"/>
    <s v="PPS"/>
    <s v="&quot;AL NASAFIY KAFOLAT FARM&quot; MChJ"/>
    <x v="2"/>
    <n v="10"/>
    <n v="65000"/>
    <n v="650000"/>
    <n v="200000"/>
    <m/>
    <n v="110500.00000000001"/>
    <n v="310500"/>
  </r>
  <r>
    <n v="2026"/>
    <n v="4"/>
    <d v="2026-04-22T00:00:00"/>
    <s v="PPS00003383"/>
    <s v="Равшан ака (Сам)"/>
    <s v="Самарканд_Хуршед ака 2"/>
    <s v="PPS"/>
    <s v="&quot;Humo Farm Invest Group&quot; Mchj"/>
    <x v="2"/>
    <n v="30"/>
    <n v="65000"/>
    <n v="1950000"/>
    <n v="600000"/>
    <m/>
    <n v="331500"/>
    <n v="931500"/>
  </r>
  <r>
    <n v="2026"/>
    <n v="4"/>
    <d v="2026-04-22T00:00:00"/>
    <s v="PPS00003410"/>
    <s v="Шахло опа (Т.О)"/>
    <s v="Таш.Обл_Шахло опа"/>
    <s v="PPS"/>
    <s v="ООО &quot;Lukmoni-Xakim&quot;"/>
    <x v="1"/>
    <n v="40"/>
    <n v="120000"/>
    <n v="4800000"/>
    <n v="1400000"/>
    <m/>
    <n v="816000.00000000012"/>
    <n v="2216000"/>
  </r>
  <r>
    <n v="2026"/>
    <n v="4"/>
    <d v="2026-04-22T00:00:00"/>
    <s v="PPS00003414"/>
    <s v="Равшан ака (Сам)"/>
    <s v="Самарканд_Хуршед ака 2"/>
    <s v="PPS"/>
    <s v="&quot;Samarqand Aziz Tabobati&quot; Mchj"/>
    <x v="4"/>
    <n v="20"/>
    <n v="90000"/>
    <n v="1800000"/>
    <n v="500000"/>
    <m/>
    <n v="306000"/>
    <n v="806000"/>
  </r>
  <r>
    <n v="2026"/>
    <n v="4"/>
    <d v="2026-04-22T00:00:00"/>
    <s v="PPS00003418"/>
    <s v="Жавохир ака (Сам)"/>
    <s v="Самарканд_Хуршед ака 2"/>
    <s v="PPS"/>
    <s v="&quot;Sam Family Pharm&quot; Mchj"/>
    <x v="2"/>
    <n v="50"/>
    <n v="65000"/>
    <n v="3250000"/>
    <n v="1000000"/>
    <m/>
    <n v="552500"/>
    <n v="1552500"/>
  </r>
  <r>
    <n v="2026"/>
    <n v="4"/>
    <d v="2026-04-22T00:00:00"/>
    <s v="PPS00003419"/>
    <s v="Жавохир ака (Сам)"/>
    <s v="Самарканд_Хуршед ака 2"/>
    <s v="PPS"/>
    <s v="&quot;Sam Family Pharm&quot; Mchj"/>
    <x v="4"/>
    <n v="50"/>
    <n v="90000"/>
    <n v="4500000"/>
    <n v="1250000"/>
    <m/>
    <n v="765000"/>
    <n v="2015000"/>
  </r>
  <r>
    <n v="2026"/>
    <n v="4"/>
    <d v="2026-04-22T00:00:00"/>
    <s v="PPS00003422"/>
    <s v="Жавохир ака (Сам)"/>
    <s v="Самарканд_Хуршед ака 2"/>
    <s v="PPS"/>
    <s v="&quot;Jannat Shifo&quot; Mchj"/>
    <x v="4"/>
    <n v="30"/>
    <n v="90000"/>
    <n v="2700000"/>
    <n v="750000"/>
    <m/>
    <n v="459000.00000000006"/>
    <n v="1209000"/>
  </r>
  <r>
    <n v="2026"/>
    <n v="4"/>
    <d v="2026-04-22T00:00:00"/>
    <s v="PPS00003425"/>
    <s v="Жавохир ака (Сам)"/>
    <s v="Самарканд_Хуршед ака 2"/>
    <s v="PPS"/>
    <s v="&quot;Jannat Shifo&quot; Mchj"/>
    <x v="2"/>
    <n v="50"/>
    <n v="65000"/>
    <n v="3250000"/>
    <n v="1000000"/>
    <m/>
    <n v="552500"/>
    <n v="1552500"/>
  </r>
  <r>
    <n v="2026"/>
    <n v="4"/>
    <d v="2026-04-22T00:00:00"/>
    <s v="PPS00003432"/>
    <s v="Нурхон опа (Сам)"/>
    <s v="Самарканд_Хуршед ака 2"/>
    <s v="PPS"/>
    <s v="&quot;Akromjon&quot; Xk"/>
    <x v="2"/>
    <n v="20"/>
    <n v="65000"/>
    <n v="1300000"/>
    <n v="400000"/>
    <m/>
    <n v="221000.00000000003"/>
    <n v="621000"/>
  </r>
  <r>
    <n v="2026"/>
    <n v="4"/>
    <d v="2026-04-23T00:00:00"/>
    <s v="PPS00003466"/>
    <s v="Нурхон опа (Сам)"/>
    <s v="Самарканд_Хуршед ака 2"/>
    <s v="PPS"/>
    <s v="&quot;Al-Almaz&quot; Mchj"/>
    <x v="4"/>
    <n v="40"/>
    <n v="90000"/>
    <n v="3600000"/>
    <n v="1000000"/>
    <m/>
    <n v="612000"/>
    <n v="1612000"/>
  </r>
  <r>
    <n v="2026"/>
    <n v="4"/>
    <d v="2026-04-23T00:00:00"/>
    <s v="PPS00003466"/>
    <s v="Нурхон опа (Сам)"/>
    <s v="Самарканд_Хуршед ака 2"/>
    <s v="PPS"/>
    <s v="&quot;Al-Almaz&quot; Mchj"/>
    <x v="4"/>
    <n v="10"/>
    <n v="90000"/>
    <n v="900000"/>
    <n v="250000"/>
    <m/>
    <n v="153000"/>
    <n v="403000"/>
  </r>
  <r>
    <n v="2026"/>
    <n v="4"/>
    <d v="2026-04-24T00:00:00"/>
    <s v="PPS00003526"/>
    <s v="Рузигул опа (Сир)"/>
    <s v="Сирдарьё_Зилола Опа"/>
    <s v="PPS"/>
    <s v="&quot;ILHOMBEK PHARM MEDICAL&quot; MChJ"/>
    <x v="3"/>
    <n v="20"/>
    <n v="64700"/>
    <n v="1294000"/>
    <n v="400000"/>
    <m/>
    <n v="219980.00000000003"/>
    <n v="619980"/>
  </r>
  <r>
    <n v="2026"/>
    <n v="4"/>
    <d v="2026-04-24T00:00:00"/>
    <s v="PPS00003528"/>
    <s v="Дилшод ака (Сам)"/>
    <s v="Самарканд_Хуршед ака"/>
    <s v="PPS"/>
    <s v="MCHJ Muxlisa Universal Farm Servis"/>
    <x v="4"/>
    <n v="20"/>
    <n v="90000"/>
    <n v="1800000"/>
    <n v="500000"/>
    <m/>
    <n v="306000"/>
    <n v="806000"/>
  </r>
  <r>
    <n v="2026"/>
    <n v="4"/>
    <d v="2026-04-24T00:00:00"/>
    <s v="PPS00003547"/>
    <s v="Улугбек ака (Хор)"/>
    <s v="Хоразм_Улугбек ака"/>
    <s v="PPS"/>
    <s v="&quot;Intermed Pharmaceutical&quot; Mchj"/>
    <x v="3"/>
    <n v="20"/>
    <n v="64700"/>
    <n v="1294000"/>
    <n v="400000"/>
    <m/>
    <n v="219980.00000000003"/>
    <n v="619980"/>
  </r>
  <r>
    <n v="2026"/>
    <n v="4"/>
    <d v="2026-04-24T00:00:00"/>
    <s v="PPS00003547"/>
    <s v="Улугбек ака (Хор)"/>
    <s v="Хоразм_Улугбек ака"/>
    <s v="PPS"/>
    <s v="&quot;Intermed Pharmaceutical&quot; Mchj"/>
    <x v="3"/>
    <n v="180"/>
    <n v="64700"/>
    <n v="11646000"/>
    <n v="3600000"/>
    <m/>
    <n v="1979820.0000000002"/>
    <n v="5579820"/>
  </r>
  <r>
    <n v="2026"/>
    <n v="4"/>
    <d v="2026-04-24T00:00:00"/>
    <s v="PPS00003547"/>
    <s v="Улугбек ака (Хор)"/>
    <s v="Хоразм_Улугбек ака"/>
    <s v="PPS"/>
    <s v="&quot;Intermed Pharmaceutical&quot; Mchj"/>
    <x v="2"/>
    <n v="200"/>
    <n v="65000"/>
    <n v="13000000"/>
    <n v="4000000"/>
    <m/>
    <n v="2210000"/>
    <n v="6210000"/>
  </r>
  <r>
    <n v="2026"/>
    <n v="4"/>
    <d v="2026-04-24T00:00:00"/>
    <s v="PPS00003556"/>
    <s v="Жавохир ака (Сам)"/>
    <s v="Самарканд_Хуршед ака 2"/>
    <s v="PPS"/>
    <s v="&quot;Sbya&quot; Mchj"/>
    <x v="4"/>
    <n v="20"/>
    <n v="90000"/>
    <n v="1800000"/>
    <n v="500000"/>
    <m/>
    <n v="306000"/>
    <n v="806000"/>
  </r>
  <r>
    <n v="2026"/>
    <n v="4"/>
    <d v="2026-04-24T00:00:00"/>
    <s v="PPS00003556"/>
    <s v="Жавохир ака (Сам)"/>
    <s v="Самарканд_Хуршед ака 2"/>
    <s v="PPS"/>
    <s v="&quot;Sbya&quot; Mchj"/>
    <x v="2"/>
    <n v="20"/>
    <n v="65000"/>
    <n v="1300000"/>
    <n v="400000"/>
    <m/>
    <n v="221000.00000000003"/>
    <n v="621000"/>
  </r>
  <r>
    <n v="2026"/>
    <n v="4"/>
    <d v="2026-04-24T00:00:00"/>
    <s v="PPS00003556"/>
    <s v="Жавохир ака (Сам)"/>
    <s v="Самарканд_Хуршед ака 2"/>
    <s v="PPS"/>
    <s v="&quot;Sbya&quot; Mchj"/>
    <x v="1"/>
    <n v="20"/>
    <n v="120000"/>
    <n v="2400000"/>
    <n v="700000"/>
    <m/>
    <n v="408000.00000000006"/>
    <n v="1108000"/>
  </r>
  <r>
    <n v="2026"/>
    <n v="4"/>
    <d v="2026-04-27T00:00:00"/>
    <s v="PPS00003576"/>
    <s v="Асал опа (Шах)"/>
    <s v="Шахрисабз_Хуршид ака(Сам)"/>
    <s v="PPS"/>
    <s v="&quot;Kifti-Ob Dori Darmon&quot; Mchj"/>
    <x v="4"/>
    <n v="9"/>
    <n v="90000"/>
    <n v="810000"/>
    <n v="225000"/>
    <m/>
    <n v="137700"/>
    <n v="362700"/>
  </r>
  <r>
    <n v="2026"/>
    <n v="4"/>
    <d v="2026-04-27T00:00:00"/>
    <s v="PPS00003576"/>
    <s v="Асал опа (Шах)"/>
    <s v="Шахрисабз_Хуршид ака(Сам)"/>
    <s v="PPS"/>
    <s v="&quot;Kifti-Ob Dori Darmon&quot; Mchj"/>
    <x v="4"/>
    <n v="1"/>
    <n v="90000"/>
    <n v="90000"/>
    <n v="25000"/>
    <m/>
    <n v="15300.000000000002"/>
    <n v="40300"/>
  </r>
  <r>
    <n v="2026"/>
    <n v="4"/>
    <d v="2026-04-27T00:00:00"/>
    <s v="PPS00003578"/>
    <s v="Жавохир ака (Сам)"/>
    <s v="Самарканд_Хуршед ака 2"/>
    <s v="PPS"/>
    <s v="Смиле Траде Мчж"/>
    <x v="4"/>
    <n v="99"/>
    <n v="90000"/>
    <n v="8910000"/>
    <n v="2475000"/>
    <m/>
    <n v="1514700"/>
    <n v="3989700"/>
  </r>
  <r>
    <n v="2026"/>
    <n v="4"/>
    <d v="2026-04-27T00:00:00"/>
    <s v="PPS00003578"/>
    <s v="Жавохир ака (Сам)"/>
    <s v="Самарканд_Хуршед ака 2"/>
    <s v="PPS"/>
    <s v="Смиле Траде Мчж"/>
    <x v="4"/>
    <n v="1"/>
    <n v="90000"/>
    <n v="90000"/>
    <n v="25000"/>
    <m/>
    <n v="15300.000000000002"/>
    <n v="40300"/>
  </r>
  <r>
    <n v="2026"/>
    <n v="4"/>
    <d v="2026-04-27T00:00:00"/>
    <s v="PPS00003623"/>
    <s v="Нафосат опа (Бух)"/>
    <s v="Бухоро_Нафосат опа"/>
    <s v="PPS"/>
    <s v="&quot;NIGINA FARM SANOAT&quot; XK"/>
    <x v="4"/>
    <n v="9"/>
    <n v="90000"/>
    <n v="810000"/>
    <n v="225000"/>
    <m/>
    <n v="137700"/>
    <n v="362700"/>
  </r>
  <r>
    <n v="2026"/>
    <n v="4"/>
    <d v="2026-04-27T00:00:00"/>
    <s v="PPS00003623"/>
    <s v="Нафосат опа (Бух)"/>
    <s v="Бухоро_Нафосат опа"/>
    <s v="PPS"/>
    <s v="&quot;NIGINA FARM SANOAT&quot; XK"/>
    <x v="4"/>
    <n v="20"/>
    <n v="90000"/>
    <n v="1800000"/>
    <n v="500000"/>
    <m/>
    <n v="306000"/>
    <n v="806000"/>
  </r>
  <r>
    <n v="2026"/>
    <n v="4"/>
    <d v="2026-04-27T00:00:00"/>
    <s v="PPS00003623"/>
    <s v="Нафосат опа (Бух)"/>
    <s v="Бухоро_Нафосат опа"/>
    <s v="PPS"/>
    <s v="&quot;NIGINA FARM SANOAT&quot; XK"/>
    <x v="4"/>
    <n v="21"/>
    <n v="90000"/>
    <n v="1890000"/>
    <n v="525000"/>
    <m/>
    <n v="321300"/>
    <n v="846300"/>
  </r>
  <r>
    <n v="2026"/>
    <n v="4"/>
    <d v="2026-04-27T00:00:00"/>
    <s v="PPS00003625"/>
    <s v="Нафосат опа (Бух)"/>
    <s v="Бухоро_Нафосат опа"/>
    <s v="PPS"/>
    <s v="&quot;EXIMPHARM&quot; MChJ"/>
    <x v="4"/>
    <n v="50"/>
    <n v="90000"/>
    <n v="4500000"/>
    <n v="1250000"/>
    <m/>
    <n v="765000"/>
    <n v="2015000"/>
  </r>
  <r>
    <n v="2026"/>
    <n v="4"/>
    <d v="2026-04-27T00:00:00"/>
    <s v="PPS00003629"/>
    <s v="Нафосат опа (Бух)"/>
    <s v="Бухоро_Нафосат опа"/>
    <s v="PPS"/>
    <s v="&quot;Eco Nazarbek Pharm&quot; Mchj"/>
    <x v="4"/>
    <n v="50"/>
    <n v="90000"/>
    <n v="4500000"/>
    <n v="1250000"/>
    <m/>
    <n v="765000"/>
    <n v="2015000"/>
  </r>
  <r>
    <n v="2026"/>
    <n v="4"/>
    <d v="2026-04-28T00:00:00"/>
    <s v="PPS00003640"/>
    <s v="Равшан ака (Сам)"/>
    <s v="Самарканд_Хуршед ака 2"/>
    <s v="PPS"/>
    <s v="SUG`DIYONA-FARM ХК"/>
    <x v="2"/>
    <n v="30"/>
    <n v="65000"/>
    <n v="1950000"/>
    <n v="600000"/>
    <m/>
    <n v="331500"/>
    <n v="931500"/>
  </r>
  <r>
    <n v="2026"/>
    <n v="4"/>
    <d v="2026-04-28T00:00:00"/>
    <s v="PPS00003657"/>
    <s v="Хуршид Ака 3 (Сам)"/>
    <s v="Самарканд_Хуршед ака"/>
    <s v="PPS"/>
    <s v="&quot;Madina-Farm Qarshi&quot; Mchj"/>
    <x v="4"/>
    <n v="10"/>
    <n v="90000"/>
    <n v="900000"/>
    <n v="250000"/>
    <m/>
    <n v="153000"/>
    <n v="403000"/>
  </r>
  <r>
    <n v="2026"/>
    <n v="4"/>
    <d v="2026-04-28T00:00:00"/>
    <s v="PPS00003657"/>
    <s v="Хуршид Ака 3 (Сам)"/>
    <s v="Самарканд_Хуршед ака"/>
    <s v="PPS"/>
    <s v="&quot;Madina-Farm Qarshi&quot; Mchj"/>
    <x v="1"/>
    <n v="5"/>
    <n v="120000"/>
    <n v="600000"/>
    <n v="175000"/>
    <m/>
    <n v="102000.00000000001"/>
    <n v="277000"/>
  </r>
  <r>
    <n v="2026"/>
    <n v="4"/>
    <d v="2026-04-28T00:00:00"/>
    <s v="PPS00003657"/>
    <s v="Хуршид Ака 3 (Сам)"/>
    <s v="Самарканд_Хуршед ака"/>
    <s v="PPS"/>
    <s v="&quot;Madina-Farm Qarshi&quot; Mchj"/>
    <x v="3"/>
    <n v="15"/>
    <n v="64700"/>
    <n v="970500"/>
    <n v="300000"/>
    <m/>
    <n v="164985"/>
    <n v="464985"/>
  </r>
  <r>
    <n v="2026"/>
    <n v="4"/>
    <d v="2026-04-28T00:00:00"/>
    <s v="PPS00003657"/>
    <s v="Хуршид Ака 3 (Сам)"/>
    <s v="Самарканд_Хуршед ака"/>
    <s v="PPS"/>
    <s v="&quot;Madina-Farm Qarshi&quot; Mchj"/>
    <x v="2"/>
    <n v="10"/>
    <n v="65000"/>
    <n v="650000"/>
    <n v="200000"/>
    <m/>
    <n v="110500.00000000001"/>
    <n v="310500"/>
  </r>
  <r>
    <n v="2026"/>
    <n v="4"/>
    <d v="2026-04-28T00:00:00"/>
    <s v="PPS00003708"/>
    <s v="Шерзод ака (Т.О)"/>
    <s v="Таш.Обл_Шахло опа"/>
    <s v="PPS"/>
    <s v="&quot;DARMON NUR BIZNES&quot; MChJ"/>
    <x v="1"/>
    <n v="10"/>
    <n v="120000"/>
    <n v="1200000"/>
    <n v="350000"/>
    <m/>
    <n v="204000.00000000003"/>
    <n v="554000"/>
  </r>
  <r>
    <n v="2026"/>
    <n v="4"/>
    <d v="2026-04-29T00:00:00"/>
    <s v="PPS00003728"/>
    <s v="Жавохир ака (Сам)"/>
    <s v="Самарканд_Хуршед ака 2"/>
    <s v="PPS"/>
    <s v="ООО &quot;Ferroplekt Farm Medikal&quot;"/>
    <x v="1"/>
    <n v="20"/>
    <n v="120000"/>
    <n v="2400000"/>
    <n v="700000"/>
    <m/>
    <n v="408000.00000000006"/>
    <n v="1108000"/>
  </r>
  <r>
    <n v="2026"/>
    <n v="4"/>
    <d v="2026-04-29T00:00:00"/>
    <s v="PPS00003728"/>
    <s v="Жавохир ака (Сам)"/>
    <s v="Самарканд_Хуршед ака 2"/>
    <s v="PPS"/>
    <s v="ООО &quot;Ferroplekt Farm Medikal&quot;"/>
    <x v="4"/>
    <n v="20"/>
    <n v="90000"/>
    <n v="1800000"/>
    <n v="500000"/>
    <m/>
    <n v="306000"/>
    <n v="806000"/>
  </r>
  <r>
    <n v="2026"/>
    <n v="4"/>
    <d v="2026-04-29T00:00:00"/>
    <s v="PPS00003743"/>
    <s v="Зилола опа (Т.О)"/>
    <s v="Таш.Обл_Шахло опа"/>
    <s v="PPS"/>
    <s v="&quot;White Star Plyus&quot; Mchj"/>
    <x v="1"/>
    <n v="20"/>
    <n v="120000"/>
    <n v="2400000"/>
    <n v="700000"/>
    <m/>
    <n v="408000.00000000006"/>
    <n v="1108000"/>
  </r>
  <r>
    <n v="2026"/>
    <n v="4"/>
    <d v="2026-04-29T00:00:00"/>
    <s v="PPS00003772"/>
    <s v="Равшан ака (Сам)"/>
    <s v="Самарканд_Хуршед ака 2"/>
    <s v="PPS"/>
    <s v="&quot;Farmadok Diabet&quot; Mchj"/>
    <x v="2"/>
    <n v="100"/>
    <n v="65000"/>
    <n v="6500000"/>
    <n v="2000000"/>
    <m/>
    <n v="1105000"/>
    <n v="3105000"/>
  </r>
  <r>
    <n v="2026"/>
    <n v="4"/>
    <d v="2026-04-29T00:00:00"/>
    <s v="PPS00003776"/>
    <s v="Саодат опа (Сир)"/>
    <s v="Сирдарё_Фотима опа"/>
    <s v="PPS"/>
    <s v="MCHJ Askarbinka Vitaminka"/>
    <x v="1"/>
    <n v="40"/>
    <n v="120000"/>
    <n v="4800000"/>
    <n v="1400000"/>
    <m/>
    <n v="816000.00000000012"/>
    <n v="2216000"/>
  </r>
  <r>
    <n v="2026"/>
    <n v="4"/>
    <d v="2026-04-29T00:00:00"/>
    <s v="PPS00003779"/>
    <s v="Шахло опа (Т.О)"/>
    <s v="Таш.Обл_Шахло опа"/>
    <s v="PPS"/>
    <s v="&quot;LIR&quot; XK"/>
    <x v="3"/>
    <n v="40"/>
    <n v="64700"/>
    <n v="2588000"/>
    <n v="800000"/>
    <m/>
    <n v="439960.00000000006"/>
    <n v="1239960"/>
  </r>
  <r>
    <n v="2026"/>
    <n v="4"/>
    <d v="2026-04-30T00:00:00"/>
    <s v="PPS00003802"/>
    <s v="Нигора опа (Сир)"/>
    <s v="Сирдарьё_Зилола Опа"/>
    <s v="PPS"/>
    <s v="&quot;Shifobaxsh&quot; Xk"/>
    <x v="3"/>
    <n v="20"/>
    <n v="64700"/>
    <n v="1294000"/>
    <n v="400000"/>
    <m/>
    <n v="219980.00000000003"/>
    <n v="619980"/>
  </r>
  <r>
    <n v="2026"/>
    <n v="4"/>
    <d v="2026-04-30T00:00:00"/>
    <s v="PPS00003827"/>
    <s v="Равшан ака (Сам)"/>
    <s v="Самарканд_Хуршед ака 2"/>
    <s v="PPS"/>
    <s v="&quot;Dreem Pharmacy&quot; Mchj"/>
    <x v="2"/>
    <n v="50"/>
    <n v="65000"/>
    <n v="3250000"/>
    <n v="1000000"/>
    <m/>
    <n v="552500"/>
    <n v="1552500"/>
  </r>
  <r>
    <n v="2026"/>
    <n v="4"/>
    <d v="2026-04-30T00:00:00"/>
    <s v="PPS00003831"/>
    <s v="Эхсон ака (Сам)"/>
    <s v="Самарканд_Хуршед ака 2"/>
    <s v="PPS"/>
    <s v="Pul`S Farm Mchj"/>
    <x v="1"/>
    <n v="10"/>
    <n v="120000"/>
    <n v="1200000"/>
    <n v="350000"/>
    <m/>
    <n v="204000.00000000003"/>
    <n v="554000"/>
  </r>
  <r>
    <n v="2026"/>
    <n v="4"/>
    <d v="2026-04-30T00:00:00"/>
    <s v="PPS00003842"/>
    <s v="Жавохир ака (Сам)"/>
    <s v="Самарканд_Хуршед ака 2"/>
    <s v="PPS"/>
    <s v="&quot;Sam Family Pharm&quot; Mchj"/>
    <x v="4"/>
    <n v="1"/>
    <n v="90000"/>
    <n v="90000"/>
    <n v="25000"/>
    <m/>
    <n v="15300.000000000002"/>
    <n v="40300"/>
  </r>
  <r>
    <n v="2026"/>
    <n v="4"/>
    <d v="2026-04-30T00:00:00"/>
    <s v="PPS00003842"/>
    <s v="Жавохир ака (Сам)"/>
    <s v="Самарканд_Хуршед ака 2"/>
    <s v="PPS"/>
    <s v="&quot;Sam Family Pharm&quot; Mchj"/>
    <x v="4"/>
    <n v="49"/>
    <n v="90000"/>
    <n v="4410000"/>
    <n v="1225000"/>
    <m/>
    <n v="749700"/>
    <n v="1974700"/>
  </r>
  <r>
    <n v="2026"/>
    <n v="4"/>
    <d v="2026-04-30T00:00:00"/>
    <s v="PPS00003842"/>
    <s v="Жавохир ака (Сам)"/>
    <s v="Самарканд_Хуршед ака 2"/>
    <s v="PPS"/>
    <s v="&quot;Sam Family Pharm&quot; Mchj"/>
    <x v="2"/>
    <n v="50"/>
    <n v="65000"/>
    <n v="3250000"/>
    <n v="1000000"/>
    <m/>
    <n v="552500"/>
    <n v="1552500"/>
  </r>
  <r>
    <n v="2026"/>
    <n v="4"/>
    <d v="2026-04-30T00:00:00"/>
    <s v="PPS00003843"/>
    <s v="Дилсўз опа (Кшд)"/>
    <s v="Карши_Дилсўз опа"/>
    <s v="PPS"/>
    <s v="&quot;Tabletka Shifo Farm&quot; Xk"/>
    <x v="4"/>
    <n v="50"/>
    <n v="90000"/>
    <n v="4500000"/>
    <n v="1250000"/>
    <m/>
    <n v="765000"/>
    <n v="2015000"/>
  </r>
  <r>
    <n v="2026"/>
    <n v="4"/>
    <d v="2026-04-30T00:00:00"/>
    <s v="PPS00003848"/>
    <s v="Сардор ака (Т.О)"/>
    <s v="Таш.Обл_Шахло опа"/>
    <s v="PPS"/>
    <s v="&quot;Abdurahim-Doda-Farm&quot; Xk"/>
    <x v="1"/>
    <n v="10"/>
    <n v="120000"/>
    <n v="1200000"/>
    <n v="350000"/>
    <m/>
    <n v="204000.00000000003"/>
    <n v="554000"/>
  </r>
  <r>
    <n v="2026"/>
    <n v="5"/>
    <d v="2026-05-01T00:00:00"/>
    <s v="PPS00003854"/>
    <s v="Анвар ака (Срд)"/>
    <s v="Сурхондарьё_Анвар ака"/>
    <s v="PPS"/>
    <s v="ЧП &quot;Soliha-Med-Farm&quot;"/>
    <x v="2"/>
    <n v="50"/>
    <n v="65000"/>
    <n v="3250000"/>
    <n v="1000000"/>
    <m/>
    <n v="552500"/>
    <n v="1552500"/>
  </r>
  <r>
    <n v="2026"/>
    <n v="5"/>
    <d v="2026-05-01T00:00:00"/>
    <s v="PPS00003859"/>
    <s v="Зилола опа (Т.О)"/>
    <s v="Таш.Обл_Шахло опа"/>
    <s v="PPS"/>
    <s v="&quot;777 Vorid&quot; Mchj"/>
    <x v="1"/>
    <n v="10"/>
    <n v="120000"/>
    <n v="1200000"/>
    <n v="350000"/>
    <m/>
    <n v="204000.00000000003"/>
    <n v="554000"/>
  </r>
  <r>
    <n v="2026"/>
    <n v="5"/>
    <d v="2026-05-01T00:00:00"/>
    <s v="PPS00003865"/>
    <s v="Зухра опа (Сир)"/>
    <s v="Сирдарьё_Зилола Опа"/>
    <s v="PPS"/>
    <s v="&quot;Farmmed&quot; Mchj"/>
    <x v="3"/>
    <n v="30"/>
    <n v="64700"/>
    <n v="1941000"/>
    <n v="600000"/>
    <m/>
    <n v="329970"/>
    <n v="929970"/>
  </r>
  <r>
    <n v="2026"/>
    <n v="5"/>
    <d v="2026-05-01T00:00:00"/>
    <s v="PPS00003869"/>
    <s v="Сардор ака (Т.О)"/>
    <s v="Таш.Обл_Шахло опа"/>
    <s v="PPS"/>
    <s v="&quot;Fazliddin-Fayz-Baraka&quot; Xk"/>
    <x v="3"/>
    <n v="10"/>
    <n v="64700"/>
    <n v="647000"/>
    <n v="200000"/>
    <m/>
    <n v="109990.00000000001"/>
    <n v="309990"/>
  </r>
  <r>
    <n v="2026"/>
    <n v="5"/>
    <d v="2026-05-01T00:00:00"/>
    <s v="PPS00003881"/>
    <s v="Анвар ака (Срд)"/>
    <s v="Сурхондарьё_Анвар ака"/>
    <s v="PPS"/>
    <s v="&quot;Nodirbek&quot; Xk"/>
    <x v="2"/>
    <n v="40"/>
    <n v="65000"/>
    <n v="2600000"/>
    <n v="800000"/>
    <m/>
    <n v="442000.00000000006"/>
    <n v="1242000"/>
  </r>
  <r>
    <n v="2026"/>
    <n v="5"/>
    <d v="2026-05-01T00:00:00"/>
    <s v="PPS00003882"/>
    <s v="Жавохир ака (Сам)"/>
    <s v="Самарканд_Хуршед ака 2"/>
    <s v="PPS"/>
    <s v="&quot;Jannat Shifo&quot; Mchj"/>
    <x v="1"/>
    <n v="20"/>
    <n v="120000"/>
    <n v="2400000"/>
    <n v="700000"/>
    <m/>
    <n v="408000.00000000006"/>
    <n v="1108000"/>
  </r>
  <r>
    <n v="2026"/>
    <n v="5"/>
    <d v="2026-05-01T00:00:00"/>
    <s v="PPS00003882"/>
    <s v="Жавохир ака (Сам)"/>
    <s v="Самарканд_Хуршед ака 2"/>
    <s v="PPS"/>
    <s v="&quot;Jannat Shifo&quot; Mchj"/>
    <x v="1"/>
    <n v="10"/>
    <n v="120000"/>
    <n v="1200000"/>
    <n v="350000"/>
    <m/>
    <n v="204000.00000000003"/>
    <n v="554000"/>
  </r>
  <r>
    <n v="2026"/>
    <n v="5"/>
    <d v="2026-05-01T00:00:00"/>
    <s v="PPS00003882"/>
    <s v="Жавохир ака (Сам)"/>
    <s v="Самарканд_Хуршед ака 2"/>
    <s v="PPS"/>
    <s v="&quot;Jannat Shifo&quot; Mchj"/>
    <x v="4"/>
    <n v="10"/>
    <n v="90000"/>
    <n v="900000"/>
    <n v="250000"/>
    <m/>
    <n v="153000"/>
    <n v="403000"/>
  </r>
  <r>
    <n v="2026"/>
    <n v="5"/>
    <d v="2026-05-01T00:00:00"/>
    <s v="PPS00003883"/>
    <s v="Нафосат опа (Сам)"/>
    <s v="Самарканд_Хуршед ака 2"/>
    <s v="PPS"/>
    <s v="&quot;Akromjon&quot; Xk"/>
    <x v="4"/>
    <n v="30"/>
    <n v="90000"/>
    <n v="2700000"/>
    <n v="750000"/>
    <m/>
    <n v="459000.00000000006"/>
    <n v="1209000"/>
  </r>
  <r>
    <n v="2026"/>
    <n v="5"/>
    <d v="2026-05-04T00:00:00"/>
    <s v="PPS00003904"/>
    <s v="Нафосат опа (Сам)"/>
    <s v="Самарканд_Хуршед ака 2"/>
    <s v="PPS"/>
    <s v="&quot;Humo Farm Invest Group&quot; Mchj"/>
    <x v="1"/>
    <n v="25"/>
    <n v="120000"/>
    <n v="3000000"/>
    <n v="875000"/>
    <m/>
    <n v="510000.00000000006"/>
    <n v="1385000"/>
  </r>
  <r>
    <n v="2026"/>
    <n v="5"/>
    <d v="2026-05-04T00:00:00"/>
    <s v="PPS00003904"/>
    <s v="Нафосат опа (Сам)"/>
    <s v="Самарканд_Хуршед ака 2"/>
    <s v="PPS"/>
    <s v="&quot;Humo Farm Invest Group&quot; Mchj"/>
    <x v="2"/>
    <n v="10"/>
    <n v="65000"/>
    <n v="650000"/>
    <n v="200000"/>
    <m/>
    <n v="110500.00000000001"/>
    <n v="310500"/>
  </r>
  <r>
    <n v="2026"/>
    <n v="5"/>
    <d v="2026-05-04T00:00:00"/>
    <s v="PPS00003904"/>
    <s v="Нафосат опа (Сам)"/>
    <s v="Самарканд_Хуршед ака 2"/>
    <s v="PPS"/>
    <s v="&quot;Humo Farm Invest Group&quot; Mchj"/>
    <x v="4"/>
    <n v="30"/>
    <n v="90000"/>
    <n v="2700000"/>
    <n v="750000"/>
    <m/>
    <n v="459000.00000000006"/>
    <n v="1209000"/>
  </r>
  <r>
    <n v="2026"/>
    <n v="5"/>
    <d v="2026-05-04T00:00:00"/>
    <s v="PPS00003904"/>
    <s v="Нафосат опа (Сам)"/>
    <s v="Самарканд_Хуршед ака 2"/>
    <s v="PPS"/>
    <s v="&quot;Humo Farm Invest Group&quot; Mchj"/>
    <x v="2"/>
    <n v="20"/>
    <n v="65000"/>
    <n v="1300000"/>
    <n v="400000"/>
    <m/>
    <n v="221000.00000000003"/>
    <n v="621000"/>
  </r>
  <r>
    <n v="2026"/>
    <n v="5"/>
    <d v="2026-05-04T00:00:00"/>
    <s v="PPS00003904"/>
    <s v="Нафосат опа (Сам)"/>
    <s v="Самарканд_Хуршед ака 2"/>
    <s v="PPS"/>
    <s v="&quot;Humo Farm Invest Group&quot; Mchj"/>
    <x v="4"/>
    <n v="20"/>
    <n v="90000"/>
    <n v="1800000"/>
    <n v="500000"/>
    <m/>
    <n v="306000"/>
    <n v="806000"/>
  </r>
  <r>
    <n v="2026"/>
    <n v="5"/>
    <d v="2026-05-04T00:00:00"/>
    <s v="PPS00003928"/>
    <s v="Нигора опа (Сир)"/>
    <s v="Сирдарьё_Зилола Опа"/>
    <s v="PPS"/>
    <s v="ООО &quot;Saxovat Farm&quot;"/>
    <x v="3"/>
    <n v="20"/>
    <n v="64700"/>
    <n v="1294000"/>
    <n v="400000"/>
    <m/>
    <n v="219980.00000000003"/>
    <n v="619980"/>
  </r>
  <r>
    <n v="2026"/>
    <n v="5"/>
    <d v="2026-05-04T00:00:00"/>
    <s v="PPS00003948"/>
    <s v="Нурхон опа (Сам)"/>
    <s v="Самарканд_Хуршед ака 2"/>
    <s v="PPS"/>
    <s v="&quot;Мир Умар&quot; Xk"/>
    <x v="4"/>
    <n v="10"/>
    <n v="90000"/>
    <n v="900000"/>
    <n v="250000"/>
    <m/>
    <n v="153000"/>
    <n v="403000"/>
  </r>
  <r>
    <n v="2026"/>
    <n v="5"/>
    <d v="2026-05-04T00:00:00"/>
    <s v="PPS00003948"/>
    <s v="Нурхон опа (Сам)"/>
    <s v="Самарканд_Хуршед ака 2"/>
    <s v="PPS"/>
    <s v="&quot;Мир Умар&quot; Xk"/>
    <x v="4"/>
    <n v="20"/>
    <n v="90000"/>
    <n v="1800000"/>
    <n v="500000"/>
    <m/>
    <n v="306000"/>
    <n v="806000"/>
  </r>
  <r>
    <n v="2026"/>
    <n v="5"/>
    <d v="2026-05-04T00:00:00"/>
    <s v="PPS00003948"/>
    <s v="Нурхон опа (Сам)"/>
    <s v="Самарканд_Хуршед ака 2"/>
    <s v="PPS"/>
    <s v="&quot;Мир Умар&quot; Xk"/>
    <x v="1"/>
    <n v="30"/>
    <n v="120000"/>
    <n v="3600000"/>
    <n v="1050000"/>
    <m/>
    <n v="612000"/>
    <n v="1662000"/>
  </r>
  <r>
    <n v="2026"/>
    <n v="5"/>
    <d v="2026-05-05T00:00:00"/>
    <s v="PPS00003954"/>
    <s v="Хуршид ака (Шах)"/>
    <s v="Шахрисабз_Хуршид ака(Сам)"/>
    <s v="PPS"/>
    <s v="&quot;Ravshan-Surayyo&quot; Mchj"/>
    <x v="4"/>
    <n v="10"/>
    <n v="90000"/>
    <n v="900000"/>
    <n v="250000"/>
    <m/>
    <n v="153000"/>
    <n v="403000"/>
  </r>
  <r>
    <n v="2026"/>
    <n v="5"/>
    <d v="2026-05-05T00:00:00"/>
    <s v="PPS00003963"/>
    <s v="Равшан ака (Сам)"/>
    <s v="Самарканд_Хуршед ака 2"/>
    <s v="PPS"/>
    <s v="Garmoniya Farm Мchj"/>
    <x v="4"/>
    <n v="20"/>
    <n v="90000"/>
    <n v="1800000"/>
    <n v="500000"/>
    <m/>
    <n v="306000"/>
    <n v="806000"/>
  </r>
  <r>
    <n v="2026"/>
    <n v="5"/>
    <d v="2026-05-05T00:00:00"/>
    <s v="PPS00003963"/>
    <s v="Равшан ака (Сам)"/>
    <s v="Самарканд_Хуршед ака 2"/>
    <s v="PPS"/>
    <s v="Garmoniya Farm Мchj"/>
    <x v="2"/>
    <n v="10"/>
    <n v="65000"/>
    <n v="650000"/>
    <n v="200000"/>
    <m/>
    <n v="110500.00000000001"/>
    <n v="310500"/>
  </r>
  <r>
    <n v="2026"/>
    <n v="5"/>
    <d v="2026-05-05T00:00:00"/>
    <s v="PPS00003963"/>
    <s v="Равшан ака (Сам)"/>
    <s v="Самарканд_Хуршед ака 2"/>
    <s v="PPS"/>
    <s v="Garmoniya Farm Мchj"/>
    <x v="1"/>
    <n v="10"/>
    <n v="120000"/>
    <n v="1200000"/>
    <n v="350000"/>
    <m/>
    <n v="204000.00000000003"/>
    <n v="554000"/>
  </r>
  <r>
    <n v="2026"/>
    <n v="5"/>
    <d v="2026-05-05T00:00:00"/>
    <s v="PPS00003978"/>
    <s v="Жавохир ака (Сам)"/>
    <s v="Самарканд_Хуршед ака 2"/>
    <s v="PPS"/>
    <s v="&quot;Shukrona Shifo S Y&quot; Mchj"/>
    <x v="2"/>
    <n v="70"/>
    <n v="65000"/>
    <n v="4550000"/>
    <n v="1400000"/>
    <m/>
    <n v="773500"/>
    <n v="2173500"/>
  </r>
  <r>
    <n v="2026"/>
    <n v="5"/>
    <d v="2026-05-05T00:00:00"/>
    <s v="PPS00003978"/>
    <s v="Жавохир ака (Сам)"/>
    <s v="Самарканд_Хуршед ака 2"/>
    <s v="PPS"/>
    <s v="&quot;Shukrona Shifo S Y&quot; Mchj"/>
    <x v="2"/>
    <n v="30"/>
    <n v="65000"/>
    <n v="1950000"/>
    <n v="600000"/>
    <m/>
    <n v="331500"/>
    <n v="931500"/>
  </r>
  <r>
    <n v="2026"/>
    <n v="5"/>
    <d v="2026-05-05T00:00:00"/>
    <s v="PPS00003982"/>
    <s v="Хуршид Ака 3 (Сам)"/>
    <s v="Самарканд_Хуршед ака 2"/>
    <s v="PPS"/>
    <s v="&quot;MUXAMMAD DORISHUNOS&quot; MChJ"/>
    <x v="2"/>
    <n v="50"/>
    <n v="65000"/>
    <n v="3250000"/>
    <n v="1000000"/>
    <m/>
    <n v="552500"/>
    <n v="1552500"/>
  </r>
  <r>
    <n v="2026"/>
    <n v="5"/>
    <d v="2026-05-05T00:00:00"/>
    <s v="PPS00003987"/>
    <s v="Шахло опа (Сам)"/>
    <s v="Самарканд_Хуршед ака 3"/>
    <s v="PPS"/>
    <s v="&quot;Zulfiya Ona Farm Biznes&quot; Mchj"/>
    <x v="3"/>
    <n v="50"/>
    <n v="64700"/>
    <n v="3235000"/>
    <n v="1000000"/>
    <m/>
    <n v="549950"/>
    <n v="1549950"/>
  </r>
  <r>
    <n v="2026"/>
    <n v="5"/>
    <d v="2026-05-05T00:00:00"/>
    <s v="PPS00003995"/>
    <s v="Нурхон опа (Сам)"/>
    <s v="Самарканд_Хуршед ака 2"/>
    <s v="PPS"/>
    <s v="&quot;Samarqand Provizor&quot; Mchj"/>
    <x v="4"/>
    <n v="30"/>
    <n v="90000"/>
    <n v="2700000"/>
    <n v="750000"/>
    <m/>
    <n v="459000.00000000006"/>
    <n v="1209000"/>
  </r>
  <r>
    <n v="2026"/>
    <n v="5"/>
    <d v="2026-05-05T00:00:00"/>
    <s v="PPS00003999"/>
    <s v="Каюм ака (Шах)"/>
    <s v="Кашкадарьё_Феруз ака"/>
    <s v="PPS"/>
    <s v="&quot;Status Darmon Farm&quot; Mchj"/>
    <x v="2"/>
    <n v="5"/>
    <n v="65000"/>
    <n v="325000"/>
    <n v="100000"/>
    <m/>
    <n v="55250.000000000007"/>
    <n v="155250"/>
  </r>
  <r>
    <n v="2026"/>
    <n v="5"/>
    <d v="2026-05-05T00:00:00"/>
    <s v="PPS00004004"/>
    <s v="Хуршид Ака 3 (Сам)"/>
    <s v="Самарканд_Хуршед ака 2"/>
    <s v="PPS"/>
    <s v="&quot;Akromjon&quot; Xk"/>
    <x v="1"/>
    <n v="10"/>
    <n v="120000"/>
    <n v="1200000"/>
    <n v="350000"/>
    <m/>
    <n v="204000.00000000003"/>
    <n v="554000"/>
  </r>
  <r>
    <n v="2026"/>
    <n v="5"/>
    <d v="2026-05-05T00:00:00"/>
    <s v="PPS00004005"/>
    <s v="Фаёза опа (Шах)"/>
    <s v="Шахрисабз_Хуршид ака(Сам)"/>
    <s v="PPS"/>
    <s v="&quot;TONG&quot; XK"/>
    <x v="4"/>
    <n v="10"/>
    <n v="90000"/>
    <n v="900000"/>
    <n v="250000"/>
    <m/>
    <n v="153000"/>
    <n v="403000"/>
  </r>
  <r>
    <n v="2026"/>
    <n v="5"/>
    <d v="2026-05-06T00:00:00"/>
    <s v="PPS00004022"/>
    <s v="Равшан ака (Сам)"/>
    <s v="Самарканд_Хуршед ака 2"/>
    <s v="PPS"/>
    <s v="&quot;DIL MUXAMMAD FARM SERVIS&quot; MChJ"/>
    <x v="4"/>
    <n v="20"/>
    <n v="90000"/>
    <n v="1800000"/>
    <n v="500000"/>
    <m/>
    <n v="306000"/>
    <n v="806000"/>
  </r>
  <r>
    <n v="2026"/>
    <n v="5"/>
    <d v="2026-05-06T00:00:00"/>
    <s v="PPS00004023"/>
    <s v="Фотима опа (Сир)"/>
    <s v="Сирдарё_Фотима опа"/>
    <s v="PPS"/>
    <s v="&quot;Shanxay Shifo Plus&quot; Mchj"/>
    <x v="0"/>
    <n v="22"/>
    <n v="40621"/>
    <n v="893662"/>
    <n v="330000"/>
    <m/>
    <n v="151922.54"/>
    <n v="481922.54000000004"/>
  </r>
  <r>
    <n v="2026"/>
    <n v="5"/>
    <d v="2026-05-06T00:00:00"/>
    <s v="PPS00004027"/>
    <s v="Равшан ака (Сам)"/>
    <s v="Самарканд_Хуршед ака 2"/>
    <s v="PPS"/>
    <s v="&quot;BIBIXONIM NUR BARAKA&quot; MChJ"/>
    <x v="2"/>
    <n v="100"/>
    <n v="65000"/>
    <n v="6500000"/>
    <n v="2000000"/>
    <m/>
    <n v="1105000"/>
    <n v="3105000"/>
  </r>
  <r>
    <n v="2026"/>
    <n v="5"/>
    <d v="2026-05-06T00:00:00"/>
    <s v="PPS00004041"/>
    <s v="Хуршид Ака 3 (Сам)"/>
    <s v="Самарканд_Хуршед ака 3"/>
    <s v="PPS"/>
    <s v="MCHJ Muxlisa Universal Farm Servis"/>
    <x v="3"/>
    <n v="100"/>
    <n v="64700"/>
    <n v="6470000"/>
    <n v="2000000"/>
    <m/>
    <n v="1099900"/>
    <n v="3099900"/>
  </r>
  <r>
    <n v="2026"/>
    <n v="5"/>
    <d v="2026-05-06T00:00:00"/>
    <s v="PPS00004048"/>
    <s v="Фотима опа (Сир)"/>
    <s v="Сирдарё_Фотима опа"/>
    <s v="PPS"/>
    <s v="&quot;Shifobaxsh&quot; Xk"/>
    <x v="1"/>
    <n v="20"/>
    <n v="120000"/>
    <n v="2400000"/>
    <n v="700000"/>
    <m/>
    <n v="408000.00000000006"/>
    <n v="1108000"/>
  </r>
  <r>
    <n v="2026"/>
    <n v="5"/>
    <d v="2026-05-06T00:00:00"/>
    <s v="PPS00004060"/>
    <s v="Нигора опа (Сир)"/>
    <s v="Сирдарьё_Зилола Опа"/>
    <s v="PPS"/>
    <s v="&quot;ILHOMBEK PHARM MEDICAL&quot; MChJ"/>
    <x v="3"/>
    <n v="10"/>
    <n v="64700"/>
    <n v="647000"/>
    <n v="200000"/>
    <m/>
    <n v="109990.00000000001"/>
    <n v="309990"/>
  </r>
  <r>
    <n v="2026"/>
    <n v="5"/>
    <d v="2026-05-06T00:00:00"/>
    <s v="PPS00004070"/>
    <s v="Сардор ака (Т.О)"/>
    <s v="Таш.Обл_Шахло опа"/>
    <s v="PPS"/>
    <s v="Shams-Xumo Farm  Мчж"/>
    <x v="3"/>
    <n v="5"/>
    <n v="64700"/>
    <n v="323500"/>
    <n v="100000"/>
    <m/>
    <n v="54995.000000000007"/>
    <n v="154995"/>
  </r>
  <r>
    <n v="2026"/>
    <n v="5"/>
    <d v="2026-05-07T00:00:00"/>
    <s v="PPS00004110"/>
    <s v="Хуршид Ака 3 (Сам)"/>
    <s v="Самарканд_Хуршед ака 2"/>
    <s v="PPS"/>
    <s v="&quot;Umarov Dostonbek Farm&quot; Mchj"/>
    <x v="1"/>
    <n v="50"/>
    <n v="120000"/>
    <n v="6000000"/>
    <n v="1750000"/>
    <m/>
    <n v="1020000.0000000001"/>
    <n v="2770000"/>
  </r>
  <r>
    <n v="2026"/>
    <n v="5"/>
    <d v="2026-05-07T00:00:00"/>
    <s v="PPS00004117"/>
    <s v="Равшан ака (Сам)"/>
    <s v="Самарканд_Хуршед ака 2"/>
    <s v="PPS"/>
    <s v="&quot;Biotek Farm&quot; Mchj"/>
    <x v="2"/>
    <n v="50"/>
    <n v="65000"/>
    <n v="3250000"/>
    <n v="1000000"/>
    <m/>
    <n v="552500"/>
    <n v="1552500"/>
  </r>
  <r>
    <n v="2026"/>
    <n v="5"/>
    <d v="2026-05-07T00:00:00"/>
    <s v="PPS00004117"/>
    <s v="Равшан ака (Сам)"/>
    <s v="Самарканд_Хуршед ака 2"/>
    <s v="PPS"/>
    <s v="&quot;Biotek Farm&quot; Mchj"/>
    <x v="4"/>
    <n v="20"/>
    <n v="90000"/>
    <n v="1800000"/>
    <n v="500000"/>
    <m/>
    <n v="306000"/>
    <n v="806000"/>
  </r>
  <r>
    <n v="2026"/>
    <n v="5"/>
    <d v="2026-05-07T00:00:00"/>
    <s v="PPS00004122"/>
    <s v="Фотима опа (Сир)"/>
    <s v="Сирдарё_Фотима опа"/>
    <s v="PPS"/>
    <s v="ЧП &quot;Mushtariy-Samira Farm&quot;"/>
    <x v="1"/>
    <n v="23"/>
    <n v="120000"/>
    <n v="2760000"/>
    <n v="805000"/>
    <m/>
    <n v="469200.00000000006"/>
    <n v="1274200"/>
  </r>
  <r>
    <n v="2026"/>
    <n v="5"/>
    <d v="2026-05-07T00:00:00"/>
    <s v="PPS00004122"/>
    <s v="Фотима опа (Сир)"/>
    <s v="Сирдарё_Фотима опа"/>
    <s v="PPS"/>
    <s v="ЧП &quot;Mushtariy-Samira Farm&quot;"/>
    <x v="1"/>
    <n v="7"/>
    <n v="120000"/>
    <n v="840000"/>
    <n v="245000"/>
    <m/>
    <n v="142800"/>
    <n v="387800"/>
  </r>
  <r>
    <n v="2026"/>
    <n v="5"/>
    <d v="2026-05-07T00:00:00"/>
    <s v="PPS00004130"/>
    <s v="Анвар ака (Срд)"/>
    <s v="Сурхондарьё_Анвар ака"/>
    <s v="PPS"/>
    <s v="&quot;Tabobat  Ok Trade&quot; Mchj"/>
    <x v="1"/>
    <n v="40"/>
    <n v="120000"/>
    <n v="4800000"/>
    <n v="1400000"/>
    <m/>
    <n v="816000.00000000012"/>
    <n v="2216000"/>
  </r>
  <r>
    <n v="2026"/>
    <n v="5"/>
    <d v="2026-05-07T00:00:00"/>
    <s v="PPS00004134"/>
    <s v="Рузигул опа (Сир)"/>
    <s v="Сирдарьё_Зилола Опа"/>
    <s v="PPS"/>
    <s v="&quot;Nematov-Yu&quot; Mchj"/>
    <x v="3"/>
    <n v="20"/>
    <n v="64700"/>
    <n v="1294000"/>
    <n v="400000"/>
    <m/>
    <n v="219980.00000000003"/>
    <n v="619980"/>
  </r>
  <r>
    <n v="2026"/>
    <n v="5"/>
    <d v="2026-05-07T00:00:00"/>
    <s v="PPS00004145"/>
    <s v="Сардор ака (Т.О)"/>
    <s v="Таш.Обл_Шахло опа"/>
    <s v="PPS"/>
    <s v="&quot;FAXR&quot; MChJ"/>
    <x v="3"/>
    <n v="20"/>
    <n v="64700"/>
    <n v="1294000"/>
    <n v="400000"/>
    <m/>
    <n v="219980.00000000003"/>
    <n v="619980"/>
  </r>
  <r>
    <n v="2026"/>
    <n v="5"/>
    <d v="2026-05-07T00:00:00"/>
    <s v="PPS00004149"/>
    <s v="Зилола опа (Т.О)"/>
    <s v="Таш.Обл_Шахло опа"/>
    <s v="PPS"/>
    <s v="&quot;Nurobod Farm Agro&quot; Xk"/>
    <x v="1"/>
    <n v="10"/>
    <n v="120000"/>
    <n v="1200000"/>
    <n v="350000"/>
    <m/>
    <n v="204000.00000000003"/>
    <n v="554000"/>
  </r>
  <r>
    <n v="2026"/>
    <n v="5"/>
    <d v="2026-05-08T00:00:00"/>
    <s v="PPS00004157"/>
    <s v="Нурхон опа (Сам)"/>
    <s v="Самарканд_Хуршед ака 2"/>
    <s v="PPS"/>
    <s v="&quot;Al-Almaz&quot; Mchj"/>
    <x v="4"/>
    <n v="50"/>
    <n v="90000"/>
    <n v="4500000"/>
    <n v="1250000"/>
    <m/>
    <n v="765000"/>
    <n v="2015000"/>
  </r>
  <r>
    <n v="2026"/>
    <n v="5"/>
    <d v="2026-05-08T00:00:00"/>
    <s v="PPS00004161"/>
    <s v="Сардор ака (Т.О)"/>
    <s v="Таш.Обл_Шахло опа"/>
    <s v="PPS"/>
    <s v="&quot;Sirli Tabobat&quot; Mchj"/>
    <x v="3"/>
    <n v="40"/>
    <n v="64700"/>
    <n v="2588000"/>
    <n v="800000"/>
    <m/>
    <n v="439960.00000000006"/>
    <n v="1239960"/>
  </r>
  <r>
    <n v="2026"/>
    <n v="5"/>
    <d v="2026-05-08T00:00:00"/>
    <s v="PPS00004165"/>
    <s v="Зилола опа (Т.О)"/>
    <s v="Таш.Обл_Шахло опа"/>
    <s v="PPS"/>
    <s v="СП &quot;Rayyona-Angren&quot;"/>
    <x v="1"/>
    <n v="10"/>
    <n v="120000"/>
    <n v="1200000"/>
    <n v="350000"/>
    <m/>
    <n v="204000.00000000003"/>
    <n v="554000"/>
  </r>
  <r>
    <n v="2026"/>
    <n v="5"/>
    <d v="2026-05-08T00:00:00"/>
    <s v="PPS00004174"/>
    <s v="Шохрухбек ака (Хор)"/>
    <s v="Хоразм_Улугбек ака"/>
    <s v="PPS"/>
    <s v="&quot;Intermed Pharmaceutical&quot; Mchj"/>
    <x v="4"/>
    <n v="10"/>
    <n v="90000"/>
    <n v="900000"/>
    <n v="250000"/>
    <m/>
    <n v="153000"/>
    <n v="403000"/>
  </r>
  <r>
    <n v="2026"/>
    <n v="5"/>
    <d v="2026-05-08T00:00:00"/>
    <s v="PPS00004174"/>
    <s v="Шохрухбек ака (Хор)"/>
    <s v="Хоразм_Улугбек ака"/>
    <s v="PPS"/>
    <s v="&quot;Intermed Pharmaceutical&quot; Mchj"/>
    <x v="4"/>
    <n v="190"/>
    <n v="90000"/>
    <n v="17100000"/>
    <n v="4750000"/>
    <m/>
    <n v="2907000"/>
    <n v="7657000"/>
  </r>
  <r>
    <n v="2026"/>
    <n v="5"/>
    <d v="2026-05-08T00:00:00"/>
    <s v="PPS00004177"/>
    <s v="Хуршид Ака 3 (Сам)"/>
    <s v="Самарканд_Хуршед ака 3"/>
    <s v="PPS"/>
    <s v="&quot;Farmadok Diabet&quot; Mchj"/>
    <x v="3"/>
    <n v="10"/>
    <n v="64700"/>
    <n v="647000"/>
    <n v="200000"/>
    <m/>
    <n v="109990.00000000001"/>
    <n v="309990"/>
  </r>
  <r>
    <n v="2026"/>
    <n v="5"/>
    <d v="2026-05-12T00:00:00"/>
    <s v="PPS00000058"/>
    <s v="Рано опа (Нав)"/>
    <s v="Навоий_Дильноза опа"/>
    <s v="PPS"/>
    <s v="&quot;NAVBAHOR DORI TA'MINOTI&quot; MChJ"/>
    <x v="0"/>
    <n v="-98"/>
    <n v="40621"/>
    <n v="-3980858"/>
    <n v="-1470000"/>
    <m/>
    <n v="-676745.8600000001"/>
    <n v="-2146745.8600000003"/>
  </r>
  <r>
    <n v="2026"/>
    <n v="5"/>
    <d v="2026-05-12T00:00:00"/>
    <s v="PPS00004211"/>
    <s v="Сардор ака (Т.О)"/>
    <s v="Таш.Обл_Шахло опа"/>
    <s v="PPS"/>
    <s v="&quot;57-Дорихона&quot; Мчж"/>
    <x v="3"/>
    <n v="40"/>
    <n v="64700"/>
    <n v="2588000"/>
    <n v="800000"/>
    <m/>
    <n v="439960.00000000006"/>
    <n v="1239960"/>
  </r>
  <r>
    <n v="2026"/>
    <n v="5"/>
    <d v="2026-05-12T00:00:00"/>
    <s v="PPS00004215"/>
    <s v="Сардор ака (Т.О)"/>
    <s v="Таш.Обл_Шахло опа"/>
    <s v="PPS"/>
    <s v="&quot;Abdurahim-Doda-Farm&quot; Xk"/>
    <x v="1"/>
    <n v="34"/>
    <n v="120000"/>
    <n v="4080000"/>
    <n v="1190000"/>
    <m/>
    <n v="693600"/>
    <n v="1883600"/>
  </r>
  <r>
    <n v="2026"/>
    <n v="5"/>
    <d v="2026-05-12T00:00:00"/>
    <s v="PPS00004216"/>
    <s v="Равшан ака (Сам)"/>
    <s v="Самарканд_Хуршед ака 2"/>
    <s v="PPS"/>
    <s v="&quot;Ziyo Pharm Apteka&quot; Mchj"/>
    <x v="1"/>
    <n v="20"/>
    <n v="120000"/>
    <n v="2400000"/>
    <n v="700000"/>
    <m/>
    <n v="408000.00000000006"/>
    <n v="1108000"/>
  </r>
  <r>
    <n v="2026"/>
    <n v="5"/>
    <d v="2026-05-12T00:00:00"/>
    <s v="PPS00004216"/>
    <s v="Равшан ака (Сам)"/>
    <s v="Самарканд_Хуршед ака 2"/>
    <s v="PPS"/>
    <s v="&quot;Ziyo Pharm Apteka&quot; Mchj"/>
    <x v="4"/>
    <n v="20"/>
    <n v="90000"/>
    <n v="1800000"/>
    <n v="500000"/>
    <m/>
    <n v="306000"/>
    <n v="806000"/>
  </r>
  <r>
    <n v="2026"/>
    <n v="5"/>
    <d v="2026-05-12T00:00:00"/>
    <s v="PPS00004218"/>
    <s v="Нигора опа (Сир)"/>
    <s v="Сирдарьё_Зилола Опа"/>
    <s v="PPS"/>
    <s v="ООО &quot;Saxovat Farm&quot;"/>
    <x v="3"/>
    <n v="30"/>
    <n v="64700"/>
    <n v="1941000"/>
    <n v="600000"/>
    <m/>
    <n v="329970"/>
    <n v="929970"/>
  </r>
  <r>
    <n v="2026"/>
    <n v="5"/>
    <d v="2026-05-12T00:00:00"/>
    <s v="PPS00004223"/>
    <s v="Шерзод ака (Т.О)"/>
    <s v="Таш.Обл_Шахло опа"/>
    <s v="PPS"/>
    <s v="&quot;111 Tabletok&quot; Mchj"/>
    <x v="1"/>
    <n v="20"/>
    <n v="120000"/>
    <n v="2400000"/>
    <n v="700000"/>
    <m/>
    <n v="408000.00000000006"/>
    <n v="1108000"/>
  </r>
  <r>
    <n v="2026"/>
    <n v="5"/>
    <d v="2026-05-12T00:00:00"/>
    <s v="PPS00004224"/>
    <s v="Хуршид Ака 3 (Сам)"/>
    <s v="Самарканд_Хуршед ака 2"/>
    <s v="PPS"/>
    <s v="&quot;RISQ BARAKA SAVDO SERVIS&quot; MChJ"/>
    <x v="1"/>
    <n v="100"/>
    <n v="120000"/>
    <n v="12000000"/>
    <n v="3500000"/>
    <m/>
    <n v="2040000.0000000002"/>
    <n v="5540000"/>
  </r>
  <r>
    <n v="2026"/>
    <n v="5"/>
    <d v="2026-05-12T00:00:00"/>
    <s v="PPS00004233"/>
    <s v="Ноила опа (Т,О)"/>
    <s v="Таш.Обл_Ноила опа"/>
    <s v="PPS"/>
    <s v="&quot;ASROR-ShIFOKOR&quot; XK"/>
    <x v="2"/>
    <n v="50"/>
    <n v="65000"/>
    <n v="3250000"/>
    <n v="1000000"/>
    <m/>
    <n v="552500"/>
    <n v="1552500"/>
  </r>
  <r>
    <n v="2026"/>
    <n v="5"/>
    <d v="2026-05-12T00:00:00"/>
    <s v="PPS00004250"/>
    <s v="Хуршид Ака 3 (Сам)"/>
    <s v="Самарканд_Хуршед ака 2"/>
    <s v="PPS"/>
    <s v="&quot;Akromjon&quot; Xk"/>
    <x v="2"/>
    <n v="25"/>
    <n v="65000"/>
    <n v="1625000"/>
    <n v="500000"/>
    <m/>
    <n v="276250"/>
    <n v="776250"/>
  </r>
  <r>
    <n v="2026"/>
    <n v="5"/>
    <d v="2026-05-12T00:00:00"/>
    <s v="PPS00004258"/>
    <s v="Анвар ака (Срд)"/>
    <s v="Сурхондарьё_Анвар ака"/>
    <s v="PPS"/>
    <s v="&quot;Tabobat  Ok Trade&quot; Mchj"/>
    <x v="1"/>
    <n v="120"/>
    <n v="120000"/>
    <n v="14400000"/>
    <n v="4200000"/>
    <m/>
    <n v="2448000"/>
    <n v="6648000"/>
  </r>
  <r>
    <n v="2026"/>
    <n v="5"/>
    <d v="2026-05-13T00:00:00"/>
    <s v="PPS00004278"/>
    <s v="Шахло опа (Сам)"/>
    <s v="Самарканд_Хуршед ака 3"/>
    <s v="PPS"/>
    <s v="&quot;Djuraev Sobirullo&quot; Xk"/>
    <x v="3"/>
    <n v="50"/>
    <n v="64700"/>
    <n v="3235000"/>
    <n v="1000000"/>
    <m/>
    <n v="549950"/>
    <n v="1549950"/>
  </r>
  <r>
    <n v="2026"/>
    <n v="5"/>
    <d v="2026-05-13T00:00:00"/>
    <s v="PPS00004289"/>
    <s v="Хуршид Ака 3 (Сам)"/>
    <s v="Самарканд_Хуршед ака 2"/>
    <s v="PPS"/>
    <s v="&quot;Baxt Pharm 01&quot; Mchj"/>
    <x v="2"/>
    <n v="20"/>
    <n v="65000"/>
    <n v="1300000"/>
    <n v="400000"/>
    <m/>
    <n v="221000.00000000003"/>
    <n v="621000"/>
  </r>
  <r>
    <n v="2026"/>
    <n v="5"/>
    <d v="2026-05-13T00:00:00"/>
    <s v="PPS00004289"/>
    <s v="Хуршид Ака 3 (Сам)"/>
    <s v="Самарканд_Хуршед ака 2"/>
    <s v="PPS"/>
    <s v="&quot;Baxt Pharm 01&quot; Mchj"/>
    <x v="4"/>
    <n v="20"/>
    <n v="90000"/>
    <n v="1800000"/>
    <n v="500000"/>
    <m/>
    <n v="306000"/>
    <n v="806000"/>
  </r>
  <r>
    <n v="2026"/>
    <n v="5"/>
    <d v="2026-05-13T00:00:00"/>
    <s v="PPS00004303"/>
    <s v="Хуршид Ака 3 (Сам)"/>
    <s v="Самарканд_Хуршед ака 2"/>
    <s v="PPS"/>
    <s v="&quot;Platinum Farm Plyus&quot; Mchj"/>
    <x v="4"/>
    <n v="100"/>
    <n v="90000"/>
    <n v="9000000"/>
    <n v="2500000"/>
    <m/>
    <n v="1530000"/>
    <n v="4030000"/>
  </r>
  <r>
    <n v="2026"/>
    <n v="5"/>
    <d v="2026-05-13T00:00:00"/>
    <s v="PPS00004328"/>
    <s v="Шерзод ака (Т.О)"/>
    <s v="Таш.Обл_Шахло опа"/>
    <s v="PPS"/>
    <s v="&quot;PLATINUM OPTIMA SERVICE&quot; MChJ"/>
    <x v="1"/>
    <n v="40"/>
    <n v="120000"/>
    <n v="4800000"/>
    <n v="1400000"/>
    <m/>
    <n v="816000.00000000012"/>
    <n v="2216000"/>
  </r>
  <r>
    <n v="2026"/>
    <n v="5"/>
    <d v="2026-05-13T00:00:00"/>
    <s v="PPS00004330"/>
    <s v="Сардор ака (Т.О)"/>
    <s v="Таш.Обл_Шахло опа"/>
    <s v="PPS"/>
    <s v="Shams-Xumo Farm  Мчж"/>
    <x v="3"/>
    <n v="10"/>
    <n v="64700"/>
    <n v="647000"/>
    <n v="200000"/>
    <m/>
    <n v="109990.00000000001"/>
    <n v="309990"/>
  </r>
  <r>
    <n v="2026"/>
    <n v="5"/>
    <d v="2026-05-13T00:00:00"/>
    <s v="PPS00004339"/>
    <s v="Шахло опа (Т.О)"/>
    <s v="Таш.Обл_Шахло опа"/>
    <s v="PPS"/>
    <s v="ООО &quot;Lukmoni-Xakim&quot;"/>
    <x v="3"/>
    <n v="40"/>
    <n v="64700"/>
    <n v="2588000"/>
    <n v="800000"/>
    <m/>
    <n v="439960.00000000006"/>
    <n v="1239960"/>
  </r>
  <r>
    <n v="2026"/>
    <n v="5"/>
    <d v="2026-05-13T00:00:00"/>
    <s v="PPS00004342"/>
    <s v="Шахноза опа (Кшд)"/>
    <s v="Кашкадарьё_Феруз ака"/>
    <s v="PPS"/>
    <s v="&quot;Азиз-М&quot;Хусусий Фирмаси"/>
    <x v="2"/>
    <n v="20"/>
    <n v="65000"/>
    <n v="1300000"/>
    <n v="400000"/>
    <m/>
    <n v="221000.00000000003"/>
    <n v="621000"/>
  </r>
  <r>
    <n v="2026"/>
    <n v="5"/>
    <d v="2026-05-14T00:00:00"/>
    <s v="PPS00004349"/>
    <s v="Нигора опа (Сир)"/>
    <s v="Сирдарьё_Зилола Опа"/>
    <s v="PPS"/>
    <s v="&quot;Hamkor Salomatlik&quot; Mchj"/>
    <x v="3"/>
    <n v="25"/>
    <n v="64700"/>
    <n v="1617500"/>
    <n v="500000"/>
    <m/>
    <n v="274975"/>
    <n v="774975"/>
  </r>
  <r>
    <n v="2026"/>
    <n v="5"/>
    <d v="2026-05-14T00:00:00"/>
    <s v="PPS00004358"/>
    <s v="Равшан ака (Сам)"/>
    <s v="Самарканд_Хуршед ака 2"/>
    <s v="PPS"/>
    <s v="&quot;Farmadok Diabet&quot; Mchj"/>
    <x v="4"/>
    <n v="100"/>
    <n v="90000"/>
    <n v="9000000"/>
    <n v="2500000"/>
    <m/>
    <n v="1530000"/>
    <n v="4030000"/>
  </r>
  <r>
    <n v="2026"/>
    <n v="5"/>
    <d v="2026-05-14T00:00:00"/>
    <s v="PPS00004426"/>
    <s v="Шохрухбек ака (Хор)"/>
    <s v="Хоразм_Улугбек ака"/>
    <s v="PPS"/>
    <s v="&quot;Intermed Pharmaceutical&quot; Mchj"/>
    <x v="2"/>
    <n v="100"/>
    <n v="65000"/>
    <n v="6500000"/>
    <n v="2000000"/>
    <m/>
    <n v="1105000"/>
    <n v="3105000"/>
  </r>
  <r>
    <n v="2026"/>
    <n v="5"/>
    <d v="2026-05-15T00:00:00"/>
    <s v="PPS00004439"/>
    <s v="Жавохир ака (Сам)"/>
    <s v="Самарканд_Хуршед ака 2"/>
    <s v="PPS"/>
    <s v="&quot;Amonov Sabri Farm&quot; Xk"/>
    <x v="1"/>
    <n v="20"/>
    <n v="120000"/>
    <n v="2400000"/>
    <n v="700000"/>
    <m/>
    <n v="408000.00000000006"/>
    <n v="1108000"/>
  </r>
  <r>
    <n v="2026"/>
    <n v="5"/>
    <d v="2026-05-15T00:00:00"/>
    <s v="PPS00004439"/>
    <s v="Жавохир ака (Сам)"/>
    <s v="Самарканд_Хуршед ака 2"/>
    <s v="PPS"/>
    <s v="&quot;Amonov Sabri Farm&quot; Xk"/>
    <x v="4"/>
    <n v="20"/>
    <n v="90000"/>
    <n v="1800000"/>
    <n v="500000"/>
    <m/>
    <n v="306000"/>
    <n v="806000"/>
  </r>
  <r>
    <n v="2026"/>
    <n v="5"/>
    <d v="2026-05-15T00:00:00"/>
    <s v="PPS00004439"/>
    <s v="Жавохир ака (Сам)"/>
    <s v="Самарканд_Хуршед ака 2"/>
    <s v="PPS"/>
    <s v="&quot;Amonov Sabri Farm&quot; Xk"/>
    <x v="2"/>
    <n v="20"/>
    <n v="65000"/>
    <n v="1300000"/>
    <n v="400000"/>
    <m/>
    <n v="221000.00000000003"/>
    <n v="621000"/>
  </r>
  <r>
    <n v="2026"/>
    <n v="5"/>
    <d v="2026-05-15T00:00:00"/>
    <s v="PPS00004443"/>
    <s v="Шахло опа (Сам)"/>
    <s v="Самарканд_Хуршед ака 3"/>
    <s v="PPS"/>
    <s v="&quot;Zulfiya Ona Farm Biznes&quot; Mchj"/>
    <x v="3"/>
    <n v="50"/>
    <n v="64700"/>
    <n v="3235000"/>
    <n v="1000000"/>
    <m/>
    <n v="549950"/>
    <n v="1549950"/>
  </r>
  <r>
    <n v="2026"/>
    <n v="5"/>
    <d v="2026-05-15T00:00:00"/>
    <s v="PPS00004445"/>
    <s v="Сожида опа (Кшд)"/>
    <s v="Карши_Дилсўз опа"/>
    <s v="PPS"/>
    <s v="&quot;Азиз-М&quot;Хусусий Фирмаси"/>
    <x v="4"/>
    <n v="41"/>
    <n v="90000"/>
    <n v="3690000"/>
    <n v="1025000"/>
    <m/>
    <n v="627300"/>
    <n v="1652300"/>
  </r>
  <r>
    <n v="2026"/>
    <n v="5"/>
    <d v="2026-05-15T00:00:00"/>
    <s v="PPS00004447"/>
    <s v="Хуршид ака (Шах)"/>
    <s v="Шахрисабз_Хуршид ака(Сам)"/>
    <s v="PPS"/>
    <s v="&quot;Jaloliddin Elbek Farm&quot; Xk"/>
    <x v="4"/>
    <n v="10"/>
    <n v="90000"/>
    <n v="900000"/>
    <n v="250000"/>
    <m/>
    <n v="153000"/>
    <n v="403000"/>
  </r>
  <r>
    <n v="2026"/>
    <n v="5"/>
    <d v="2026-05-15T00:00:00"/>
    <s v="PPS00004448"/>
    <s v="Шохиста опа (Шах)"/>
    <s v="Шахрисабз_Хуршид ака(Сам)"/>
    <s v="PPS"/>
    <s v="&quot;Raxmonov Nurbek Nasimovich&quot; Xk"/>
    <x v="4"/>
    <n v="5"/>
    <n v="90000"/>
    <n v="450000"/>
    <n v="125000"/>
    <m/>
    <n v="76500"/>
    <n v="201500"/>
  </r>
  <r>
    <n v="2026"/>
    <n v="5"/>
    <d v="2026-05-15T00:00:00"/>
    <s v="PPS00004471"/>
    <s v="Азиз ака (Бух)"/>
    <s v="Бухоро_Нафосат опа"/>
    <s v="PPS"/>
    <s v="&quot;Madina- Farm Sintez&quot; Mchj"/>
    <x v="4"/>
    <n v="50"/>
    <n v="90000"/>
    <n v="4500000"/>
    <n v="1250000"/>
    <m/>
    <n v="765000"/>
    <n v="2015000"/>
  </r>
  <r>
    <n v="2026"/>
    <n v="5"/>
    <d v="2026-05-15T00:00:00"/>
    <s v="PPS00004477"/>
    <s v="Сардор ака (Т.О)"/>
    <s v="Таш.Обл_Шахло опа"/>
    <s v="PPS"/>
    <s v="&quot;Abdurahim-Doda-Farm&quot; Xk"/>
    <x v="1"/>
    <n v="30"/>
    <n v="120000"/>
    <n v="3600000"/>
    <n v="1050000"/>
    <m/>
    <n v="612000"/>
    <n v="1662000"/>
  </r>
  <r>
    <n v="2026"/>
    <n v="5"/>
    <d v="2026-05-15T00:00:00"/>
    <s v="PPS00004490"/>
    <s v="Равшан ака (Сам)"/>
    <s v="Самарканд_Хуршед ака 2"/>
    <s v="PPS"/>
    <s v="&quot;Nobilis Pharma&quot; Mchj"/>
    <x v="4"/>
    <n v="30"/>
    <n v="90000"/>
    <n v="2700000"/>
    <n v="750000"/>
    <m/>
    <n v="459000.00000000006"/>
    <n v="1209000"/>
  </r>
  <r>
    <n v="2026"/>
    <n v="5"/>
    <d v="2026-05-15T00:00:00"/>
    <s v="PPS00004499"/>
    <s v="Нафосат опа (Бух)"/>
    <s v="Бухоро_Нафосат опа"/>
    <s v="PPS"/>
    <s v="&quot;NIGINA FARM SANOAT&quot; XK"/>
    <x v="4"/>
    <n v="100"/>
    <n v="90000"/>
    <n v="9000000"/>
    <n v="2500000"/>
    <m/>
    <n v="1530000"/>
    <n v="4030000"/>
  </r>
  <r>
    <n v="2026"/>
    <n v="5"/>
    <d v="2026-05-15T00:00:00"/>
    <s v="PPS00004500"/>
    <s v="Хуршид Ака 3 (Сам)"/>
    <s v="Самарканд_Хуршед ака 2"/>
    <s v="PPS"/>
    <s v="&quot;NOTIS PHARMA&quot; MChJ"/>
    <x v="2"/>
    <n v="50"/>
    <n v="65000"/>
    <n v="3250000"/>
    <n v="1000000"/>
    <m/>
    <n v="552500"/>
    <n v="1552500"/>
  </r>
  <r>
    <n v="2026"/>
    <n v="5"/>
    <d v="2026-05-15T00:00:00"/>
    <s v="PPS00004505"/>
    <s v="Ноила опа (Т,О)"/>
    <s v="Таш.Обл_Ноила опа"/>
    <s v="PPS"/>
    <s v="&quot;ASROR-ShIFOKOR&quot; XK"/>
    <x v="2"/>
    <n v="50"/>
    <n v="65000"/>
    <n v="3250000"/>
    <n v="1000000"/>
    <m/>
    <n v="552500"/>
    <n v="1552500"/>
  </r>
  <r>
    <n v="2026"/>
    <n v="5"/>
    <d v="2026-05-15T00:00:00"/>
    <s v="PPS00004508"/>
    <s v="Нафосат опа (Сам)"/>
    <s v="Самарканд_Хуршед ака 2"/>
    <s v="PPS"/>
    <s v="&quot;Buyuk Pharm&quot; Mchj"/>
    <x v="1"/>
    <n v="10"/>
    <n v="120000"/>
    <n v="1200000"/>
    <n v="350000"/>
    <m/>
    <n v="204000.00000000003"/>
    <n v="554000"/>
  </r>
  <r>
    <n v="2026"/>
    <n v="5"/>
    <d v="2026-05-15T00:00:00"/>
    <s v="PPS00004508"/>
    <s v="Нафосат опа (Сам)"/>
    <s v="Самарканд_Хуршед ака 2"/>
    <s v="PPS"/>
    <s v="&quot;Buyuk Pharm&quot; Mchj"/>
    <x v="2"/>
    <n v="10"/>
    <n v="65000"/>
    <n v="650000"/>
    <n v="200000"/>
    <m/>
    <n v="110500.00000000001"/>
    <n v="310500"/>
  </r>
  <r>
    <n v="2026"/>
    <n v="5"/>
    <d v="2026-05-15T00:00:00"/>
    <s v="PPS00004508"/>
    <s v="Нафосат опа (Сам)"/>
    <s v="Самарканд_Хуршед ака 2"/>
    <s v="PPS"/>
    <s v="&quot;Buyuk Pharm&quot; Mchj"/>
    <x v="4"/>
    <n v="10"/>
    <n v="90000"/>
    <n v="900000"/>
    <n v="250000"/>
    <m/>
    <n v="153000"/>
    <n v="403000"/>
  </r>
  <r>
    <n v="2026"/>
    <n v="5"/>
    <d v="2026-05-15T00:00:00"/>
    <s v="PPS00004515"/>
    <s v="Анвар ака (Срд)"/>
    <s v="Сурхондарьё_Анвар ака"/>
    <s v="PPS"/>
    <s v="&quot;Sariosiyo Xusan Farm&quot; Xk"/>
    <x v="2"/>
    <n v="18"/>
    <n v="65000"/>
    <n v="1170000"/>
    <n v="360000"/>
    <m/>
    <n v="198900"/>
    <n v="558900"/>
  </r>
  <r>
    <n v="2025"/>
    <n v="3"/>
    <d v="2025-03-05T00:00:00"/>
    <s v="GB000000662"/>
    <s v="Фотима опа"/>
    <s v="Сирдарьё_Фотима Опа"/>
    <s v="GB"/>
    <s v="&quot;Ozodbek-Yan-Farm&quot; Xk"/>
    <x v="0"/>
    <n v="20"/>
    <n v="36955.08"/>
    <n v="739101.6"/>
    <n v="300000"/>
    <m/>
    <n v="125647.27200000001"/>
    <n v="425647.272"/>
  </r>
  <r>
    <n v="2025"/>
    <n v="3"/>
    <d v="2025-03-12T00:00:00"/>
    <s v="GB000000733"/>
    <s v="Фотима опа"/>
    <s v="Сирдарьё_Фотима Опа"/>
    <s v="GB"/>
    <s v="&quot;Behzod-Farm-Yangiyer&quot; Mchj"/>
    <x v="0"/>
    <n v="30"/>
    <n v="36955.08"/>
    <n v="1108652.3999999999"/>
    <n v="450000"/>
    <m/>
    <n v="188470.908"/>
    <n v="638470.90800000005"/>
  </r>
  <r>
    <n v="2025"/>
    <n v="3"/>
    <d v="2025-03-17T00:00:00"/>
    <s v="GB000000770"/>
    <s v="Фотима опа"/>
    <s v="Сирдарьё_Фотима Опа"/>
    <s v="GB"/>
    <s v="&quot;Baxtiyor Turg'unovich&quot; Ktxf"/>
    <x v="0"/>
    <n v="60"/>
    <n v="36955.08"/>
    <n v="2217304.7999999998"/>
    <n v="900000"/>
    <m/>
    <n v="376941.81599999999"/>
    <n v="1276941.8160000001"/>
  </r>
  <r>
    <n v="2025"/>
    <n v="3"/>
    <d v="2025-03-17T00:00:00"/>
    <s v="GB000000776"/>
    <s v="Фотима опа"/>
    <s v="Сирдарьё_Фотима Опа"/>
    <s v="GB"/>
    <s v="&quot;Ozodbek-Yan-Farm&quot; Xk"/>
    <x v="0"/>
    <n v="50"/>
    <n v="36955.08"/>
    <n v="1847754"/>
    <n v="750000"/>
    <m/>
    <n v="314118.18000000005"/>
    <n v="1064118.1800000002"/>
  </r>
  <r>
    <n v="2025"/>
    <n v="4"/>
    <d v="2025-04-02T00:00:00"/>
    <s v="GB000000922"/>
    <s v="Фотима опа"/>
    <s v="Сирдарьё_Фотима Опа"/>
    <s v="GB"/>
    <s v="Asad Jahongir Farm Mchj"/>
    <x v="0"/>
    <n v="43"/>
    <n v="36955.08"/>
    <n v="1589068.44"/>
    <n v="645000"/>
    <m/>
    <n v="270141.6348"/>
    <n v="915141.6348"/>
  </r>
  <r>
    <n v="2025"/>
    <n v="4"/>
    <d v="2025-04-04T00:00:00"/>
    <s v="GB000000954"/>
    <s v="Фотима опа"/>
    <s v="Сирдарьё_Фотима Опа"/>
    <s v="GB"/>
    <s v="&quot;Askarbinka Vitaminka&quot; Mchj"/>
    <x v="0"/>
    <n v="50"/>
    <n v="36955.08"/>
    <n v="1847754"/>
    <n v="750000"/>
    <m/>
    <n v="314118.18000000005"/>
    <n v="1064118.1800000002"/>
  </r>
  <r>
    <n v="2026"/>
    <n v="1"/>
    <d v="2026-01-13T00:00:00"/>
    <s v="GB000000070"/>
    <s v="Дилнавоз опа (Тош)"/>
    <s v="Ташкент_Дилнавоз опа"/>
    <s v="GB"/>
    <s v="&quot;CITY PHARM&quot; mas'uliyati cheklangan jamiyati"/>
    <x v="2"/>
    <n v="10"/>
    <n v="65000"/>
    <n v="650000"/>
    <n v="200000"/>
    <m/>
    <n v="110500.00000000001"/>
    <n v="310500"/>
  </r>
  <r>
    <n v="2026"/>
    <n v="1"/>
    <d v="2026-01-14T00:00:00"/>
    <s v="GB000000085"/>
    <s v="Дилнавоз опа (Тош)"/>
    <s v="Ташкент_Дилнавоз опа"/>
    <s v="GB"/>
    <s v="&quot;Apteka Klassika&quot; Mchj"/>
    <x v="4"/>
    <n v="40"/>
    <n v="90000"/>
    <n v="3600000"/>
    <n v="1000000"/>
    <m/>
    <n v="612000"/>
    <n v="1612000"/>
  </r>
  <r>
    <n v="2026"/>
    <n v="1"/>
    <d v="2026-01-14T00:00:00"/>
    <s v="GB000000085"/>
    <s v="Дилнавоз опа (Тош)"/>
    <s v="Ташкент_Дилнавоз опа"/>
    <s v="GB"/>
    <s v="&quot;Apteka Klassika&quot; Mchj"/>
    <x v="2"/>
    <n v="20"/>
    <n v="65000"/>
    <n v="1300000"/>
    <n v="400000"/>
    <m/>
    <n v="221000.00000000003"/>
    <n v="621000"/>
  </r>
  <r>
    <n v="2026"/>
    <n v="1"/>
    <d v="2026-01-14T00:00:00"/>
    <s v="GB000000092"/>
    <s v="Мехриддин ака (Нав)"/>
    <s v="Навоий_Мехриддин ака"/>
    <s v="GB"/>
    <s v="&quot;Jaxon-Farm-Javohir&quot; Mchj"/>
    <x v="3"/>
    <n v="20"/>
    <n v="64700"/>
    <n v="1294000"/>
    <n v="400000"/>
    <m/>
    <n v="219980.00000000003"/>
    <n v="619980"/>
  </r>
  <r>
    <n v="2026"/>
    <n v="1"/>
    <d v="2026-01-15T00:00:00"/>
    <s v="GB000000099"/>
    <s v="Дилором опа (Тош)"/>
    <s v="Ташкент_Дилнавоз опа"/>
    <s v="GB"/>
    <s v="&quot;Health Planeta&quot; Mchj"/>
    <x v="3"/>
    <n v="10"/>
    <n v="64700"/>
    <n v="647000"/>
    <n v="200000"/>
    <m/>
    <n v="109990.00000000001"/>
    <n v="309990"/>
  </r>
  <r>
    <n v="2026"/>
    <n v="1"/>
    <d v="2026-01-15T00:00:00"/>
    <s v="GB000000099"/>
    <s v="Дилором опа (Тош)"/>
    <s v="Ташкент_Дилнавоз опа"/>
    <s v="GB"/>
    <s v="&quot;Health Planeta&quot; Mchj"/>
    <x v="2"/>
    <n v="20"/>
    <n v="65000"/>
    <n v="1300000"/>
    <n v="400000"/>
    <m/>
    <n v="221000.00000000003"/>
    <n v="621000"/>
  </r>
  <r>
    <n v="2026"/>
    <n v="1"/>
    <d v="2026-01-15T00:00:00"/>
    <s v="GB000000100"/>
    <s v="Дилнавоз опа (Тош)"/>
    <s v="Ташкент_Дилнавоз опа"/>
    <s v="GB"/>
    <s v="&quot;Prosperiti-Farm&quot; Mchj"/>
    <x v="4"/>
    <n v="10"/>
    <n v="90000"/>
    <n v="900000"/>
    <n v="250000"/>
    <m/>
    <n v="153000"/>
    <n v="403000"/>
  </r>
  <r>
    <n v="2026"/>
    <n v="1"/>
    <d v="2026-01-15T00:00:00"/>
    <s v="GB000000103"/>
    <s v="Дилором опа (Тош)"/>
    <s v="Ташкент_Дилнавоз опа"/>
    <s v="GB"/>
    <s v="&quot;Farhod Buyuk Farm&quot; Mchj"/>
    <x v="2"/>
    <n v="50"/>
    <n v="65000"/>
    <n v="3250000"/>
    <n v="1000000"/>
    <m/>
    <n v="552500"/>
    <n v="1552500"/>
  </r>
  <r>
    <n v="2026"/>
    <n v="1"/>
    <d v="2026-01-16T00:00:00"/>
    <s v="GB000000108"/>
    <s v="Дилором опа (Тош)"/>
    <s v="Ташкент_Дилнавоз опа"/>
    <s v="GB"/>
    <s v="&quot;Shifo-Pharm 111&quot; Mchj"/>
    <x v="2"/>
    <n v="32"/>
    <n v="65000"/>
    <n v="2080000"/>
    <n v="640000"/>
    <m/>
    <n v="353600"/>
    <n v="993600"/>
  </r>
  <r>
    <n v="2026"/>
    <n v="1"/>
    <d v="2026-01-16T00:00:00"/>
    <s v="GB000000108"/>
    <s v="Дилором опа (Тош)"/>
    <s v="Ташкент_Дилнавоз опа"/>
    <s v="GB"/>
    <s v="&quot;Shifo-Pharm 111&quot; Mchj"/>
    <x v="3"/>
    <n v="20"/>
    <n v="64700"/>
    <n v="1294000"/>
    <n v="400000"/>
    <m/>
    <n v="219980.00000000003"/>
    <n v="619980"/>
  </r>
  <r>
    <n v="2026"/>
    <n v="1"/>
    <d v="2026-01-16T00:00:00"/>
    <s v="GB000000122"/>
    <m/>
    <s v="Ташкент_Дилнавоз опа"/>
    <s v="GB"/>
    <s v="&quot;Umar Fayz Farm&quot; Mchj"/>
    <x v="2"/>
    <n v="10"/>
    <n v="65000"/>
    <n v="650000"/>
    <n v="200000"/>
    <m/>
    <n v="110500.00000000001"/>
    <n v="310500"/>
  </r>
  <r>
    <n v="2026"/>
    <n v="1"/>
    <d v="2026-01-16T00:00:00"/>
    <s v="GB000000122"/>
    <m/>
    <s v="Ташкент_Дилнавоз опа"/>
    <s v="GB"/>
    <s v="&quot;Umar Fayz Farm&quot; Mchj"/>
    <x v="4"/>
    <n v="10"/>
    <n v="90000"/>
    <n v="900000"/>
    <n v="250000"/>
    <m/>
    <n v="153000"/>
    <n v="403000"/>
  </r>
  <r>
    <n v="2026"/>
    <n v="1"/>
    <d v="2026-01-19T00:00:00"/>
    <s v="GB000000125"/>
    <s v="Нигора (Тош)"/>
    <s v="Ташкент_Дилнавоз опа"/>
    <s v="GB"/>
    <s v="World Of Medicine Mchj"/>
    <x v="2"/>
    <n v="50"/>
    <n v="65000"/>
    <n v="3250000"/>
    <n v="1000000"/>
    <m/>
    <n v="552500"/>
    <n v="1552500"/>
  </r>
  <r>
    <n v="2026"/>
    <n v="1"/>
    <d v="2026-01-19T00:00:00"/>
    <s v="GB000000127"/>
    <s v="Мехриддин ака (Нав)"/>
    <s v="Навоий_Мехриддин ака"/>
    <s v="GB"/>
    <s v="&quot;Vita Pharm Navoiy&quot; Mchj"/>
    <x v="3"/>
    <n v="50"/>
    <n v="64700"/>
    <n v="3235000"/>
    <n v="1000000"/>
    <m/>
    <n v="549950"/>
    <n v="1549950"/>
  </r>
  <r>
    <n v="2026"/>
    <n v="1"/>
    <d v="2026-01-20T00:00:00"/>
    <s v="GB000000143"/>
    <s v="Мехриддин ака (Нав)"/>
    <s v="Навоий_Мехриддин ака"/>
    <s v="GB"/>
    <s v="&quot;Navbahor Dori Ta`Minoti&quot; Mchj"/>
    <x v="3"/>
    <n v="20"/>
    <n v="64700"/>
    <n v="1294000"/>
    <n v="400000"/>
    <m/>
    <n v="219980.00000000003"/>
    <n v="619980"/>
  </r>
  <r>
    <n v="2026"/>
    <n v="1"/>
    <d v="2026-01-20T00:00:00"/>
    <s v="GB000000144"/>
    <s v="Нигора (Тош)"/>
    <s v="Ташкент_Дилнавоз опа"/>
    <s v="GB"/>
    <s v="&quot;Ashio Pharm&quot; Mchj"/>
    <x v="2"/>
    <n v="10"/>
    <n v="65000"/>
    <n v="650000"/>
    <n v="200000"/>
    <m/>
    <n v="110500.00000000001"/>
    <n v="310500"/>
  </r>
  <r>
    <n v="2026"/>
    <n v="1"/>
    <d v="2026-01-21T00:00:00"/>
    <s v="GB000000169"/>
    <s v="Ситора опа (Тош)"/>
    <s v="Ташкент_Дилнавоз опа"/>
    <s v="GB"/>
    <s v="&quot;7777 Pharm&quot; Mchj"/>
    <x v="3"/>
    <n v="10"/>
    <n v="64700"/>
    <n v="647000"/>
    <n v="200000"/>
    <m/>
    <n v="109990.00000000001"/>
    <n v="309990"/>
  </r>
  <r>
    <n v="2026"/>
    <n v="1"/>
    <d v="2026-01-21T00:00:00"/>
    <s v="GB000000169"/>
    <s v="Ситора опа (Тош)"/>
    <s v="Ташкент_Дилнавоз опа"/>
    <s v="GB"/>
    <s v="&quot;7777 Pharm&quot; Mchj"/>
    <x v="4"/>
    <n v="10"/>
    <n v="90000"/>
    <n v="900000"/>
    <n v="250000"/>
    <m/>
    <n v="153000"/>
    <n v="403000"/>
  </r>
  <r>
    <n v="2026"/>
    <n v="1"/>
    <d v="2026-01-21T00:00:00"/>
    <s v="GB000000169"/>
    <s v="Ситора опа (Тош)"/>
    <s v="Ташкент_Дилнавоз опа"/>
    <s v="GB"/>
    <s v="&quot;7777 Pharm&quot; Mchj"/>
    <x v="2"/>
    <n v="10"/>
    <n v="65000"/>
    <n v="650000"/>
    <n v="200000"/>
    <m/>
    <n v="110500.00000000001"/>
    <n v="310500"/>
  </r>
  <r>
    <n v="2026"/>
    <n v="1"/>
    <d v="2026-01-21T00:00:00"/>
    <s v="GB000000174"/>
    <s v="Дилором опа (Тош)"/>
    <s v="Ташкент_Дилнавоз опа"/>
    <s v="GB"/>
    <s v="&quot;Bio Nur Med&quot; Mchj"/>
    <x v="2"/>
    <n v="10"/>
    <n v="65000"/>
    <n v="650000"/>
    <n v="200000"/>
    <m/>
    <n v="110500.00000000001"/>
    <n v="310500"/>
  </r>
  <r>
    <n v="2026"/>
    <n v="1"/>
    <d v="2026-01-21T00:00:00"/>
    <s v="GB000000175"/>
    <s v="Дилнавоз опа (Тош)"/>
    <s v="Ташкент_Дилнавоз опа"/>
    <s v="GB"/>
    <s v="&quot;Madina Shifo Nur&quot; Mchj"/>
    <x v="4"/>
    <n v="20"/>
    <n v="90000"/>
    <n v="1800000"/>
    <n v="500000"/>
    <m/>
    <n v="306000"/>
    <n v="806000"/>
  </r>
  <r>
    <n v="2026"/>
    <n v="1"/>
    <d v="2026-01-21T00:00:00"/>
    <s v="GB000000175"/>
    <s v="Дилнавоз опа (Тош)"/>
    <s v="Ташкент_Дилнавоз опа"/>
    <s v="GB"/>
    <s v="&quot;Madina Shifo Nur&quot; Mchj"/>
    <x v="3"/>
    <n v="20"/>
    <n v="64700"/>
    <n v="1294000"/>
    <n v="400000"/>
    <m/>
    <n v="219980.00000000003"/>
    <n v="619980"/>
  </r>
  <r>
    <n v="2026"/>
    <n v="1"/>
    <d v="2026-01-21T00:00:00"/>
    <s v="GB000000175"/>
    <s v="Дилнавоз опа (Тош)"/>
    <s v="Ташкент_Дилнавоз опа"/>
    <s v="GB"/>
    <s v="&quot;Madina Shifo Nur&quot; Mchj"/>
    <x v="2"/>
    <n v="20"/>
    <n v="65000"/>
    <n v="1300000"/>
    <n v="400000"/>
    <m/>
    <n v="221000.00000000003"/>
    <n v="621000"/>
  </r>
  <r>
    <n v="2026"/>
    <n v="1"/>
    <d v="2026-01-22T00:00:00"/>
    <s v="GB000000181"/>
    <s v="Дилнавоз опа (Тош)"/>
    <s v="Ташкент_Дилнавоз опа"/>
    <s v="GB"/>
    <s v="&quot;Tosh-Po'lat Pharm&quot; Mchj"/>
    <x v="2"/>
    <n v="20"/>
    <n v="65000"/>
    <n v="1300000"/>
    <n v="400000"/>
    <m/>
    <n v="221000.00000000003"/>
    <n v="621000"/>
  </r>
  <r>
    <n v="2026"/>
    <n v="1"/>
    <d v="2026-01-22T00:00:00"/>
    <s v="GB000000181"/>
    <s v="Дилнавоз опа (Тош)"/>
    <s v="Ташкент_Дилнавоз опа"/>
    <s v="GB"/>
    <s v="&quot;Tosh-Po'lat Pharm&quot; Mchj"/>
    <x v="3"/>
    <n v="20"/>
    <n v="64700"/>
    <n v="1294000"/>
    <n v="400000"/>
    <m/>
    <n v="219980.00000000003"/>
    <n v="619980"/>
  </r>
  <r>
    <n v="2026"/>
    <n v="1"/>
    <d v="2026-01-22T00:00:00"/>
    <s v="GB000000181"/>
    <s v="Дилнавоз опа (Тош)"/>
    <s v="Ташкент_Дилнавоз опа"/>
    <s v="GB"/>
    <s v="&quot;Tosh-Po'lat Pharm&quot; Mchj"/>
    <x v="4"/>
    <n v="20"/>
    <n v="90000"/>
    <n v="1800000"/>
    <n v="500000"/>
    <m/>
    <n v="306000"/>
    <n v="806000"/>
  </r>
  <r>
    <n v="2026"/>
    <n v="1"/>
    <d v="2026-01-22T00:00:00"/>
    <s v="GB000000182"/>
    <s v="Дилнавоз опа (Тош)"/>
    <s v="Ташкент_Дилнавоз опа"/>
    <s v="GB"/>
    <s v="&quot;Tosh-Po'lat Pharm&quot; Mchj"/>
    <x v="2"/>
    <n v="20"/>
    <n v="65000"/>
    <n v="1300000"/>
    <n v="400000"/>
    <m/>
    <n v="221000.00000000003"/>
    <n v="621000"/>
  </r>
  <r>
    <n v="2026"/>
    <n v="1"/>
    <d v="2026-01-22T00:00:00"/>
    <s v="GB000000182"/>
    <s v="Дилнавоз опа (Тош)"/>
    <s v="Ташкент_Дилнавоз опа"/>
    <s v="GB"/>
    <s v="&quot;Tosh-Po'lat Pharm&quot; Mchj"/>
    <x v="3"/>
    <n v="20"/>
    <n v="64700"/>
    <n v="1294000"/>
    <n v="400000"/>
    <m/>
    <n v="219980.00000000003"/>
    <n v="619980"/>
  </r>
  <r>
    <n v="2026"/>
    <n v="1"/>
    <d v="2026-01-22T00:00:00"/>
    <s v="GB000000182"/>
    <s v="Дилнавоз опа (Тош)"/>
    <s v="Ташкент_Дилнавоз опа"/>
    <s v="GB"/>
    <s v="&quot;Tosh-Po'lat Pharm&quot; Mchj"/>
    <x v="4"/>
    <n v="20"/>
    <n v="90000"/>
    <n v="1800000"/>
    <n v="500000"/>
    <m/>
    <n v="306000"/>
    <n v="806000"/>
  </r>
  <r>
    <n v="2026"/>
    <n v="1"/>
    <d v="2026-01-23T00:00:00"/>
    <s v="GB000000192"/>
    <s v="Шохжахон ипс"/>
    <s v="Шохжахон ипс"/>
    <s v="GB"/>
    <s v="MCHJ Farm Lyuks Invest"/>
    <x v="4"/>
    <n v="150"/>
    <n v="90000"/>
    <n v="13500000"/>
    <n v="3750000"/>
    <m/>
    <n v="2295000"/>
    <n v="6045000"/>
  </r>
  <r>
    <n v="2026"/>
    <n v="1"/>
    <d v="2026-01-23T00:00:00"/>
    <s v="GB000000192"/>
    <s v="Шохжахон ипс"/>
    <s v="Шохжахон ипс"/>
    <s v="GB"/>
    <s v="MCHJ Farm Lyuks Invest"/>
    <x v="3"/>
    <n v="120"/>
    <n v="64700"/>
    <n v="7764000"/>
    <n v="2400000"/>
    <m/>
    <n v="1319880"/>
    <n v="3719880"/>
  </r>
  <r>
    <n v="2026"/>
    <n v="1"/>
    <d v="2026-01-23T00:00:00"/>
    <s v="GB000000192"/>
    <s v="Шохжахон ипс"/>
    <s v="Шохжахон ипс"/>
    <s v="GB"/>
    <s v="MCHJ Farm Lyuks Invest"/>
    <x v="2"/>
    <n v="150"/>
    <n v="65000"/>
    <n v="9750000"/>
    <n v="3000000"/>
    <m/>
    <n v="1657500.0000000002"/>
    <n v="4657500"/>
  </r>
  <r>
    <n v="2026"/>
    <n v="1"/>
    <d v="2026-01-26T00:00:00"/>
    <s v="GB000000213"/>
    <s v="Нигора (Тош)"/>
    <s v="Ташкент_Дилнавоз опа"/>
    <s v="GB"/>
    <s v="&quot;Pharm 999&quot; Mchj"/>
    <x v="2"/>
    <n v="30"/>
    <n v="65000"/>
    <n v="1950000"/>
    <n v="600000"/>
    <m/>
    <n v="331500"/>
    <n v="931500"/>
  </r>
  <r>
    <n v="2026"/>
    <n v="1"/>
    <d v="2026-01-26T00:00:00"/>
    <s v="GB000000215"/>
    <s v="Мехриддин ака (Нав)"/>
    <s v="Навоий_Мехриддин ака"/>
    <s v="GB"/>
    <s v="&quot;Everest  Medical Center&quot; Mchj"/>
    <x v="3"/>
    <n v="10"/>
    <n v="64700"/>
    <n v="647000"/>
    <n v="200000"/>
    <m/>
    <n v="109990.00000000001"/>
    <n v="309990"/>
  </r>
  <r>
    <n v="2026"/>
    <n v="1"/>
    <d v="2026-01-28T00:00:00"/>
    <s v="GB000000236"/>
    <s v="Дилором опа (Тош)"/>
    <s v="Ташкент_Дилнавоз опа"/>
    <s v="GB"/>
    <s v="&quot;Yasmina Omad Farm&quot; Mchj"/>
    <x v="4"/>
    <n v="10"/>
    <n v="90000"/>
    <n v="900000"/>
    <n v="250000"/>
    <m/>
    <n v="153000"/>
    <n v="403000"/>
  </r>
  <r>
    <n v="2026"/>
    <n v="1"/>
    <d v="2026-01-28T00:00:00"/>
    <s v="GB000000241"/>
    <s v="Дилором опа (Тош)"/>
    <s v="Ташкент_Дилнавоз опа"/>
    <s v="GB"/>
    <s v="&quot;Bio Nur Med&quot; Mchj"/>
    <x v="2"/>
    <n v="50"/>
    <n v="65000"/>
    <n v="3250000"/>
    <n v="1000000"/>
    <m/>
    <n v="552500"/>
    <n v="1552500"/>
  </r>
  <r>
    <n v="2026"/>
    <n v="1"/>
    <d v="2026-01-28T00:00:00"/>
    <s v="GB000000244"/>
    <s v="Дилнавоз опа (Тош)"/>
    <s v="Ташкент_Дилнавоз опа"/>
    <s v="GB"/>
    <s v="&quot;Apteka Klassika&quot; Mchj"/>
    <x v="4"/>
    <n v="30"/>
    <n v="90000"/>
    <n v="2700000"/>
    <n v="750000"/>
    <m/>
    <n v="459000.00000000006"/>
    <n v="1209000"/>
  </r>
  <r>
    <n v="2026"/>
    <n v="1"/>
    <d v="2026-01-30T00:00:00"/>
    <s v="GB000000272"/>
    <s v="Дилором опа (Тош)"/>
    <s v="Ташкент_Дилнавоз опа"/>
    <s v="GB"/>
    <s v="&quot;Gulshoda Nur Farm&quot; Mchj"/>
    <x v="2"/>
    <n v="10"/>
    <n v="65000"/>
    <n v="650000"/>
    <n v="200000"/>
    <m/>
    <n v="110500.00000000001"/>
    <n v="310500"/>
  </r>
  <r>
    <n v="2026"/>
    <n v="1"/>
    <d v="2026-01-30T00:00:00"/>
    <s v="GB000000272"/>
    <s v="Дилором опа (Тош)"/>
    <s v="Ташкент_Дилнавоз опа"/>
    <s v="GB"/>
    <s v="&quot;Gulshoda Nur Farm&quot; Mchj"/>
    <x v="4"/>
    <n v="10"/>
    <n v="90000"/>
    <n v="900000"/>
    <n v="250000"/>
    <m/>
    <n v="153000"/>
    <n v="403000"/>
  </r>
  <r>
    <n v="2026"/>
    <n v="1"/>
    <d v="2026-01-30T00:00:00"/>
    <s v="GB000000281"/>
    <s v="Мехриддин ака (Нав)"/>
    <s v="Навоий_Мехриддин ака"/>
    <s v="GB"/>
    <s v="&quot;Fito-Farm-Lek&quot; Mchj"/>
    <x v="3"/>
    <n v="10"/>
    <n v="64700"/>
    <n v="647000"/>
    <n v="200000"/>
    <m/>
    <n v="109990.00000000001"/>
    <n v="309990"/>
  </r>
  <r>
    <n v="2026"/>
    <n v="2"/>
    <d v="2026-02-02T00:00:00"/>
    <s v="GB000000297"/>
    <m/>
    <s v="Навоий_Мехриддин ака"/>
    <s v="GB"/>
    <s v="&quot;Zulfiya Med Farm 77&quot; Xk"/>
    <x v="3"/>
    <n v="20"/>
    <n v="64700"/>
    <n v="1294000"/>
    <n v="400000"/>
    <m/>
    <n v="219980.00000000003"/>
    <n v="619980"/>
  </r>
  <r>
    <n v="2026"/>
    <n v="2"/>
    <d v="2026-02-02T00:00:00"/>
    <s v="GB000000297"/>
    <m/>
    <s v="Навоий_Мехриддин ака"/>
    <s v="GB"/>
    <s v="&quot;Zulfiya Med Farm 77&quot; Xk"/>
    <x v="3"/>
    <n v="20"/>
    <n v="64700"/>
    <n v="1294000"/>
    <n v="400000"/>
    <m/>
    <n v="219980.00000000003"/>
    <n v="619980"/>
  </r>
  <r>
    <n v="2026"/>
    <n v="2"/>
    <d v="2026-02-03T00:00:00"/>
    <s v="GB000000300"/>
    <s v="Дилнавоз опа (Тош)"/>
    <s v="Ташкент_Дилнавоз опа"/>
    <s v="GB"/>
    <s v="&quot;Tosh-Po'lat Pharm&quot; Mchj"/>
    <x v="4"/>
    <n v="20"/>
    <n v="90000"/>
    <n v="1800000"/>
    <n v="500000"/>
    <m/>
    <n v="306000"/>
    <n v="806000"/>
  </r>
  <r>
    <n v="2026"/>
    <n v="2"/>
    <d v="2026-02-03T00:00:00"/>
    <s v="GB000000300"/>
    <s v="Дилнавоз опа (Тош)"/>
    <s v="Ташкент_Дилнавоз опа"/>
    <s v="GB"/>
    <s v="&quot;Tosh-Po'lat Pharm&quot; Mchj"/>
    <x v="3"/>
    <n v="30"/>
    <n v="64700"/>
    <n v="1941000"/>
    <n v="600000"/>
    <m/>
    <n v="329970"/>
    <n v="929970"/>
  </r>
  <r>
    <n v="2026"/>
    <n v="2"/>
    <d v="2026-02-03T00:00:00"/>
    <s v="GB000000300"/>
    <s v="Дилнавоз опа (Тош)"/>
    <s v="Ташкент_Дилнавоз опа"/>
    <s v="GB"/>
    <s v="&quot;Tosh-Po'lat Pharm&quot; Mchj"/>
    <x v="2"/>
    <n v="20"/>
    <n v="65000"/>
    <n v="1300000"/>
    <n v="400000"/>
    <m/>
    <n v="221000.00000000003"/>
    <n v="621000"/>
  </r>
  <r>
    <n v="2026"/>
    <n v="2"/>
    <d v="2026-02-03T00:00:00"/>
    <s v="GB000000303"/>
    <s v="Мехриддин ака (Нав)"/>
    <s v="Навоий_Мехриддин ака"/>
    <s v="GB"/>
    <s v="&quot;Navbahor Dori Ta`Minoti&quot; Mchj"/>
    <x v="3"/>
    <n v="20"/>
    <n v="64700"/>
    <n v="1294000"/>
    <n v="400000"/>
    <m/>
    <n v="219980.00000000003"/>
    <n v="619980"/>
  </r>
  <r>
    <n v="2026"/>
    <n v="2"/>
    <d v="2026-02-04T00:00:00"/>
    <s v="GB000000323"/>
    <s v="Дилором опа (Тош)"/>
    <s v="Ташкент_Дилнавоз опа"/>
    <s v="GB"/>
    <s v="&quot;Chiroy-Pharm&quot; Mchj"/>
    <x v="2"/>
    <n v="20"/>
    <n v="65000"/>
    <n v="1300000"/>
    <n v="400000"/>
    <m/>
    <n v="221000.00000000003"/>
    <n v="621000"/>
  </r>
  <r>
    <n v="2026"/>
    <n v="2"/>
    <d v="2026-02-04T00:00:00"/>
    <s v="GB000000324"/>
    <s v="Мехриддин ака (Нав)"/>
    <s v="Навоий_Мехриддин ака"/>
    <s v="GB"/>
    <s v="&quot;Azam - Asror&quot; Xk"/>
    <x v="3"/>
    <n v="25"/>
    <n v="64700"/>
    <n v="1617500"/>
    <n v="500000"/>
    <m/>
    <n v="274975"/>
    <n v="774975"/>
  </r>
  <r>
    <n v="2026"/>
    <n v="2"/>
    <d v="2026-02-04T00:00:00"/>
    <s v="GB000000326"/>
    <s v="Дилором опа (Тош)"/>
    <s v="Ташкент_Дилнавоз опа"/>
    <s v="GB"/>
    <s v="&quot;Farhod Buyuk Farm&quot; Mchj"/>
    <x v="2"/>
    <n v="48"/>
    <n v="65000"/>
    <n v="3120000"/>
    <n v="960000"/>
    <m/>
    <n v="530400"/>
    <n v="1490400"/>
  </r>
  <r>
    <n v="2026"/>
    <n v="2"/>
    <d v="2026-02-04T00:00:00"/>
    <s v="GB000000326"/>
    <s v="Дилором опа (Тош)"/>
    <s v="Ташкент_Дилнавоз опа"/>
    <s v="GB"/>
    <s v="&quot;Farhod Buyuk Farm&quot; Mchj"/>
    <x v="2"/>
    <n v="2"/>
    <n v="65000"/>
    <n v="130000"/>
    <n v="40000"/>
    <m/>
    <n v="22100"/>
    <n v="62100"/>
  </r>
  <r>
    <n v="2026"/>
    <n v="2"/>
    <d v="2026-02-05T00:00:00"/>
    <s v="GB000000341"/>
    <s v="Нигора (Тош)"/>
    <s v="Ташкент_Дилнавоз опа"/>
    <s v="GB"/>
    <s v="&quot;Pharm 999&quot; Mchj"/>
    <x v="2"/>
    <n v="50"/>
    <n v="65000"/>
    <n v="3250000"/>
    <n v="1000000"/>
    <m/>
    <n v="552500"/>
    <n v="1552500"/>
  </r>
  <r>
    <n v="2026"/>
    <n v="2"/>
    <d v="2026-02-09T00:00:00"/>
    <s v="GB000000374"/>
    <s v="Дилором опа (Тош)"/>
    <s v="Ташкент_Дилнавоз опа"/>
    <s v="GB"/>
    <s v="&quot;Akbar Pharm Servis&quot; Mchj"/>
    <x v="4"/>
    <n v="10"/>
    <n v="90000"/>
    <n v="900000"/>
    <n v="250000"/>
    <m/>
    <n v="153000"/>
    <n v="403000"/>
  </r>
  <r>
    <n v="2026"/>
    <n v="2"/>
    <d v="2026-02-09T00:00:00"/>
    <s v="GB000000380"/>
    <s v="Ситора опа (Тош)"/>
    <s v="Ташкент_Дилнавоз опа"/>
    <s v="GB"/>
    <s v="&quot;Prosperiti-Farm&quot; Mchj"/>
    <x v="4"/>
    <n v="20"/>
    <n v="90000"/>
    <n v="1800000"/>
    <n v="500000"/>
    <m/>
    <n v="306000"/>
    <n v="806000"/>
  </r>
  <r>
    <n v="2026"/>
    <n v="2"/>
    <d v="2026-02-09T00:00:00"/>
    <s v="GB000000385"/>
    <s v="Ситора опа (Тош)"/>
    <s v="Ташкент_Дилнавоз опа"/>
    <s v="GB"/>
    <s v="&quot;7777 Pharm&quot; Mchj"/>
    <x v="4"/>
    <n v="20"/>
    <n v="90000"/>
    <n v="1800000"/>
    <n v="500000"/>
    <m/>
    <n v="306000"/>
    <n v="806000"/>
  </r>
  <r>
    <n v="2026"/>
    <n v="2"/>
    <d v="2026-02-09T00:00:00"/>
    <s v="GB000000385"/>
    <s v="Ситора опа (Тош)"/>
    <s v="Ташкент_Дилнавоз опа"/>
    <s v="GB"/>
    <s v="&quot;7777 Pharm&quot; Mchj"/>
    <x v="2"/>
    <n v="20"/>
    <n v="65000"/>
    <n v="1300000"/>
    <n v="400000"/>
    <m/>
    <n v="221000.00000000003"/>
    <n v="621000"/>
  </r>
  <r>
    <n v="2026"/>
    <n v="2"/>
    <d v="2026-02-09T00:00:00"/>
    <s v="GB000000385"/>
    <s v="Ситора опа (Тош)"/>
    <s v="Ташкент_Дилнавоз опа"/>
    <s v="GB"/>
    <s v="&quot;7777 Pharm&quot; Mchj"/>
    <x v="3"/>
    <n v="20"/>
    <n v="64700"/>
    <n v="1294000"/>
    <n v="400000"/>
    <m/>
    <n v="219980.00000000003"/>
    <n v="619980"/>
  </r>
  <r>
    <n v="2026"/>
    <n v="2"/>
    <d v="2026-02-10T00:00:00"/>
    <s v="GB000000404"/>
    <s v="Дилнавоз опа (Тош)"/>
    <s v="Ташкент_Дилнавоз опа"/>
    <s v="GB"/>
    <s v="&quot;Tosh-Po'lat Pharm&quot; Mchj"/>
    <x v="3"/>
    <n v="50"/>
    <n v="64700"/>
    <n v="3235000"/>
    <n v="1000000"/>
    <m/>
    <n v="549950"/>
    <n v="1549950"/>
  </r>
  <r>
    <n v="2026"/>
    <n v="2"/>
    <d v="2026-02-10T00:00:00"/>
    <s v="GB000000404"/>
    <s v="Дилнавоз опа (Тош)"/>
    <s v="Ташкент_Дилнавоз опа"/>
    <s v="GB"/>
    <s v="&quot;Tosh-Po'lat Pharm&quot; Mchj"/>
    <x v="2"/>
    <n v="20"/>
    <n v="65000"/>
    <n v="1300000"/>
    <n v="400000"/>
    <m/>
    <n v="221000.00000000003"/>
    <n v="621000"/>
  </r>
  <r>
    <n v="2026"/>
    <n v="2"/>
    <d v="2026-02-10T00:00:00"/>
    <s v="GB000000413"/>
    <s v="Дилором опа (Тош)"/>
    <s v="Ташкент_Дилнавоз опа"/>
    <s v="GB"/>
    <s v="&quot;Health Planeta&quot; Mchj"/>
    <x v="2"/>
    <n v="20"/>
    <n v="65000"/>
    <n v="1300000"/>
    <n v="400000"/>
    <m/>
    <n v="221000.00000000003"/>
    <n v="621000"/>
  </r>
  <r>
    <n v="2026"/>
    <n v="2"/>
    <d v="2026-02-12T00:00:00"/>
    <s v="GB000000435"/>
    <s v="Мехриддин ака (Нав)"/>
    <s v="Навоий_Мехриддин ака"/>
    <s v="GB"/>
    <s v="MCHJ Salomatlik-98"/>
    <x v="3"/>
    <n v="30"/>
    <n v="64700"/>
    <n v="1941000"/>
    <n v="600000"/>
    <m/>
    <n v="329970"/>
    <n v="929970"/>
  </r>
  <r>
    <n v="2026"/>
    <n v="2"/>
    <d v="2026-02-12T00:00:00"/>
    <s v="GB000000440"/>
    <s v="Дилнавоз опа (Тош)"/>
    <s v="Ташкент_Дилнавоз опа"/>
    <s v="GB"/>
    <s v="&quot;Leader Pharmgroup&quot; Xk"/>
    <x v="2"/>
    <n v="10"/>
    <n v="65000"/>
    <n v="650000"/>
    <n v="200000"/>
    <m/>
    <n v="110500.00000000001"/>
    <n v="310500"/>
  </r>
  <r>
    <n v="2026"/>
    <n v="2"/>
    <d v="2026-02-12T00:00:00"/>
    <s v="GB000000440"/>
    <s v="Дилнавоз опа (Тош)"/>
    <s v="Ташкент_Дилнавоз опа"/>
    <s v="GB"/>
    <s v="&quot;Leader Pharmgroup&quot; Xk"/>
    <x v="3"/>
    <n v="10"/>
    <n v="64700"/>
    <n v="647000"/>
    <n v="200000"/>
    <m/>
    <n v="109990.00000000001"/>
    <n v="309990"/>
  </r>
  <r>
    <n v="2026"/>
    <n v="2"/>
    <d v="2026-02-12T00:00:00"/>
    <s v="GB000000440"/>
    <s v="Дилнавоз опа (Тош)"/>
    <s v="Ташкент_Дилнавоз опа"/>
    <s v="GB"/>
    <s v="&quot;Leader Pharmgroup&quot; Xk"/>
    <x v="4"/>
    <n v="10"/>
    <n v="90000"/>
    <n v="900000"/>
    <n v="250000"/>
    <m/>
    <n v="153000"/>
    <n v="403000"/>
  </r>
  <r>
    <n v="2026"/>
    <n v="2"/>
    <d v="2026-02-12T00:00:00"/>
    <s v="GB000000448"/>
    <s v="Мехриддин ака (Нав)"/>
    <s v="Навоий_Мехриддин ака"/>
    <s v="GB"/>
    <s v="&quot;Aisha Neo Farm&quot; Mchj"/>
    <x v="3"/>
    <n v="5"/>
    <n v="64700"/>
    <n v="323500"/>
    <n v="100000"/>
    <m/>
    <n v="54995.000000000007"/>
    <n v="154995"/>
  </r>
  <r>
    <n v="2026"/>
    <n v="2"/>
    <d v="2026-02-13T00:00:00"/>
    <s v="GB000000461"/>
    <s v="Шохжахон ипс"/>
    <s v="Шохжахон ипс"/>
    <s v="GB"/>
    <s v="MCHJ Farm Lyuks Invest"/>
    <x v="3"/>
    <n v="200"/>
    <n v="64700"/>
    <n v="12940000"/>
    <n v="4000000"/>
    <m/>
    <n v="2199800"/>
    <n v="6199800"/>
  </r>
  <r>
    <n v="2026"/>
    <n v="2"/>
    <d v="2026-02-13T00:00:00"/>
    <s v="GB000000461"/>
    <s v="Шохжахон ипс"/>
    <s v="Шохжахон ипс"/>
    <s v="GB"/>
    <s v="MCHJ Farm Lyuks Invest"/>
    <x v="4"/>
    <n v="150"/>
    <n v="90000"/>
    <n v="13500000"/>
    <n v="3750000"/>
    <m/>
    <n v="2295000"/>
    <n v="6045000"/>
  </r>
  <r>
    <n v="2026"/>
    <n v="2"/>
    <d v="2026-02-13T00:00:00"/>
    <s v="GB000000461"/>
    <s v="Шохжахон ипс"/>
    <s v="Шохжахон ипс"/>
    <s v="GB"/>
    <s v="MCHJ Farm Lyuks Invest"/>
    <x v="2"/>
    <n v="100"/>
    <n v="65000"/>
    <n v="6500000"/>
    <n v="2000000"/>
    <m/>
    <n v="1105000"/>
    <n v="3105000"/>
  </r>
  <r>
    <n v="2026"/>
    <n v="2"/>
    <d v="2026-02-16T00:00:00"/>
    <s v="GB000000482"/>
    <s v="Дилором опа (Тош)"/>
    <s v="Ташкент_Дилнавоз опа"/>
    <s v="GB"/>
    <s v="&quot;Akbar Pharm Servis&quot; Mchj"/>
    <x v="4"/>
    <n v="10"/>
    <n v="90000"/>
    <n v="900000"/>
    <n v="250000"/>
    <m/>
    <n v="153000"/>
    <n v="403000"/>
  </r>
  <r>
    <n v="2026"/>
    <n v="2"/>
    <d v="2026-02-17T00:00:00"/>
    <s v="GB000000498"/>
    <s v="Мехриддин ака (Нав)"/>
    <s v="Навоий_Мехриддин ака"/>
    <s v="GB"/>
    <s v="&quot;Grand-Medikal Center&quot; Mchj"/>
    <x v="3"/>
    <n v="40"/>
    <n v="64700"/>
    <n v="2588000"/>
    <n v="800000"/>
    <m/>
    <n v="439960.00000000006"/>
    <n v="1239960"/>
  </r>
  <r>
    <n v="2026"/>
    <n v="2"/>
    <d v="2026-02-18T00:00:00"/>
    <s v="GB000000501"/>
    <s v="Дилнавоз опа (Тош)"/>
    <s v="Ташкент_Дилнавоз опа"/>
    <s v="GB"/>
    <s v="&quot;Tosh-Po'lat Pharm&quot; Mchj"/>
    <x v="2"/>
    <n v="30"/>
    <n v="65000"/>
    <n v="1950000"/>
    <n v="600000"/>
    <m/>
    <n v="331500"/>
    <n v="931500"/>
  </r>
  <r>
    <n v="2026"/>
    <n v="2"/>
    <d v="2026-02-18T00:00:00"/>
    <s v="GB000000501"/>
    <s v="Дилнавоз опа (Тош)"/>
    <s v="Ташкент_Дилнавоз опа"/>
    <s v="GB"/>
    <s v="&quot;Tosh-Po'lat Pharm&quot; Mchj"/>
    <x v="2"/>
    <n v="20"/>
    <n v="65000"/>
    <n v="1300000"/>
    <n v="400000"/>
    <m/>
    <n v="221000.00000000003"/>
    <n v="621000"/>
  </r>
  <r>
    <n v="2026"/>
    <n v="2"/>
    <d v="2026-02-18T00:00:00"/>
    <s v="GB000000501"/>
    <s v="Дилнавоз опа (Тош)"/>
    <s v="Ташкент_Дилнавоз опа"/>
    <s v="GB"/>
    <s v="&quot;Tosh-Po'lat Pharm&quot; Mchj"/>
    <x v="4"/>
    <n v="50"/>
    <n v="90000"/>
    <n v="4500000"/>
    <n v="1250000"/>
    <m/>
    <n v="765000"/>
    <n v="2015000"/>
  </r>
  <r>
    <n v="2026"/>
    <n v="2"/>
    <d v="2026-02-18T00:00:00"/>
    <s v="GB000000501"/>
    <s v="Дилнавоз опа (Тош)"/>
    <s v="Ташкент_Дилнавоз опа"/>
    <s v="GB"/>
    <s v="&quot;Tosh-Po'lat Pharm&quot; Mchj"/>
    <x v="3"/>
    <n v="25"/>
    <n v="64700"/>
    <n v="1617500"/>
    <n v="500000"/>
    <m/>
    <n v="274975"/>
    <n v="774975"/>
  </r>
  <r>
    <n v="2026"/>
    <n v="2"/>
    <d v="2026-02-18T00:00:00"/>
    <s v="GB000000501"/>
    <s v="Дилнавоз опа (Тош)"/>
    <s v="Ташкент_Дилнавоз опа"/>
    <s v="GB"/>
    <s v="&quot;Tosh-Po'lat Pharm&quot; Mchj"/>
    <x v="3"/>
    <n v="55"/>
    <n v="64700"/>
    <n v="3558500"/>
    <n v="1100000"/>
    <m/>
    <n v="604945"/>
    <n v="1704945"/>
  </r>
  <r>
    <n v="2026"/>
    <n v="2"/>
    <d v="2026-02-18T00:00:00"/>
    <s v="GB000000502"/>
    <s v="Дилором опа (Тош)"/>
    <s v="Ташкент_Дилнавоз опа"/>
    <s v="GB"/>
    <s v="&quot;Nata Vigor Pharm&quot; Mchj"/>
    <x v="2"/>
    <n v="20"/>
    <n v="65000"/>
    <n v="1300000"/>
    <n v="400000"/>
    <m/>
    <n v="221000.00000000003"/>
    <n v="621000"/>
  </r>
  <r>
    <n v="2026"/>
    <n v="2"/>
    <d v="2026-02-18T00:00:00"/>
    <s v="GB000000502"/>
    <s v="Дилором опа (Тош)"/>
    <s v="Ташкент_Дилнавоз опа"/>
    <s v="GB"/>
    <s v="&quot;Nata Vigor Pharm&quot; Mchj"/>
    <x v="4"/>
    <n v="5"/>
    <n v="90000"/>
    <n v="450000"/>
    <n v="125000"/>
    <m/>
    <n v="76500"/>
    <n v="201500"/>
  </r>
  <r>
    <n v="2026"/>
    <n v="2"/>
    <d v="2026-02-18T00:00:00"/>
    <s v="GB000000502"/>
    <s v="Дилором опа (Тош)"/>
    <s v="Ташкент_Дилнавоз опа"/>
    <s v="GB"/>
    <s v="&quot;Nata Vigor Pharm&quot; Mchj"/>
    <x v="3"/>
    <n v="5"/>
    <n v="64700"/>
    <n v="323500"/>
    <n v="100000"/>
    <m/>
    <n v="54995.000000000007"/>
    <n v="154995"/>
  </r>
  <r>
    <n v="2026"/>
    <n v="2"/>
    <d v="2026-02-18T00:00:00"/>
    <s v="GB000000505"/>
    <s v="Нигора (Тош)"/>
    <s v="Ташкент_Дилнавоз опа"/>
    <s v="GB"/>
    <s v="&quot;Xumora Farm&quot; Mchj"/>
    <x v="2"/>
    <n v="40"/>
    <n v="65000"/>
    <n v="2600000"/>
    <n v="800000"/>
    <m/>
    <n v="442000.00000000006"/>
    <n v="1242000"/>
  </r>
  <r>
    <n v="2026"/>
    <n v="2"/>
    <d v="2026-02-18T00:00:00"/>
    <s v="GB000000505"/>
    <s v="Нигора (Тош)"/>
    <s v="Ташкент_Дилнавоз опа"/>
    <s v="GB"/>
    <s v="&quot;Xumora Farm&quot; Mchj"/>
    <x v="2"/>
    <n v="10"/>
    <n v="65000"/>
    <n v="650000"/>
    <n v="200000"/>
    <m/>
    <n v="110500.00000000001"/>
    <n v="310500"/>
  </r>
  <r>
    <n v="2026"/>
    <n v="2"/>
    <d v="2026-02-18T00:00:00"/>
    <s v="GB000000507"/>
    <s v="Дилором опа (Тош)"/>
    <s v="Ташкент_Дилнавоз опа"/>
    <s v="GB"/>
    <s v="&quot;Be First Farm&quot; Mchj"/>
    <x v="2"/>
    <n v="10"/>
    <n v="65000"/>
    <n v="650000"/>
    <n v="200000"/>
    <m/>
    <n v="110500.00000000001"/>
    <n v="310500"/>
  </r>
  <r>
    <n v="2026"/>
    <n v="2"/>
    <d v="2026-02-18T00:00:00"/>
    <s v="GB000000507"/>
    <s v="Дилором опа (Тош)"/>
    <s v="Ташкент_Дилнавоз опа"/>
    <s v="GB"/>
    <s v="&quot;Be First Farm&quot; Mchj"/>
    <x v="3"/>
    <n v="10"/>
    <n v="64700"/>
    <n v="647000"/>
    <n v="200000"/>
    <m/>
    <n v="109990.00000000001"/>
    <n v="309990"/>
  </r>
  <r>
    <n v="2026"/>
    <n v="2"/>
    <d v="2026-02-18T00:00:00"/>
    <s v="GB000000507"/>
    <s v="Дилором опа (Тош)"/>
    <s v="Ташкент_Дилнавоз опа"/>
    <s v="GB"/>
    <s v="&quot;Be First Farm&quot; Mchj"/>
    <x v="3"/>
    <n v="10"/>
    <n v="64700"/>
    <n v="647000"/>
    <n v="200000"/>
    <m/>
    <n v="109990.00000000001"/>
    <n v="309990"/>
  </r>
  <r>
    <n v="2026"/>
    <n v="2"/>
    <d v="2026-02-18T00:00:00"/>
    <s v="GB000000509"/>
    <s v="Нигора (Тош)"/>
    <s v="Ташкент_Дилнавоз опа"/>
    <s v="GB"/>
    <s v="&quot;Chiroy-Pharm&quot; Mchj"/>
    <x v="2"/>
    <n v="20"/>
    <n v="65000"/>
    <n v="1300000"/>
    <n v="400000"/>
    <m/>
    <n v="221000.00000000003"/>
    <n v="621000"/>
  </r>
  <r>
    <n v="2026"/>
    <n v="2"/>
    <d v="2026-02-18T00:00:00"/>
    <s v="GB000000516"/>
    <s v="Ситора опа (Тош)"/>
    <s v="Ташкент_Дилнавоз опа"/>
    <s v="GB"/>
    <s v="&quot;Amir Pharmacy&quot; Mchj"/>
    <x v="4"/>
    <n v="20"/>
    <n v="90000"/>
    <n v="1800000"/>
    <n v="500000"/>
    <m/>
    <n v="306000"/>
    <n v="806000"/>
  </r>
  <r>
    <n v="2026"/>
    <n v="2"/>
    <d v="2026-02-18T00:00:00"/>
    <s v="GB000000522"/>
    <s v="Ситора опа (Тош)"/>
    <s v="Ташкент_Дилнавоз опа"/>
    <s v="GB"/>
    <s v="&quot;Zbz Pharm Lyubimaya 8888&quot; Mchj"/>
    <x v="3"/>
    <n v="20"/>
    <n v="64700"/>
    <n v="1294000"/>
    <n v="400000"/>
    <m/>
    <n v="219980.00000000003"/>
    <n v="619980"/>
  </r>
  <r>
    <n v="2026"/>
    <n v="2"/>
    <d v="2026-02-18T00:00:00"/>
    <s v="GB000000522"/>
    <s v="Ситора опа (Тош)"/>
    <s v="Ташкент_Дилнавоз опа"/>
    <s v="GB"/>
    <s v="&quot;Zbz Pharm Lyubimaya 8888&quot; Mchj"/>
    <x v="4"/>
    <n v="20"/>
    <n v="90000"/>
    <n v="1800000"/>
    <n v="500000"/>
    <m/>
    <n v="306000"/>
    <n v="806000"/>
  </r>
  <r>
    <n v="2026"/>
    <n v="2"/>
    <d v="2026-02-18T00:00:00"/>
    <s v="GB000000523"/>
    <s v="Дилнавоз опа (Тош)"/>
    <s v="Ташкент_Дилнавоз опа"/>
    <s v="GB"/>
    <s v="&quot;Akbar Pharm Servis&quot; Mchj"/>
    <x v="4"/>
    <n v="10"/>
    <n v="90000"/>
    <n v="900000"/>
    <n v="250000"/>
    <m/>
    <n v="153000"/>
    <n v="403000"/>
  </r>
  <r>
    <n v="2026"/>
    <n v="2"/>
    <d v="2026-02-19T00:00:00"/>
    <s v="GB000000528"/>
    <s v="Ситора опа (Тош)"/>
    <s v="Ташкент_Дилнавоз опа"/>
    <s v="GB"/>
    <s v="&quot;7777 Pharm&quot; Mchj"/>
    <x v="3"/>
    <n v="10"/>
    <n v="64700"/>
    <n v="647000"/>
    <n v="200000"/>
    <m/>
    <n v="109990.00000000001"/>
    <n v="309990"/>
  </r>
  <r>
    <n v="2026"/>
    <n v="2"/>
    <d v="2026-02-20T00:00:00"/>
    <s v="GB000000562"/>
    <s v="Дилнавоз опа (Тош)"/>
    <s v="Ташкент_Дилнавоз опа"/>
    <s v="GB"/>
    <s v="&quot;Aero Pharm Pharmacy&quot; Mchj"/>
    <x v="4"/>
    <n v="15"/>
    <n v="90000"/>
    <n v="1350000"/>
    <n v="375000"/>
    <m/>
    <n v="229500.00000000003"/>
    <n v="604500"/>
  </r>
  <r>
    <n v="2026"/>
    <n v="2"/>
    <d v="2026-02-23T00:00:00"/>
    <s v="GB000000013"/>
    <m/>
    <s v="Навоий_Мехриддин ака"/>
    <s v="GB"/>
    <s v="&quot;Zulfiya Med Farm 77&quot; Xk"/>
    <x v="3"/>
    <n v="-20"/>
    <n v="64700"/>
    <n v="-1294000"/>
    <n v="-400000"/>
    <m/>
    <n v="-219980.00000000003"/>
    <n v="-619980"/>
  </r>
  <r>
    <n v="2026"/>
    <n v="2"/>
    <d v="2026-02-23T00:00:00"/>
    <s v="GB000000013"/>
    <m/>
    <s v="Навоий_Мехриддин ака"/>
    <s v="GB"/>
    <s v="&quot;Zulfiya Med Farm 77&quot; Xk"/>
    <x v="3"/>
    <n v="-20"/>
    <n v="64700"/>
    <n v="-1294000"/>
    <n v="-400000"/>
    <m/>
    <n v="-219980.00000000003"/>
    <n v="-619980"/>
  </r>
  <r>
    <n v="2026"/>
    <n v="2"/>
    <d v="2026-02-23T00:00:00"/>
    <s v="GB000000567"/>
    <s v="Дилором опа (Тош)"/>
    <s v="Ташкент_Дилнавоз опа"/>
    <s v="GB"/>
    <s v="&quot;Yasmina Omad Farm&quot; Mchj"/>
    <x v="2"/>
    <n v="20"/>
    <n v="65000"/>
    <n v="1300000"/>
    <n v="400000"/>
    <m/>
    <n v="221000.00000000003"/>
    <n v="621000"/>
  </r>
  <r>
    <n v="2026"/>
    <n v="2"/>
    <d v="2026-02-23T00:00:00"/>
    <s v="GB000000573"/>
    <s v="Дилором опа (Тош)"/>
    <s v="Ташкент_Дилнавоз опа"/>
    <s v="GB"/>
    <s v="&quot;Akbar Pharm Servis&quot; Mchj"/>
    <x v="4"/>
    <n v="50"/>
    <n v="90000"/>
    <n v="4500000"/>
    <n v="1250000"/>
    <m/>
    <n v="765000"/>
    <n v="2015000"/>
  </r>
  <r>
    <n v="2026"/>
    <n v="2"/>
    <d v="2026-02-23T00:00:00"/>
    <s v="GB000000576"/>
    <s v="Мехриддин ака (Нав)"/>
    <s v="Навоий_Мехриддин ака"/>
    <s v="GB"/>
    <s v="&quot;Everest  Medical Center&quot; Mchj"/>
    <x v="3"/>
    <n v="13"/>
    <n v="64700"/>
    <n v="841100"/>
    <n v="260000"/>
    <m/>
    <n v="142987"/>
    <n v="402987"/>
  </r>
  <r>
    <n v="2026"/>
    <n v="2"/>
    <d v="2026-02-23T00:00:00"/>
    <s v="GB000000580"/>
    <s v="Дилнавоз опа (Тош)"/>
    <s v="Ташкент_Дилнавоз опа"/>
    <s v="GB"/>
    <s v="&quot;Madina Shifo Nur&quot; Mchj"/>
    <x v="2"/>
    <n v="10"/>
    <n v="65000"/>
    <n v="650000"/>
    <n v="200000"/>
    <m/>
    <n v="110500.00000000001"/>
    <n v="310500"/>
  </r>
  <r>
    <n v="2026"/>
    <n v="2"/>
    <d v="2026-02-23T00:00:00"/>
    <s v="GB000000589"/>
    <s v="Мехриддин ака (Нав)"/>
    <s v="Навоий_Мехриддин ака"/>
    <s v="GB"/>
    <s v="&quot;NUR ZIYO SHER&quot; mas`uliyati cheklangan jamiyati"/>
    <x v="3"/>
    <n v="20"/>
    <n v="64700"/>
    <n v="1294000"/>
    <n v="400000"/>
    <m/>
    <n v="219980.00000000003"/>
    <n v="619980"/>
  </r>
  <r>
    <n v="2026"/>
    <n v="2"/>
    <d v="2026-02-24T00:00:00"/>
    <s v="GB000000594"/>
    <s v="Дилнавоз опа (Тош)"/>
    <s v="Ташкент_Дилнавоз опа"/>
    <s v="GB"/>
    <s v="&quot;7777 Pharm&quot; Mchj"/>
    <x v="3"/>
    <n v="30"/>
    <n v="64700"/>
    <n v="1941000"/>
    <n v="600000"/>
    <m/>
    <n v="329970"/>
    <n v="929970"/>
  </r>
  <r>
    <n v="2026"/>
    <n v="2"/>
    <d v="2026-02-24T00:00:00"/>
    <s v="GB000000594"/>
    <s v="Дилнавоз опа (Тош)"/>
    <s v="Ташкент_Дилнавоз опа"/>
    <s v="GB"/>
    <s v="&quot;7777 Pharm&quot; Mchj"/>
    <x v="4"/>
    <n v="30"/>
    <n v="90000"/>
    <n v="2700000"/>
    <n v="750000"/>
    <m/>
    <n v="459000.00000000006"/>
    <n v="1209000"/>
  </r>
  <r>
    <n v="2026"/>
    <n v="2"/>
    <d v="2026-02-24T00:00:00"/>
    <s v="GB000000594"/>
    <s v="Дилнавоз опа (Тош)"/>
    <s v="Ташкент_Дилнавоз опа"/>
    <s v="GB"/>
    <s v="&quot;7777 Pharm&quot; Mchj"/>
    <x v="2"/>
    <n v="30"/>
    <n v="65000"/>
    <n v="1950000"/>
    <n v="600000"/>
    <m/>
    <n v="331500"/>
    <n v="931500"/>
  </r>
  <r>
    <n v="2026"/>
    <n v="2"/>
    <d v="2026-02-25T00:00:00"/>
    <s v="GB000000609"/>
    <s v="Дилором опа (Тош)"/>
    <s v="Ташкент_Дилнавоз опа"/>
    <s v="GB"/>
    <s v="&quot;Diyor-Farm&quot; Mchj"/>
    <x v="4"/>
    <n v="10"/>
    <n v="90000"/>
    <n v="900000"/>
    <n v="250000"/>
    <m/>
    <n v="153000"/>
    <n v="403000"/>
  </r>
  <r>
    <n v="2026"/>
    <n v="2"/>
    <d v="2026-02-25T00:00:00"/>
    <s v="GB000000614"/>
    <s v="Дилором опа (Тош)"/>
    <s v="Ташкент_Дилнавоз опа"/>
    <s v="GB"/>
    <s v="&quot;Damin Gulchehra Farm&quot; Mchj"/>
    <x v="4"/>
    <n v="10"/>
    <n v="90000"/>
    <n v="900000"/>
    <n v="250000"/>
    <m/>
    <n v="153000"/>
    <n v="403000"/>
  </r>
  <r>
    <n v="2026"/>
    <n v="2"/>
    <d v="2026-02-25T00:00:00"/>
    <s v="GB000000616"/>
    <s v="Дилором опа (Тош)"/>
    <s v="Ташкент_Дилнавоз опа"/>
    <s v="GB"/>
    <s v="&quot;Nata Vigor Pharm&quot; Mchj"/>
    <x v="4"/>
    <n v="17"/>
    <n v="90000"/>
    <n v="1530000"/>
    <n v="425000"/>
    <m/>
    <n v="260100.00000000003"/>
    <n v="685100"/>
  </r>
  <r>
    <n v="2026"/>
    <n v="2"/>
    <d v="2026-02-25T00:00:00"/>
    <s v="GB000000616"/>
    <s v="Дилором опа (Тош)"/>
    <s v="Ташкент_Дилнавоз опа"/>
    <s v="GB"/>
    <s v="&quot;Nata Vigor Pharm&quot; Mchj"/>
    <x v="2"/>
    <n v="13"/>
    <n v="65000"/>
    <n v="845000"/>
    <n v="260000"/>
    <m/>
    <n v="143650"/>
    <n v="403650"/>
  </r>
  <r>
    <n v="2026"/>
    <n v="2"/>
    <d v="2026-02-25T00:00:00"/>
    <s v="GB000000619"/>
    <s v="Дилнавоз опа (Тош)"/>
    <s v="Ташкент_Дилнавоз опа"/>
    <s v="GB"/>
    <s v="&quot;Afruza Meditsin&quot; Mchj"/>
    <x v="4"/>
    <n v="40"/>
    <n v="90000"/>
    <n v="3600000"/>
    <n v="1000000"/>
    <m/>
    <n v="612000"/>
    <n v="1612000"/>
  </r>
  <r>
    <n v="2026"/>
    <n v="2"/>
    <d v="2026-02-25T00:00:00"/>
    <s v="GB000000619"/>
    <s v="Дилнавоз опа (Тош)"/>
    <s v="Ташкент_Дилнавоз опа"/>
    <s v="GB"/>
    <s v="&quot;Afruza Meditsin&quot; Mchj"/>
    <x v="3"/>
    <n v="10"/>
    <n v="64700"/>
    <n v="647000"/>
    <n v="200000"/>
    <m/>
    <n v="109990.00000000001"/>
    <n v="309990"/>
  </r>
  <r>
    <n v="2026"/>
    <n v="2"/>
    <d v="2026-02-25T00:00:00"/>
    <s v="GB000000619"/>
    <s v="Дилнавоз опа (Тош)"/>
    <s v="Ташкент_Дилнавоз опа"/>
    <s v="GB"/>
    <s v="&quot;Afruza Meditsin&quot; Mchj"/>
    <x v="2"/>
    <n v="10"/>
    <n v="65000"/>
    <n v="650000"/>
    <n v="200000"/>
    <m/>
    <n v="110500.00000000001"/>
    <n v="310500"/>
  </r>
  <r>
    <n v="2026"/>
    <n v="2"/>
    <d v="2026-02-27T00:00:00"/>
    <s v="GB000000640"/>
    <s v="Ситора опа (Тош)"/>
    <s v="Ташкент_Дилнавоз опа"/>
    <s v="GB"/>
    <s v="&quot;Zbz Pharm Lyubimaya 8888&quot; Mchj"/>
    <x v="3"/>
    <n v="50"/>
    <n v="64700"/>
    <n v="3235000"/>
    <n v="1000000"/>
    <m/>
    <n v="549950"/>
    <n v="1549950"/>
  </r>
  <r>
    <n v="2026"/>
    <n v="2"/>
    <d v="2026-02-27T00:00:00"/>
    <s v="GB000000640"/>
    <s v="Ситора опа (Тош)"/>
    <s v="Ташкент_Дилнавоз опа"/>
    <s v="GB"/>
    <s v="&quot;Zbz Pharm Lyubimaya 8888&quot; Mchj"/>
    <x v="4"/>
    <n v="50"/>
    <n v="90000"/>
    <n v="4500000"/>
    <n v="1250000"/>
    <m/>
    <n v="765000"/>
    <n v="2015000"/>
  </r>
  <r>
    <n v="2026"/>
    <n v="3"/>
    <d v="2026-03-04T00:00:00"/>
    <s v="GB000000671"/>
    <s v="Дилором опа (Тош)"/>
    <s v="Ташкент_Дилнавоз опа"/>
    <s v="GB"/>
    <s v="&quot;Farhod Buyuk Farm&quot; Mchj"/>
    <x v="4"/>
    <n v="5"/>
    <n v="90000"/>
    <n v="450000"/>
    <n v="125000"/>
    <m/>
    <n v="76500"/>
    <n v="201500"/>
  </r>
  <r>
    <n v="2026"/>
    <n v="3"/>
    <d v="2026-03-04T00:00:00"/>
    <s v="GB000000679"/>
    <s v="Ситора опа (Тош)"/>
    <s v="Ташкент_Дилнавоз опа"/>
    <s v="GB"/>
    <s v="&quot;7777 Pharm&quot; Mchj"/>
    <x v="2"/>
    <n v="35"/>
    <n v="65000"/>
    <n v="2275000"/>
    <n v="700000"/>
    <m/>
    <n v="386750"/>
    <n v="1086750"/>
  </r>
  <r>
    <n v="2026"/>
    <n v="3"/>
    <d v="2026-03-04T00:00:00"/>
    <s v="GB000000679"/>
    <s v="Ситора опа (Тош)"/>
    <s v="Ташкент_Дилнавоз опа"/>
    <s v="GB"/>
    <s v="&quot;7777 Pharm&quot; Mchj"/>
    <x v="4"/>
    <n v="40"/>
    <n v="90000"/>
    <n v="3600000"/>
    <n v="1000000"/>
    <m/>
    <n v="612000"/>
    <n v="1612000"/>
  </r>
  <r>
    <n v="2026"/>
    <n v="3"/>
    <d v="2026-03-04T00:00:00"/>
    <s v="GB000000679"/>
    <s v="Ситора опа (Тош)"/>
    <s v="Ташкент_Дилнавоз опа"/>
    <s v="GB"/>
    <s v="&quot;7777 Pharm&quot; Mchj"/>
    <x v="3"/>
    <n v="40"/>
    <n v="64700"/>
    <n v="2588000"/>
    <n v="800000"/>
    <m/>
    <n v="439960.00000000006"/>
    <n v="1239960"/>
  </r>
  <r>
    <n v="2026"/>
    <n v="3"/>
    <d v="2026-03-04T00:00:00"/>
    <s v="GB000000681"/>
    <s v="Дилором опа (Тош)"/>
    <s v="Ташкент_Дилнавоз опа"/>
    <s v="GB"/>
    <s v="&quot;Akbar Pharm Servis&quot; Mchj"/>
    <x v="4"/>
    <n v="50"/>
    <n v="90000"/>
    <n v="4500000"/>
    <n v="1250000"/>
    <m/>
    <n v="765000"/>
    <n v="2015000"/>
  </r>
  <r>
    <n v="2026"/>
    <n v="3"/>
    <d v="2026-03-05T00:00:00"/>
    <s v="GB000000694"/>
    <s v="Нигора (Тош)"/>
    <s v="Ташкент_Дилнавоз опа"/>
    <s v="GB"/>
    <s v="World Of Medicine Mchj"/>
    <x v="4"/>
    <n v="30"/>
    <n v="90000"/>
    <n v="2700000"/>
    <n v="750000"/>
    <m/>
    <n v="459000.00000000006"/>
    <n v="1209000"/>
  </r>
  <r>
    <n v="2026"/>
    <n v="3"/>
    <d v="2026-03-05T00:00:00"/>
    <s v="GB000000694"/>
    <s v="Нигора (Тош)"/>
    <s v="Ташкент_Дилнавоз опа"/>
    <s v="GB"/>
    <s v="World Of Medicine Mchj"/>
    <x v="2"/>
    <n v="10"/>
    <n v="65000"/>
    <n v="650000"/>
    <n v="200000"/>
    <m/>
    <n v="110500.00000000001"/>
    <n v="310500"/>
  </r>
  <r>
    <n v="2026"/>
    <n v="3"/>
    <d v="2026-03-05T00:00:00"/>
    <s v="GB000000698"/>
    <s v="Мехриддин ака (Нав)"/>
    <s v="Навоий_Мехриддин ака"/>
    <s v="GB"/>
    <s v="&quot;Navbahor Dori Ta`Minoti&quot; Mchj"/>
    <x v="3"/>
    <n v="20"/>
    <n v="64700"/>
    <n v="1294000"/>
    <n v="400000"/>
    <m/>
    <n v="219980.00000000003"/>
    <n v="619980"/>
  </r>
  <r>
    <n v="2026"/>
    <n v="3"/>
    <d v="2026-03-10T00:00:00"/>
    <s v="GB000000714"/>
    <s v="Нигора (Тош)"/>
    <s v="Ташкент_Дилнавоз опа"/>
    <s v="GB"/>
    <s v="&quot;CITY PHARM&quot; mas'uliyati cheklangan jamiyati"/>
    <x v="4"/>
    <n v="30"/>
    <n v="90000"/>
    <n v="2700000"/>
    <n v="750000"/>
    <m/>
    <n v="459000.00000000006"/>
    <n v="1209000"/>
  </r>
  <r>
    <n v="2026"/>
    <n v="3"/>
    <d v="2026-03-10T00:00:00"/>
    <s v="GB000000714"/>
    <s v="Нигора (Тош)"/>
    <s v="Ташкент_Дилнавоз опа"/>
    <s v="GB"/>
    <s v="&quot;CITY PHARM&quot; mas'uliyati cheklangan jamiyati"/>
    <x v="2"/>
    <n v="50"/>
    <n v="65000"/>
    <n v="3250000"/>
    <n v="1000000"/>
    <m/>
    <n v="552500"/>
    <n v="1552500"/>
  </r>
  <r>
    <n v="2026"/>
    <n v="3"/>
    <d v="2026-03-11T00:00:00"/>
    <s v="GB000000729"/>
    <s v="Дилором опа (Тош)"/>
    <s v="Ташкент_Дилнавоз опа"/>
    <s v="GB"/>
    <s v="&quot;Akbar Pharm Servis&quot; Mchj"/>
    <x v="4"/>
    <n v="50"/>
    <n v="90000"/>
    <n v="4500000"/>
    <n v="1250000"/>
    <m/>
    <n v="765000"/>
    <n v="2015000"/>
  </r>
  <r>
    <n v="2026"/>
    <n v="3"/>
    <d v="2026-03-11T00:00:00"/>
    <s v="GB000000730"/>
    <s v="Дилнавоз опа (Тош)"/>
    <s v="Ташкент_Дилнавоз опа"/>
    <s v="GB"/>
    <s v="&quot;Madinaxon Plyus Mubinaxon&quot; Mchj"/>
    <x v="3"/>
    <n v="15"/>
    <n v="64700"/>
    <n v="970500"/>
    <n v="300000"/>
    <m/>
    <n v="164985"/>
    <n v="464985"/>
  </r>
  <r>
    <n v="2026"/>
    <n v="3"/>
    <d v="2026-03-11T00:00:00"/>
    <s v="GB000000730"/>
    <s v="Дилнавоз опа (Тош)"/>
    <s v="Ташкент_Дилнавоз опа"/>
    <s v="GB"/>
    <s v="&quot;Madinaxon Plyus Mubinaxon&quot; Mchj"/>
    <x v="4"/>
    <n v="15"/>
    <n v="90000"/>
    <n v="1350000"/>
    <n v="375000"/>
    <m/>
    <n v="229500.00000000003"/>
    <n v="604500"/>
  </r>
  <r>
    <n v="2026"/>
    <n v="3"/>
    <d v="2026-03-11T00:00:00"/>
    <s v="GB000000730"/>
    <s v="Дилнавоз опа (Тош)"/>
    <s v="Ташкент_Дилнавоз опа"/>
    <s v="GB"/>
    <s v="&quot;Madinaxon Plyus Mubinaxon&quot; Mchj"/>
    <x v="2"/>
    <n v="15"/>
    <n v="65000"/>
    <n v="975000"/>
    <n v="300000"/>
    <m/>
    <n v="165750"/>
    <n v="465750"/>
  </r>
  <r>
    <n v="2026"/>
    <n v="3"/>
    <d v="2026-03-11T00:00:00"/>
    <s v="GB000000737"/>
    <s v="Нигора (Тош)"/>
    <s v="Ташкент_Дилнавоз опа"/>
    <s v="GB"/>
    <s v="&quot;Chiroy-Pharm&quot; Mchj"/>
    <x v="4"/>
    <n v="10"/>
    <n v="90000"/>
    <n v="900000"/>
    <n v="250000"/>
    <m/>
    <n v="153000"/>
    <n v="403000"/>
  </r>
  <r>
    <n v="2026"/>
    <n v="3"/>
    <d v="2026-03-11T00:00:00"/>
    <s v="GB000000737"/>
    <s v="Нигора (Тош)"/>
    <s v="Ташкент_Дилнавоз опа"/>
    <s v="GB"/>
    <s v="&quot;Chiroy-Pharm&quot; Mchj"/>
    <x v="2"/>
    <n v="30"/>
    <n v="65000"/>
    <n v="1950000"/>
    <n v="600000"/>
    <m/>
    <n v="331500"/>
    <n v="931500"/>
  </r>
  <r>
    <n v="2026"/>
    <n v="3"/>
    <d v="2026-03-12T00:00:00"/>
    <s v="GB000000739"/>
    <s v="Нигора (Тош)"/>
    <s v="Ташкент_Дилнавоз опа"/>
    <s v="GB"/>
    <s v="&quot;Pharmservis&quot; Mchj"/>
    <x v="4"/>
    <n v="8"/>
    <n v="90000"/>
    <n v="720000"/>
    <n v="200000"/>
    <m/>
    <n v="122400.00000000001"/>
    <n v="322400"/>
  </r>
  <r>
    <n v="2026"/>
    <n v="3"/>
    <d v="2026-03-12T00:00:00"/>
    <s v="GB000000739"/>
    <s v="Нигора (Тош)"/>
    <s v="Ташкент_Дилнавоз опа"/>
    <s v="GB"/>
    <s v="&quot;Pharmservis&quot; Mchj"/>
    <x v="4"/>
    <n v="22"/>
    <n v="90000"/>
    <n v="1980000"/>
    <n v="550000"/>
    <m/>
    <n v="336600"/>
    <n v="886600"/>
  </r>
  <r>
    <n v="2026"/>
    <n v="3"/>
    <d v="2026-03-16T00:00:00"/>
    <s v="GB000000769"/>
    <s v="Дилором опа (Тош)"/>
    <s v="Ташкент_Дилнавоз опа"/>
    <s v="GB"/>
    <s v="&quot;Nata Vigor Pharm&quot; Mchj"/>
    <x v="2"/>
    <n v="20"/>
    <n v="65000"/>
    <n v="1300000"/>
    <n v="400000"/>
    <m/>
    <n v="221000.00000000003"/>
    <n v="621000"/>
  </r>
  <r>
    <n v="2026"/>
    <n v="3"/>
    <d v="2026-03-16T00:00:00"/>
    <s v="GB000000776"/>
    <s v="Дилором опа (Тош)"/>
    <s v="Ташкент_Дилнавоз опа"/>
    <s v="GB"/>
    <s v="&quot;Nata Vigor Pharm&quot; Mchj"/>
    <x v="4"/>
    <n v="10"/>
    <n v="90000"/>
    <n v="900000"/>
    <n v="250000"/>
    <m/>
    <n v="153000"/>
    <n v="403000"/>
  </r>
  <r>
    <n v="2026"/>
    <n v="3"/>
    <d v="2026-03-16T00:00:00"/>
    <s v="GB000000784"/>
    <s v="Ситора опа (Тош)"/>
    <s v="Ташкент_Дилнавоз опа"/>
    <s v="GB"/>
    <s v="&quot;7777 Pharm&quot; Mchj"/>
    <x v="4"/>
    <n v="40"/>
    <n v="90000"/>
    <n v="3600000"/>
    <n v="1000000"/>
    <m/>
    <n v="612000"/>
    <n v="1612000"/>
  </r>
  <r>
    <n v="2026"/>
    <n v="3"/>
    <d v="2026-03-16T00:00:00"/>
    <s v="GB000000784"/>
    <s v="Ситора опа (Тош)"/>
    <s v="Ташкент_Дилнавоз опа"/>
    <s v="GB"/>
    <s v="&quot;7777 Pharm&quot; Mchj"/>
    <x v="3"/>
    <n v="40"/>
    <n v="64700"/>
    <n v="2588000"/>
    <n v="800000"/>
    <m/>
    <n v="439960.00000000006"/>
    <n v="1239960"/>
  </r>
  <r>
    <n v="2026"/>
    <n v="3"/>
    <d v="2026-03-16T00:00:00"/>
    <s v="GB000000787"/>
    <s v="Ситора опа (Тош)"/>
    <s v="Ташкент_Дилнавоз опа"/>
    <s v="GB"/>
    <s v="&quot;Zbz Pharm Lyubimaya 8888&quot; Mchj"/>
    <x v="3"/>
    <n v="45"/>
    <n v="64700"/>
    <n v="2911500"/>
    <n v="900000"/>
    <m/>
    <n v="494955.00000000006"/>
    <n v="1394955"/>
  </r>
  <r>
    <n v="2026"/>
    <n v="3"/>
    <d v="2026-03-16T00:00:00"/>
    <s v="GB000000787"/>
    <s v="Ситора опа (Тош)"/>
    <s v="Ташкент_Дилнавоз опа"/>
    <s v="GB"/>
    <s v="&quot;Zbz Pharm Lyubimaya 8888&quot; Mchj"/>
    <x v="3"/>
    <n v="5"/>
    <n v="64700"/>
    <n v="323500"/>
    <n v="100000"/>
    <m/>
    <n v="54995.000000000007"/>
    <n v="154995"/>
  </r>
  <r>
    <n v="2026"/>
    <n v="3"/>
    <d v="2026-03-16T00:00:00"/>
    <s v="GB000000794"/>
    <s v="Дилором опа (Тош)"/>
    <s v="Ташкент_Дилнавоз опа"/>
    <s v="GB"/>
    <s v="&quot;Gulshoda Nur Farm&quot; Mchj"/>
    <x v="3"/>
    <n v="30"/>
    <n v="64700"/>
    <n v="1941000"/>
    <n v="600000"/>
    <m/>
    <n v="329970"/>
    <n v="929970"/>
  </r>
  <r>
    <n v="2026"/>
    <n v="3"/>
    <d v="2026-03-18T00:00:00"/>
    <s v="GB000000809"/>
    <s v="Дилором опа (Тош)"/>
    <s v="Ташкент_Дилнавоз опа"/>
    <s v="GB"/>
    <s v="&quot;Akbar Pharm Servis&quot; Mchj"/>
    <x v="2"/>
    <n v="15"/>
    <n v="65000"/>
    <n v="975000"/>
    <n v="300000"/>
    <m/>
    <n v="165750"/>
    <n v="465750"/>
  </r>
  <r>
    <n v="2026"/>
    <n v="3"/>
    <d v="2026-03-24T00:00:00"/>
    <s v="GB000000825"/>
    <s v="Дилором опа (Тош)"/>
    <s v="Ташкент_Дилнавоз опа"/>
    <s v="GB"/>
    <s v="&quot;Shifo-Pharm 111&quot; Mchj"/>
    <x v="2"/>
    <n v="50"/>
    <n v="65000"/>
    <n v="3250000"/>
    <n v="1000000"/>
    <m/>
    <n v="552500"/>
    <n v="1552500"/>
  </r>
  <r>
    <n v="2026"/>
    <n v="3"/>
    <d v="2026-03-24T00:00:00"/>
    <s v="GB000000825"/>
    <s v="Дилором опа (Тош)"/>
    <s v="Ташкент_Дилнавоз опа"/>
    <s v="GB"/>
    <s v="&quot;Shifo-Pharm 111&quot; Mchj"/>
    <x v="4"/>
    <n v="10"/>
    <n v="90000"/>
    <n v="900000"/>
    <n v="250000"/>
    <m/>
    <n v="153000"/>
    <n v="403000"/>
  </r>
  <r>
    <n v="2026"/>
    <n v="3"/>
    <d v="2026-03-25T00:00:00"/>
    <s v="GB000000841"/>
    <s v="Дилором опа (Тош)"/>
    <s v="Ташкент_Дилнавоз опа"/>
    <s v="GB"/>
    <s v="&quot;Akbar Pharm Servis&quot; Mchj"/>
    <x v="4"/>
    <n v="40"/>
    <n v="90000"/>
    <n v="3600000"/>
    <n v="1000000"/>
    <m/>
    <n v="612000"/>
    <n v="1612000"/>
  </r>
  <r>
    <n v="2026"/>
    <n v="3"/>
    <d v="2026-03-25T00:00:00"/>
    <s v="GB000000844"/>
    <s v="Махфуза опа (Тош)"/>
    <s v="Ташкент_Дилнавоз опа"/>
    <s v="GB"/>
    <s v="&quot;Afruza Meditsin&quot; Mchj"/>
    <x v="4"/>
    <n v="30"/>
    <n v="90000"/>
    <n v="2700000"/>
    <n v="750000"/>
    <m/>
    <n v="459000.00000000006"/>
    <n v="1209000"/>
  </r>
  <r>
    <n v="2026"/>
    <n v="3"/>
    <d v="2026-03-27T00:00:00"/>
    <s v="GB000000861"/>
    <s v="Дилнавоз опа (Тош)"/>
    <s v="Ташкент_Дилнавоз опа"/>
    <s v="GB"/>
    <s v="&quot;Tosh-Po'lat Pharm&quot; Mchj"/>
    <x v="4"/>
    <n v="30"/>
    <n v="90000"/>
    <n v="2700000"/>
    <n v="750000"/>
    <m/>
    <n v="459000.00000000006"/>
    <n v="1209000"/>
  </r>
  <r>
    <n v="2026"/>
    <n v="3"/>
    <d v="2026-03-27T00:00:00"/>
    <s v="GB000000861"/>
    <s v="Дилнавоз опа (Тош)"/>
    <s v="Ташкент_Дилнавоз опа"/>
    <s v="GB"/>
    <s v="&quot;Tosh-Po'lat Pharm&quot; Mchj"/>
    <x v="3"/>
    <n v="20"/>
    <n v="64700"/>
    <n v="1294000"/>
    <n v="400000"/>
    <m/>
    <n v="219980.00000000003"/>
    <n v="619980"/>
  </r>
  <r>
    <n v="2026"/>
    <n v="3"/>
    <d v="2026-03-27T00:00:00"/>
    <s v="GB000000861"/>
    <s v="Дилнавоз опа (Тош)"/>
    <s v="Ташкент_Дилнавоз опа"/>
    <s v="GB"/>
    <s v="&quot;Tosh-Po'lat Pharm&quot; Mchj"/>
    <x v="2"/>
    <n v="40"/>
    <n v="65000"/>
    <n v="2600000"/>
    <n v="800000"/>
    <m/>
    <n v="442000.00000000006"/>
    <n v="1242000"/>
  </r>
  <r>
    <n v="2026"/>
    <n v="3"/>
    <d v="2026-03-27T00:00:00"/>
    <s v="GB000000863"/>
    <s v="Ситора опа (Тош)"/>
    <s v="Ташкент_Дилнавоз опа"/>
    <s v="GB"/>
    <s v="&quot;Ixlos-Farm&quot; Mchj"/>
    <x v="4"/>
    <n v="10"/>
    <n v="90000"/>
    <n v="900000"/>
    <n v="250000"/>
    <m/>
    <n v="153000"/>
    <n v="403000"/>
  </r>
  <r>
    <n v="2026"/>
    <n v="3"/>
    <d v="2026-03-30T00:00:00"/>
    <s v="GB000000891"/>
    <s v="Дилором опа (Тош)"/>
    <s v="Ташкент_Дилнавоз опа"/>
    <s v="GB"/>
    <s v="&quot;Nata Vigor Pharm&quot; Mchj"/>
    <x v="2"/>
    <n v="25"/>
    <n v="65000"/>
    <n v="1625000"/>
    <n v="500000"/>
    <m/>
    <n v="276250"/>
    <n v="776250"/>
  </r>
  <r>
    <n v="2026"/>
    <n v="3"/>
    <d v="2026-03-30T00:00:00"/>
    <s v="GB000000892"/>
    <s v="Дилором опа (Тош)"/>
    <s v="Ташкент_Дилнавоз опа"/>
    <s v="GB"/>
    <s v="&quot;Health Planeta&quot; Mchj"/>
    <x v="2"/>
    <n v="15"/>
    <n v="65000"/>
    <n v="975000"/>
    <n v="300000"/>
    <m/>
    <n v="165750"/>
    <n v="465750"/>
  </r>
  <r>
    <n v="2026"/>
    <n v="3"/>
    <d v="2026-03-31T00:00:00"/>
    <s v="GB000000899"/>
    <s v="Ситора опа (Тош)"/>
    <s v="Ташкент_Дилнавоз опа"/>
    <s v="GB"/>
    <s v="&quot;7777 Pharm&quot; Mchj"/>
    <x v="4"/>
    <n v="40"/>
    <n v="90000"/>
    <n v="3600000"/>
    <n v="1000000"/>
    <m/>
    <n v="612000"/>
    <n v="1612000"/>
  </r>
  <r>
    <n v="2026"/>
    <n v="3"/>
    <d v="2026-03-31T00:00:00"/>
    <s v="GB000000900"/>
    <s v="Нигора (Тош)"/>
    <s v="Ташкент_Дилнавоз опа"/>
    <s v="GB"/>
    <s v="&quot;Universal-Farm-Plus&quot; Qmj"/>
    <x v="2"/>
    <n v="10"/>
    <n v="65000"/>
    <n v="650000"/>
    <n v="200000"/>
    <m/>
    <n v="110500.00000000001"/>
    <n v="310500"/>
  </r>
  <r>
    <n v="2026"/>
    <n v="3"/>
    <d v="2026-03-31T00:00:00"/>
    <s v="GB000000900"/>
    <s v="Нигора (Тош)"/>
    <s v="Ташкент_Дилнавоз опа"/>
    <s v="GB"/>
    <s v="&quot;Universal-Farm-Plus&quot; Qmj"/>
    <x v="4"/>
    <n v="2"/>
    <n v="90000"/>
    <n v="180000"/>
    <n v="50000"/>
    <m/>
    <n v="30600.000000000004"/>
    <n v="80600"/>
  </r>
  <r>
    <n v="2026"/>
    <n v="3"/>
    <d v="2026-03-31T00:00:00"/>
    <s v="GB000000900"/>
    <s v="Нигора (Тош)"/>
    <s v="Ташкент_Дилнавоз опа"/>
    <s v="GB"/>
    <s v="&quot;Universal-Farm-Plus&quot; Qmj"/>
    <x v="4"/>
    <n v="8"/>
    <n v="90000"/>
    <n v="720000"/>
    <n v="200000"/>
    <m/>
    <n v="122400.00000000001"/>
    <n v="322400"/>
  </r>
  <r>
    <n v="2026"/>
    <n v="4"/>
    <d v="2026-04-01T00:00:00"/>
    <s v="GB000000920"/>
    <s v="Нигора (Тош)"/>
    <s v="Ташкент_Дилнавоз опа"/>
    <s v="GB"/>
    <s v="&quot;Pharmservis&quot; Mchj"/>
    <x v="4"/>
    <n v="3"/>
    <n v="90000"/>
    <n v="270000"/>
    <n v="75000"/>
    <m/>
    <n v="45900"/>
    <n v="120900"/>
  </r>
  <r>
    <n v="2026"/>
    <n v="4"/>
    <d v="2026-04-01T00:00:00"/>
    <s v="GB000000920"/>
    <s v="Нигора (Тош)"/>
    <s v="Ташкент_Дилнавоз опа"/>
    <s v="GB"/>
    <s v="&quot;Pharmservis&quot; Mchj"/>
    <x v="4"/>
    <n v="27"/>
    <n v="90000"/>
    <n v="2430000"/>
    <n v="675000"/>
    <m/>
    <n v="413100.00000000006"/>
    <n v="1088100"/>
  </r>
  <r>
    <n v="2026"/>
    <n v="4"/>
    <d v="2026-04-02T00:00:00"/>
    <s v="GB000000930"/>
    <s v="Дилнавоз опа (Тош)"/>
    <s v="Ташкент_Дилнавоз опа"/>
    <s v="GB"/>
    <s v="&quot;Tosh-Po'lat Pharm&quot; Mchj"/>
    <x v="4"/>
    <n v="40"/>
    <n v="90000"/>
    <n v="3600000"/>
    <n v="1000000"/>
    <m/>
    <n v="612000"/>
    <n v="1612000"/>
  </r>
  <r>
    <n v="2026"/>
    <n v="4"/>
    <d v="2026-04-02T00:00:00"/>
    <s v="GB000000930"/>
    <s v="Дилнавоз опа (Тош)"/>
    <s v="Ташкент_Дилнавоз опа"/>
    <s v="GB"/>
    <s v="&quot;Tosh-Po'lat Pharm&quot; Mchj"/>
    <x v="4"/>
    <n v="10"/>
    <n v="90000"/>
    <n v="900000"/>
    <n v="250000"/>
    <m/>
    <n v="153000"/>
    <n v="403000"/>
  </r>
  <r>
    <n v="2026"/>
    <n v="4"/>
    <d v="2026-04-03T00:00:00"/>
    <s v="GB000000941"/>
    <s v="Нигора (Тош)"/>
    <s v="Ташкент_Дилнавоз опа"/>
    <s v="GB"/>
    <s v="&quot;CITY PHARM&quot; mas'uliyati cheklangan jamiyati"/>
    <x v="2"/>
    <n v="50"/>
    <n v="65000"/>
    <n v="3250000"/>
    <n v="1000000"/>
    <m/>
    <n v="552500"/>
    <n v="1552500"/>
  </r>
  <r>
    <n v="2026"/>
    <n v="4"/>
    <d v="2026-04-03T00:00:00"/>
    <s v="GB000000943"/>
    <s v="Нигора (Тош)"/>
    <s v="Ташкент_Дилнавоз опа"/>
    <s v="GB"/>
    <s v="&quot;7777 Pharm&quot; Mchj"/>
    <x v="2"/>
    <n v="20"/>
    <n v="65000"/>
    <n v="1300000"/>
    <n v="400000"/>
    <m/>
    <n v="221000.00000000003"/>
    <n v="621000"/>
  </r>
  <r>
    <n v="2026"/>
    <n v="4"/>
    <d v="2026-04-03T00:00:00"/>
    <s v="GB000000943"/>
    <s v="Нигора (Тош)"/>
    <s v="Ташкент_Дилнавоз опа"/>
    <s v="GB"/>
    <s v="&quot;7777 Pharm&quot; Mchj"/>
    <x v="4"/>
    <n v="20"/>
    <n v="90000"/>
    <n v="1800000"/>
    <n v="500000"/>
    <m/>
    <n v="306000"/>
    <n v="806000"/>
  </r>
  <r>
    <n v="2026"/>
    <n v="4"/>
    <d v="2026-04-03T00:00:00"/>
    <s v="GB000000945"/>
    <s v="Махфуза опа (Тош)"/>
    <s v="Ташкент_Дилнавоз опа"/>
    <s v="GB"/>
    <s v="&quot;Leader Pharmgroup&quot; Xk"/>
    <x v="2"/>
    <n v="20"/>
    <n v="65000"/>
    <n v="1300000"/>
    <n v="400000"/>
    <m/>
    <n v="221000.00000000003"/>
    <n v="621000"/>
  </r>
  <r>
    <n v="2026"/>
    <n v="4"/>
    <d v="2026-04-03T00:00:00"/>
    <s v="GB000000945"/>
    <s v="Махфуза опа (Тош)"/>
    <s v="Ташкент_Дилнавоз опа"/>
    <s v="GB"/>
    <s v="&quot;Leader Pharmgroup&quot; Xk"/>
    <x v="4"/>
    <n v="20"/>
    <n v="90000"/>
    <n v="1800000"/>
    <n v="500000"/>
    <m/>
    <n v="306000"/>
    <n v="806000"/>
  </r>
  <r>
    <n v="2026"/>
    <n v="4"/>
    <d v="2026-04-03T00:00:00"/>
    <s v="GB000000947"/>
    <s v="Ситора опа (Тош)"/>
    <s v="Ташкент_Дилнавоз опа"/>
    <s v="GB"/>
    <s v="&quot;Zbz Pharm Lyubimaya 8888&quot; Mchj"/>
    <x v="4"/>
    <n v="50"/>
    <n v="90000"/>
    <n v="4500000"/>
    <n v="1250000"/>
    <m/>
    <n v="765000"/>
    <n v="2015000"/>
  </r>
  <r>
    <n v="2026"/>
    <n v="4"/>
    <d v="2026-04-03T00:00:00"/>
    <s v="GB000000947"/>
    <s v="Ситора опа (Тош)"/>
    <s v="Ташкент_Дилнавоз опа"/>
    <s v="GB"/>
    <s v="&quot;Zbz Pharm Lyubimaya 8888&quot; Mchj"/>
    <x v="3"/>
    <n v="50"/>
    <n v="64700"/>
    <n v="3235000"/>
    <n v="1000000"/>
    <m/>
    <n v="549950"/>
    <n v="1549950"/>
  </r>
  <r>
    <n v="2026"/>
    <n v="4"/>
    <d v="2026-04-06T00:00:00"/>
    <s v="GB000000948"/>
    <s v="Нигора (Тош)"/>
    <s v="Ташкент_Дилнавоз опа"/>
    <s v="GB"/>
    <s v="&quot;Vaksina Healthcare&quot; Mchj"/>
    <x v="4"/>
    <n v="50"/>
    <n v="90000"/>
    <n v="4500000"/>
    <n v="1250000"/>
    <m/>
    <n v="765000"/>
    <n v="2015000"/>
  </r>
  <r>
    <n v="2026"/>
    <n v="4"/>
    <d v="2026-04-06T00:00:00"/>
    <s v="GB000000948"/>
    <s v="Нигора (Тош)"/>
    <s v="Ташкент_Дилнавоз опа"/>
    <s v="GB"/>
    <s v="&quot;Vaksina Healthcare&quot; Mchj"/>
    <x v="2"/>
    <n v="50"/>
    <n v="65000"/>
    <n v="3250000"/>
    <n v="1000000"/>
    <m/>
    <n v="552500"/>
    <n v="1552500"/>
  </r>
  <r>
    <n v="2026"/>
    <n v="4"/>
    <d v="2026-04-06T00:00:00"/>
    <s v="GB000000949"/>
    <s v="Дилнавоз опа (Тош)"/>
    <s v="Ташкент_Дилнавоз опа"/>
    <s v="GB"/>
    <s v="&quot;Tosh-Po'lat Pharm&quot; Mchj"/>
    <x v="3"/>
    <n v="20"/>
    <n v="64700"/>
    <n v="1294000"/>
    <n v="400000"/>
    <m/>
    <n v="219980.00000000003"/>
    <n v="619980"/>
  </r>
  <r>
    <n v="2026"/>
    <n v="4"/>
    <d v="2026-04-06T00:00:00"/>
    <s v="GB000000958"/>
    <s v="Дилором опа (Тош)"/>
    <s v="Ташкент_Дилнавоз опа"/>
    <s v="GB"/>
    <s v="&quot;Nata Vigor Pharm&quot; Mchj"/>
    <x v="2"/>
    <n v="30"/>
    <n v="65000"/>
    <n v="1950000"/>
    <n v="600000"/>
    <m/>
    <n v="331500"/>
    <n v="931500"/>
  </r>
  <r>
    <n v="2026"/>
    <n v="4"/>
    <d v="2026-04-07T00:00:00"/>
    <s v="GB000000964"/>
    <s v="Ситора опа (Тош)"/>
    <s v="Ташкент_Дилнавоз опа"/>
    <s v="GB"/>
    <s v="&quot;7777 Pharm&quot; Mchj"/>
    <x v="2"/>
    <n v="20"/>
    <n v="65000"/>
    <n v="1300000"/>
    <n v="400000"/>
    <m/>
    <n v="221000.00000000003"/>
    <n v="621000"/>
  </r>
  <r>
    <n v="2026"/>
    <n v="4"/>
    <d v="2026-04-07T00:00:00"/>
    <s v="GB000000964"/>
    <s v="Ситора опа (Тош)"/>
    <s v="Ташкент_Дилнавоз опа"/>
    <s v="GB"/>
    <s v="&quot;7777 Pharm&quot; Mchj"/>
    <x v="3"/>
    <n v="40"/>
    <n v="64700"/>
    <n v="2588000"/>
    <n v="800000"/>
    <m/>
    <n v="439960.00000000006"/>
    <n v="1239960"/>
  </r>
  <r>
    <n v="2026"/>
    <n v="4"/>
    <d v="2026-04-07T00:00:00"/>
    <s v="GB000000974"/>
    <s v="Махфуза опа (Тош)"/>
    <s v="Ташкент_Дилнавоз опа"/>
    <s v="GB"/>
    <s v="&quot;Madina Shifo Nur&quot; Mchj"/>
    <x v="3"/>
    <n v="7"/>
    <n v="64700"/>
    <n v="452900"/>
    <n v="140000"/>
    <m/>
    <n v="76993"/>
    <n v="216993"/>
  </r>
  <r>
    <n v="2026"/>
    <n v="4"/>
    <d v="2026-04-07T00:00:00"/>
    <s v="GB000000974"/>
    <s v="Махфуза опа (Тош)"/>
    <s v="Ташкент_Дилнавоз опа"/>
    <s v="GB"/>
    <s v="&quot;Madina Shifo Nur&quot; Mchj"/>
    <x v="3"/>
    <n v="3"/>
    <n v="64700"/>
    <n v="194100"/>
    <n v="60000"/>
    <m/>
    <n v="32997"/>
    <n v="92997"/>
  </r>
  <r>
    <n v="2026"/>
    <n v="4"/>
    <d v="2026-04-07T00:00:00"/>
    <s v="GB000000974"/>
    <s v="Махфуза опа (Тош)"/>
    <s v="Ташкент_Дилнавоз опа"/>
    <s v="GB"/>
    <s v="&quot;Madina Shifo Nur&quot; Mchj"/>
    <x v="2"/>
    <n v="10"/>
    <n v="65000"/>
    <n v="650000"/>
    <n v="200000"/>
    <m/>
    <n v="110500.00000000001"/>
    <n v="310500"/>
  </r>
  <r>
    <n v="2026"/>
    <n v="4"/>
    <d v="2026-04-09T00:00:00"/>
    <s v="GB000000986"/>
    <s v="Махфуза опа (Тош)"/>
    <s v="Ташкент_Дилнавоз опа"/>
    <s v="GB"/>
    <s v="&quot;Erkin-Med-Pharm&quot; Mchj"/>
    <x v="3"/>
    <n v="15"/>
    <n v="64700"/>
    <n v="970500"/>
    <n v="300000"/>
    <m/>
    <n v="164985"/>
    <n v="464985"/>
  </r>
  <r>
    <n v="2026"/>
    <n v="4"/>
    <d v="2026-04-09T00:00:00"/>
    <s v="GB000000986"/>
    <s v="Махфуза опа (Тош)"/>
    <s v="Ташкент_Дилнавоз опа"/>
    <s v="GB"/>
    <s v="&quot;Erkin-Med-Pharm&quot; Mchj"/>
    <x v="2"/>
    <n v="15"/>
    <n v="65000"/>
    <n v="975000"/>
    <n v="300000"/>
    <m/>
    <n v="165750"/>
    <n v="465750"/>
  </r>
  <r>
    <n v="2026"/>
    <n v="4"/>
    <d v="2026-04-09T00:00:00"/>
    <s v="GB000000986"/>
    <s v="Махфуза опа (Тош)"/>
    <s v="Ташкент_Дилнавоз опа"/>
    <s v="GB"/>
    <s v="&quot;Erkin-Med-Pharm&quot; Mchj"/>
    <x v="4"/>
    <n v="10"/>
    <n v="90000"/>
    <n v="900000"/>
    <n v="250000"/>
    <m/>
    <n v="153000"/>
    <n v="403000"/>
  </r>
  <r>
    <n v="2026"/>
    <n v="4"/>
    <d v="2026-04-09T00:00:00"/>
    <s v="GB000000986"/>
    <s v="Махфуза опа (Тош)"/>
    <s v="Ташкент_Дилнавоз опа"/>
    <s v="GB"/>
    <s v="&quot;Erkin-Med-Pharm&quot; Mchj"/>
    <x v="4"/>
    <n v="5"/>
    <n v="90000"/>
    <n v="450000"/>
    <n v="125000"/>
    <m/>
    <n v="76500"/>
    <n v="201500"/>
  </r>
  <r>
    <n v="2026"/>
    <n v="4"/>
    <d v="2026-04-09T00:00:00"/>
    <s v="GB000000992"/>
    <s v="Нигора (Тош)"/>
    <s v="Ташкент_Дилнавоз опа"/>
    <s v="GB"/>
    <s v="&quot;Chiroy-Pharm&quot; Mchj"/>
    <x v="4"/>
    <n v="20"/>
    <n v="90000"/>
    <n v="1800000"/>
    <n v="500000"/>
    <m/>
    <n v="306000"/>
    <n v="806000"/>
  </r>
  <r>
    <n v="2026"/>
    <n v="4"/>
    <d v="2026-04-09T00:00:00"/>
    <s v="GB000000993"/>
    <s v="Ситора опа (Тош)"/>
    <s v="Ташкент_Дилнавоз опа"/>
    <s v="GB"/>
    <s v="&quot;Zbz Pharm Lyubimaya 8888&quot; Mchj"/>
    <x v="3"/>
    <n v="100"/>
    <n v="64700"/>
    <n v="6470000"/>
    <n v="2000000"/>
    <m/>
    <n v="1099900"/>
    <n v="3099900"/>
  </r>
  <r>
    <n v="2026"/>
    <n v="4"/>
    <d v="2026-04-09T00:00:00"/>
    <s v="GB000000995"/>
    <s v="Дилором опа (Тош)"/>
    <s v="Ташкент_Дилнавоз опа"/>
    <s v="GB"/>
    <s v="&quot;Zamin Medikal Farm&quot; Mchj"/>
    <x v="4"/>
    <n v="10"/>
    <n v="90000"/>
    <n v="900000"/>
    <n v="250000"/>
    <m/>
    <n v="153000"/>
    <n v="403000"/>
  </r>
  <r>
    <n v="2026"/>
    <n v="4"/>
    <d v="2026-04-10T00:00:00"/>
    <s v="GB000001004"/>
    <s v="Мехриддин ака (Нав)"/>
    <s v="Навоий_Мехриддин ака"/>
    <s v="GB"/>
    <s v="&quot;Sofiya Pharm 999&quot; Mchj"/>
    <x v="3"/>
    <n v="50"/>
    <n v="64700"/>
    <n v="3235000"/>
    <n v="1000000"/>
    <m/>
    <n v="549950"/>
    <n v="1549950"/>
  </r>
  <r>
    <n v="2026"/>
    <n v="4"/>
    <d v="2026-04-10T00:00:00"/>
    <s v="GB000001012"/>
    <s v="Дилором опа (Тош)"/>
    <s v="Ташкент_Дилнавоз опа"/>
    <s v="GB"/>
    <s v="&quot;Akbar Pharm Servis&quot; Mchj"/>
    <x v="4"/>
    <n v="50"/>
    <n v="90000"/>
    <n v="4500000"/>
    <n v="1250000"/>
    <m/>
    <n v="765000"/>
    <n v="2015000"/>
  </r>
  <r>
    <n v="2026"/>
    <n v="4"/>
    <d v="2026-04-10T00:00:00"/>
    <s v="GB000001014"/>
    <s v="Дилнавоз опа (Тош)"/>
    <s v="Ташкент_Дилнавоз опа"/>
    <s v="GB"/>
    <s v="&quot;Tosh-Po'lat Pharm&quot; Mchj"/>
    <x v="2"/>
    <n v="5"/>
    <n v="65000"/>
    <n v="325000"/>
    <n v="100000"/>
    <m/>
    <n v="55250.000000000007"/>
    <n v="155250"/>
  </r>
  <r>
    <n v="2026"/>
    <n v="4"/>
    <d v="2026-04-10T00:00:00"/>
    <s v="GB000001014"/>
    <s v="Дилнавоз опа (Тош)"/>
    <s v="Ташкент_Дилнавоз опа"/>
    <s v="GB"/>
    <s v="&quot;Tosh-Po'lat Pharm&quot; Mchj"/>
    <x v="3"/>
    <n v="50"/>
    <n v="64700"/>
    <n v="3235000"/>
    <n v="1000000"/>
    <m/>
    <n v="549950"/>
    <n v="1549950"/>
  </r>
  <r>
    <n v="2026"/>
    <n v="4"/>
    <d v="2026-04-10T00:00:00"/>
    <s v="GB000001014"/>
    <s v="Дилнавоз опа (Тош)"/>
    <s v="Ташкент_Дилнавоз опа"/>
    <s v="GB"/>
    <s v="&quot;Tosh-Po'lat Pharm&quot; Mchj"/>
    <x v="4"/>
    <n v="30"/>
    <n v="90000"/>
    <n v="2700000"/>
    <n v="750000"/>
    <m/>
    <n v="459000.00000000006"/>
    <n v="1209000"/>
  </r>
  <r>
    <n v="2026"/>
    <n v="4"/>
    <d v="2026-04-10T00:00:00"/>
    <s v="GB000001019"/>
    <s v="Дилнавоз опа (Тош)"/>
    <s v="Ташкент_Дилнавоз опа"/>
    <s v="GB"/>
    <s v="&quot;Tosh-Po'lat Pharm&quot; Mchj"/>
    <x v="2"/>
    <n v="45"/>
    <n v="65000"/>
    <n v="2925000"/>
    <n v="900000"/>
    <m/>
    <n v="497250.00000000006"/>
    <n v="1397250"/>
  </r>
  <r>
    <n v="2026"/>
    <n v="4"/>
    <d v="2026-04-10T00:00:00"/>
    <s v="GB000001021"/>
    <s v="Нигора (Тош)"/>
    <s v="Ташкент_Дилнавоз опа"/>
    <s v="GB"/>
    <s v="&quot;CITY PHARM&quot; mas'uliyati cheklangan jamiyati"/>
    <x v="4"/>
    <n v="50"/>
    <n v="90000"/>
    <n v="4500000"/>
    <n v="1250000"/>
    <m/>
    <n v="765000"/>
    <n v="2015000"/>
  </r>
  <r>
    <n v="2026"/>
    <n v="4"/>
    <d v="2026-04-10T00:00:00"/>
    <s v="GB000001021"/>
    <s v="Нигора (Тош)"/>
    <s v="Ташкент_Дилнавоз опа"/>
    <s v="GB"/>
    <s v="&quot;CITY PHARM&quot; mas'uliyati cheklangan jamiyati"/>
    <x v="3"/>
    <n v="12"/>
    <n v="64700"/>
    <n v="776400"/>
    <n v="240000"/>
    <m/>
    <n v="131988"/>
    <n v="371988"/>
  </r>
  <r>
    <n v="2026"/>
    <n v="4"/>
    <d v="2026-04-10T00:00:00"/>
    <s v="GB000001021"/>
    <s v="Нигора (Тош)"/>
    <s v="Ташкент_Дилнавоз опа"/>
    <s v="GB"/>
    <s v="&quot;CITY PHARM&quot; mas'uliyati cheklangan jamiyati"/>
    <x v="3"/>
    <n v="38"/>
    <n v="64700"/>
    <n v="2458600"/>
    <n v="760000"/>
    <m/>
    <n v="417962.00000000006"/>
    <n v="1177962"/>
  </r>
  <r>
    <n v="2026"/>
    <n v="4"/>
    <d v="2026-04-15T00:00:00"/>
    <s v="GB000001065"/>
    <s v="Дилором опа (Тош)"/>
    <s v="Ташкент_Дилнавоз опа"/>
    <s v="GB"/>
    <s v="&quot;Qudratilla Baraka Savdo&quot; Mchj"/>
    <x v="2"/>
    <n v="25"/>
    <n v="65000"/>
    <n v="1625000"/>
    <n v="500000"/>
    <m/>
    <n v="276250"/>
    <n v="776250"/>
  </r>
  <r>
    <n v="2026"/>
    <n v="4"/>
    <d v="2026-04-15T00:00:00"/>
    <s v="GB000001065"/>
    <s v="Дилором опа (Тош)"/>
    <s v="Ташкент_Дилнавоз опа"/>
    <s v="GB"/>
    <s v="&quot;Qudratilla Baraka Savdo&quot; Mchj"/>
    <x v="4"/>
    <n v="25"/>
    <n v="90000"/>
    <n v="2250000"/>
    <n v="625000"/>
    <m/>
    <n v="382500"/>
    <n v="1007500"/>
  </r>
  <r>
    <n v="2026"/>
    <n v="4"/>
    <d v="2026-04-15T00:00:00"/>
    <s v="GB000001067"/>
    <s v="Дилором опа (Тош)"/>
    <s v="Ташкент_Дилнавоз опа"/>
    <s v="GB"/>
    <s v="&quot;Nata Vigor Pharm&quot; Mchj"/>
    <x v="3"/>
    <n v="20"/>
    <n v="64700"/>
    <n v="1294000"/>
    <n v="400000"/>
    <m/>
    <n v="219980.00000000003"/>
    <n v="619980"/>
  </r>
  <r>
    <n v="2026"/>
    <n v="4"/>
    <d v="2026-04-15T00:00:00"/>
    <s v="GB000001067"/>
    <s v="Дилором опа (Тош)"/>
    <s v="Ташкент_Дилнавоз опа"/>
    <s v="GB"/>
    <s v="&quot;Nata Vigor Pharm&quot; Mchj"/>
    <x v="4"/>
    <n v="20"/>
    <n v="90000"/>
    <n v="1800000"/>
    <n v="500000"/>
    <m/>
    <n v="306000"/>
    <n v="806000"/>
  </r>
  <r>
    <n v="2026"/>
    <n v="4"/>
    <d v="2026-04-15T00:00:00"/>
    <s v="GB000001073"/>
    <s v="Дилнавоз опа (Тош)"/>
    <s v="Ташкент_Дилнавоз опа"/>
    <s v="GB"/>
    <s v="&quot;Ssss-Med&quot; Mchj"/>
    <x v="4"/>
    <n v="20"/>
    <n v="90000"/>
    <n v="1800000"/>
    <n v="500000"/>
    <m/>
    <n v="306000"/>
    <n v="806000"/>
  </r>
  <r>
    <n v="2026"/>
    <n v="4"/>
    <d v="2026-04-15T00:00:00"/>
    <s v="GB000001077"/>
    <s v="Нигора (Тош)"/>
    <s v="Ташкент_Дилнавоз опа"/>
    <s v="GB"/>
    <s v="&quot;Accees Pharm&quot; Mchj"/>
    <x v="2"/>
    <n v="30"/>
    <n v="65000"/>
    <n v="1950000"/>
    <n v="600000"/>
    <m/>
    <n v="331500"/>
    <n v="931500"/>
  </r>
  <r>
    <n v="2026"/>
    <n v="4"/>
    <d v="2026-04-17T00:00:00"/>
    <s v="GB000001101"/>
    <s v="Махфуза опа (Тош)"/>
    <s v="Ташкент_Дилнавоз опа"/>
    <s v="GB"/>
    <s v="&quot;Madina Shifo Nur&quot; Mchj"/>
    <x v="2"/>
    <n v="10"/>
    <n v="65000"/>
    <n v="650000"/>
    <n v="200000"/>
    <m/>
    <n v="110500.00000000001"/>
    <n v="310500"/>
  </r>
  <r>
    <n v="2026"/>
    <n v="4"/>
    <d v="2026-04-17T00:00:00"/>
    <s v="GB000001101"/>
    <s v="Махфуза опа (Тош)"/>
    <s v="Ташкент_Дилнавоз опа"/>
    <s v="GB"/>
    <s v="&quot;Madina Shifo Nur&quot; Mchj"/>
    <x v="3"/>
    <n v="10"/>
    <n v="64700"/>
    <n v="647000"/>
    <n v="200000"/>
    <m/>
    <n v="109990.00000000001"/>
    <n v="309990"/>
  </r>
  <r>
    <n v="2026"/>
    <n v="4"/>
    <d v="2026-04-17T00:00:00"/>
    <s v="GB000001101"/>
    <s v="Махфуза опа (Тош)"/>
    <s v="Ташкент_Дилнавоз опа"/>
    <s v="GB"/>
    <s v="&quot;Madina Shifo Nur&quot; Mchj"/>
    <x v="4"/>
    <n v="20"/>
    <n v="90000"/>
    <n v="1800000"/>
    <n v="500000"/>
    <m/>
    <n v="306000"/>
    <n v="806000"/>
  </r>
  <r>
    <n v="2026"/>
    <n v="4"/>
    <d v="2026-04-20T00:00:00"/>
    <s v="GB000001109"/>
    <s v="Махфуза опа (Тош)"/>
    <s v="Ташкент_Дилнавоз опа"/>
    <s v="GB"/>
    <s v="&quot;Madinaxon Plyus Mubinaxon&quot; Mchj"/>
    <x v="4"/>
    <n v="18"/>
    <n v="90000"/>
    <n v="1620000"/>
    <n v="450000"/>
    <m/>
    <n v="275400"/>
    <n v="725400"/>
  </r>
  <r>
    <n v="2026"/>
    <n v="4"/>
    <d v="2026-04-20T00:00:00"/>
    <s v="GB000001109"/>
    <s v="Махфуза опа (Тош)"/>
    <s v="Ташкент_Дилнавоз опа"/>
    <s v="GB"/>
    <s v="&quot;Madinaxon Plyus Mubinaxon&quot; Mchj"/>
    <x v="3"/>
    <n v="10"/>
    <n v="64700"/>
    <n v="647000"/>
    <n v="200000"/>
    <m/>
    <n v="109990.00000000001"/>
    <n v="309990"/>
  </r>
  <r>
    <n v="2026"/>
    <n v="4"/>
    <d v="2026-04-22T00:00:00"/>
    <s v="GB000001159"/>
    <s v="Дилором опа (Тош)"/>
    <s v="Ташкент_Дилнавоз опа"/>
    <s v="GB"/>
    <s v="&quot;Akbar Pharm Servis&quot; Mchj"/>
    <x v="4"/>
    <n v="100"/>
    <n v="90000"/>
    <n v="9000000"/>
    <n v="2500000"/>
    <m/>
    <n v="1530000"/>
    <n v="4030000"/>
  </r>
  <r>
    <n v="2026"/>
    <n v="4"/>
    <d v="2026-04-22T00:00:00"/>
    <s v="GB000001160"/>
    <s v="Ситора опа (Тош)"/>
    <s v="Ташкент_Дилнавоз опа"/>
    <s v="GB"/>
    <s v="&quot;7777 Pharm&quot; Mchj"/>
    <x v="4"/>
    <n v="50"/>
    <n v="90000"/>
    <n v="4500000"/>
    <n v="1250000"/>
    <m/>
    <n v="765000"/>
    <n v="2015000"/>
  </r>
  <r>
    <n v="2026"/>
    <n v="4"/>
    <d v="2026-04-22T00:00:00"/>
    <s v="GB000001160"/>
    <s v="Ситора опа (Тош)"/>
    <s v="Ташкент_Дилнавоз опа"/>
    <s v="GB"/>
    <s v="&quot;7777 Pharm&quot; Mchj"/>
    <x v="3"/>
    <n v="50"/>
    <n v="64700"/>
    <n v="3235000"/>
    <n v="1000000"/>
    <m/>
    <n v="549950"/>
    <n v="1549950"/>
  </r>
  <r>
    <n v="2026"/>
    <n v="4"/>
    <d v="2026-04-22T00:00:00"/>
    <s v="GB000001166"/>
    <s v="Дилнавоз опа (Тош)"/>
    <s v="Ташкент_Дилнавоз опа"/>
    <s v="GB"/>
    <s v="&quot;Tosh-Po'lat Pharm&quot; Mchj"/>
    <x v="4"/>
    <n v="50"/>
    <n v="90000"/>
    <n v="4500000"/>
    <n v="1250000"/>
    <m/>
    <n v="765000"/>
    <n v="2015000"/>
  </r>
  <r>
    <n v="2026"/>
    <n v="4"/>
    <d v="2026-04-24T00:00:00"/>
    <s v="GB000001200"/>
    <s v="Дилором опа (Тош)"/>
    <s v="Ташкент_Дилнавоз опа"/>
    <s v="GB"/>
    <s v="&quot;Yusuf Max Pharm&quot; Mchj"/>
    <x v="4"/>
    <n v="5"/>
    <n v="90000"/>
    <n v="450000"/>
    <n v="125000"/>
    <m/>
    <n v="76500"/>
    <n v="201500"/>
  </r>
  <r>
    <n v="2026"/>
    <n v="4"/>
    <d v="2026-04-24T00:00:00"/>
    <s v="GB000001200"/>
    <s v="Дилором опа (Тош)"/>
    <s v="Ташкент_Дилнавоз опа"/>
    <s v="GB"/>
    <s v="&quot;Yusuf Max Pharm&quot; Mchj"/>
    <x v="4"/>
    <n v="5"/>
    <n v="90000"/>
    <n v="450000"/>
    <n v="125000"/>
    <m/>
    <n v="76500"/>
    <n v="201500"/>
  </r>
  <r>
    <n v="2026"/>
    <n v="4"/>
    <d v="2026-04-24T00:00:00"/>
    <s v="GB000001201"/>
    <s v="Дилнавоз опа (Тош)"/>
    <s v="Ташкент_Дилнавоз опа"/>
    <s v="GB"/>
    <s v="&quot;Pharma Cosmos&quot; Mchj"/>
    <x v="4"/>
    <n v="25"/>
    <n v="90000"/>
    <n v="2250000"/>
    <n v="625000"/>
    <m/>
    <n v="382500"/>
    <n v="1007500"/>
  </r>
  <r>
    <n v="2026"/>
    <n v="4"/>
    <d v="2026-04-24T00:00:00"/>
    <s v="GB000001201"/>
    <s v="Дилнавоз опа (Тош)"/>
    <s v="Ташкент_Дилнавоз опа"/>
    <s v="GB"/>
    <s v="&quot;Pharma Cosmos&quot; Mchj"/>
    <x v="2"/>
    <n v="40"/>
    <n v="65000"/>
    <n v="2600000"/>
    <n v="800000"/>
    <m/>
    <n v="442000.00000000006"/>
    <n v="1242000"/>
  </r>
  <r>
    <n v="2026"/>
    <n v="4"/>
    <d v="2026-04-24T00:00:00"/>
    <s v="GB000001201"/>
    <s v="Дилнавоз опа (Тош)"/>
    <s v="Ташкент_Дилнавоз опа"/>
    <s v="GB"/>
    <s v="&quot;Pharma Cosmos&quot; Mchj"/>
    <x v="3"/>
    <n v="10"/>
    <n v="64700"/>
    <n v="647000"/>
    <n v="200000"/>
    <m/>
    <n v="109990.00000000001"/>
    <n v="309990"/>
  </r>
  <r>
    <n v="2026"/>
    <n v="4"/>
    <d v="2026-04-24T00:00:00"/>
    <s v="GB000001201"/>
    <s v="Дилнавоз опа (Тош)"/>
    <s v="Ташкент_Дилнавоз опа"/>
    <s v="GB"/>
    <s v="&quot;Pharma Cosmos&quot; Mchj"/>
    <x v="4"/>
    <n v="20"/>
    <n v="90000"/>
    <n v="1800000"/>
    <n v="500000"/>
    <m/>
    <n v="306000"/>
    <n v="806000"/>
  </r>
  <r>
    <n v="2026"/>
    <n v="4"/>
    <d v="2026-04-27T00:00:00"/>
    <s v="GB000001205"/>
    <s v="Махфуза опа (Тош)"/>
    <s v="Ташкент_Дилнавоз опа"/>
    <s v="GB"/>
    <s v="&quot;Afruza Meditsin&quot; Mchj"/>
    <x v="4"/>
    <n v="3"/>
    <n v="90000"/>
    <n v="270000"/>
    <n v="75000"/>
    <m/>
    <n v="45900"/>
    <n v="120900"/>
  </r>
  <r>
    <n v="2026"/>
    <n v="4"/>
    <d v="2026-04-27T00:00:00"/>
    <s v="GB000001205"/>
    <s v="Махфуза опа (Тош)"/>
    <s v="Ташкент_Дилнавоз опа"/>
    <s v="GB"/>
    <s v="&quot;Afruza Meditsin&quot; Mchj"/>
    <x v="4"/>
    <n v="27"/>
    <n v="90000"/>
    <n v="2430000"/>
    <n v="675000"/>
    <m/>
    <n v="413100.00000000006"/>
    <n v="1088100"/>
  </r>
  <r>
    <n v="2026"/>
    <n v="4"/>
    <d v="2026-04-27T00:00:00"/>
    <s v="GB000001205"/>
    <s v="Махфуза опа (Тош)"/>
    <s v="Ташкент_Дилнавоз опа"/>
    <s v="GB"/>
    <s v="&quot;Afruza Meditsin&quot; Mchj"/>
    <x v="3"/>
    <n v="20"/>
    <n v="64700"/>
    <n v="1294000"/>
    <n v="400000"/>
    <m/>
    <n v="219980.00000000003"/>
    <n v="619980"/>
  </r>
  <r>
    <n v="2026"/>
    <n v="4"/>
    <d v="2026-04-28T00:00:00"/>
    <s v="GB000001222"/>
    <s v="Нигора (Тош)"/>
    <s v="Ташкент_Дилнавоз опа"/>
    <s v="GB"/>
    <s v="&quot;7777 Pharm&quot; Mchj"/>
    <x v="4"/>
    <n v="30"/>
    <n v="90000"/>
    <n v="2700000"/>
    <n v="750000"/>
    <m/>
    <n v="459000.00000000006"/>
    <n v="1209000"/>
  </r>
  <r>
    <n v="2026"/>
    <n v="4"/>
    <d v="2026-04-29T00:00:00"/>
    <s v="GB000001237"/>
    <s v="Нигора (Тош)"/>
    <s v="Ташкент_Дилнавоз опа"/>
    <s v="GB"/>
    <s v="&quot;Vaksina Healthcare&quot; Mchj"/>
    <x v="3"/>
    <n v="40"/>
    <n v="64700"/>
    <n v="2588000"/>
    <n v="800000"/>
    <m/>
    <n v="439960.00000000006"/>
    <n v="1239960"/>
  </r>
  <r>
    <n v="2026"/>
    <n v="4"/>
    <d v="2026-04-29T00:00:00"/>
    <s v="GB000001237"/>
    <s v="Нигора (Тош)"/>
    <s v="Ташкент_Дилнавоз опа"/>
    <s v="GB"/>
    <s v="&quot;Vaksina Healthcare&quot; Mchj"/>
    <x v="4"/>
    <n v="50"/>
    <n v="90000"/>
    <n v="4500000"/>
    <n v="1250000"/>
    <m/>
    <n v="765000"/>
    <n v="2015000"/>
  </r>
  <r>
    <n v="2026"/>
    <n v="4"/>
    <d v="2026-04-29T00:00:00"/>
    <s v="GB000001237"/>
    <s v="Нигора (Тош)"/>
    <s v="Ташкент_Дилнавоз опа"/>
    <s v="GB"/>
    <s v="&quot;Vaksina Healthcare&quot; Mchj"/>
    <x v="2"/>
    <n v="50"/>
    <n v="65000"/>
    <n v="3250000"/>
    <n v="1000000"/>
    <m/>
    <n v="552500"/>
    <n v="1552500"/>
  </r>
  <r>
    <n v="2026"/>
    <n v="4"/>
    <d v="2026-04-29T00:00:00"/>
    <s v="GB000001241"/>
    <s v="Махфуза опа (Тош)"/>
    <s v="Ташкент_Дилнавоз опа"/>
    <s v="GB"/>
    <s v="&quot;Apteka Klassika&quot; Mchj"/>
    <x v="3"/>
    <n v="20"/>
    <n v="64700"/>
    <n v="1294000"/>
    <n v="400000"/>
    <m/>
    <n v="219980.00000000003"/>
    <n v="619980"/>
  </r>
  <r>
    <n v="2026"/>
    <n v="4"/>
    <d v="2026-04-29T00:00:00"/>
    <s v="GB000001241"/>
    <s v="Махфуза опа (Тош)"/>
    <s v="Ташкент_Дилнавоз опа"/>
    <s v="GB"/>
    <s v="&quot;Apteka Klassika&quot; Mchj"/>
    <x v="4"/>
    <n v="20"/>
    <n v="90000"/>
    <n v="1800000"/>
    <n v="500000"/>
    <m/>
    <n v="306000"/>
    <n v="806000"/>
  </r>
  <r>
    <n v="2026"/>
    <n v="4"/>
    <d v="2026-04-30T00:00:00"/>
    <s v="GB000001257"/>
    <s v="Дилором опа (Тош)"/>
    <s v="Ташкент_Дилнавоз опа"/>
    <s v="GB"/>
    <s v="&quot;Nata Vigor Pharm&quot; Mchj"/>
    <x v="2"/>
    <n v="20"/>
    <n v="65000"/>
    <n v="1300000"/>
    <n v="400000"/>
    <m/>
    <n v="221000.00000000003"/>
    <n v="621000"/>
  </r>
  <r>
    <n v="2026"/>
    <n v="5"/>
    <d v="2026-05-01T00:00:00"/>
    <s v="GB000001269"/>
    <s v="Махфуза опа (Тош)"/>
    <s v="Ташкент_Дилнавоз опа"/>
    <s v="GB"/>
    <s v="&quot;Mirzobek Odilbek Med Farm&quot; Mchj"/>
    <x v="2"/>
    <n v="10"/>
    <n v="65000"/>
    <n v="650000"/>
    <n v="200000"/>
    <m/>
    <n v="110500.00000000001"/>
    <n v="310500"/>
  </r>
  <r>
    <n v="2026"/>
    <n v="5"/>
    <d v="2026-05-01T00:00:00"/>
    <s v="GB000001272"/>
    <s v="Дилором опа (Тош)"/>
    <s v="Ташкент_Дилнавоз опа"/>
    <s v="GB"/>
    <s v="&quot;Premyer Farm Shifo&quot; Xk"/>
    <x v="2"/>
    <n v="20"/>
    <n v="65000"/>
    <n v="1300000"/>
    <n v="400000"/>
    <m/>
    <n v="221000.00000000003"/>
    <n v="621000"/>
  </r>
  <r>
    <n v="2026"/>
    <n v="5"/>
    <d v="2026-05-06T00:00:00"/>
    <s v="GB000001303"/>
    <s v="Махфуза опа (Тош)"/>
    <s v="Ташкент_Дилнавоз опа"/>
    <s v="GB"/>
    <s v="&quot;Afruza Meditsin&quot; Mchj"/>
    <x v="2"/>
    <n v="25"/>
    <n v="65000"/>
    <n v="1625000"/>
    <n v="500000"/>
    <m/>
    <n v="276250"/>
    <n v="776250"/>
  </r>
  <r>
    <n v="2026"/>
    <n v="5"/>
    <d v="2026-05-06T00:00:00"/>
    <s v="GB000001304"/>
    <s v="Махфуза опа (Тош)"/>
    <s v="Ташкент_Дилнавоз опа"/>
    <s v="GB"/>
    <s v="&quot;Apteka Klassika&quot; Mchj"/>
    <x v="2"/>
    <n v="20"/>
    <n v="65000"/>
    <n v="1300000"/>
    <n v="400000"/>
    <m/>
    <n v="221000.00000000003"/>
    <n v="621000"/>
  </r>
  <r>
    <n v="2026"/>
    <n v="5"/>
    <d v="2026-05-06T00:00:00"/>
    <s v="GB000001306"/>
    <s v="Дилнавоз опа (Тош)"/>
    <s v="Ташкент_Дилнавоз опа"/>
    <s v="GB"/>
    <s v="&quot;Tosh-Po'lat Pharm&quot; Mchj"/>
    <x v="2"/>
    <n v="40"/>
    <n v="65000"/>
    <n v="2600000"/>
    <n v="800000"/>
    <m/>
    <n v="442000.00000000006"/>
    <n v="1242000"/>
  </r>
  <r>
    <n v="2026"/>
    <n v="5"/>
    <d v="2026-05-06T00:00:00"/>
    <s v="GB000001311"/>
    <s v="Дилором опа (Тош)"/>
    <s v="Ташкент_Дилнавоз опа"/>
    <s v="GB"/>
    <s v="&quot;Mavjuda Ona Pharm&quot; Mchj"/>
    <x v="4"/>
    <n v="20"/>
    <n v="90000"/>
    <n v="1800000"/>
    <n v="500000"/>
    <m/>
    <n v="306000"/>
    <n v="806000"/>
  </r>
  <r>
    <n v="2026"/>
    <n v="5"/>
    <d v="2026-05-06T00:00:00"/>
    <s v="GB000001311"/>
    <s v="Дилором опа (Тош)"/>
    <s v="Ташкент_Дилнавоз опа"/>
    <s v="GB"/>
    <s v="&quot;Mavjuda Ona Pharm&quot; Mchj"/>
    <x v="2"/>
    <n v="10"/>
    <n v="65000"/>
    <n v="650000"/>
    <n v="200000"/>
    <m/>
    <n v="110500.00000000001"/>
    <n v="310500"/>
  </r>
  <r>
    <n v="2026"/>
    <n v="5"/>
    <d v="2026-05-06T00:00:00"/>
    <s v="GB000001312"/>
    <s v="Махфуза опа (Тош)"/>
    <s v="Ташкент_Дилнавоз опа"/>
    <s v="GB"/>
    <s v="&quot;Erkin-Med-Pharm&quot; Mchj"/>
    <x v="2"/>
    <n v="10"/>
    <n v="65000"/>
    <n v="650000"/>
    <n v="200000"/>
    <m/>
    <n v="110500.00000000001"/>
    <n v="310500"/>
  </r>
  <r>
    <n v="2026"/>
    <n v="5"/>
    <d v="2026-05-06T00:00:00"/>
    <s v="GB000001313"/>
    <s v="Шохжахон ипс"/>
    <s v="Шохжахон ипс"/>
    <s v="GB"/>
    <s v="MCHJ Farm Lyuks Invest"/>
    <x v="3"/>
    <n v="120"/>
    <n v="64700"/>
    <n v="7764000"/>
    <n v="2400000"/>
    <m/>
    <n v="1319880"/>
    <n v="3719880"/>
  </r>
  <r>
    <n v="2026"/>
    <n v="5"/>
    <d v="2026-05-06T00:00:00"/>
    <s v="GB000001313"/>
    <s v="Шохжахон ипс"/>
    <s v="Шохжахон ипс"/>
    <s v="GB"/>
    <s v="MCHJ Farm Lyuks Invest"/>
    <x v="4"/>
    <n v="100"/>
    <n v="90000"/>
    <n v="9000000"/>
    <n v="2500000"/>
    <m/>
    <n v="1530000"/>
    <n v="4030000"/>
  </r>
  <r>
    <n v="2026"/>
    <n v="5"/>
    <d v="2026-05-06T00:00:00"/>
    <s v="GB000001313"/>
    <s v="Шохжахон ипс"/>
    <s v="Шохжахон ипс"/>
    <s v="GB"/>
    <s v="MCHJ Farm Lyuks Invest"/>
    <x v="2"/>
    <n v="100"/>
    <n v="65000"/>
    <n v="6500000"/>
    <n v="2000000"/>
    <m/>
    <n v="1105000"/>
    <n v="3105000"/>
  </r>
  <r>
    <n v="2026"/>
    <n v="5"/>
    <d v="2026-05-07T00:00:00"/>
    <s v="GB000001323"/>
    <s v="Махфуза опа (Тош)"/>
    <s v="Ташкент_Дилнавоз опа"/>
    <s v="GB"/>
    <s v="&quot;Mannid Farm&quot; Mchj"/>
    <x v="3"/>
    <n v="25"/>
    <n v="64700"/>
    <n v="1617500"/>
    <n v="500000"/>
    <m/>
    <n v="274975"/>
    <n v="774975"/>
  </r>
  <r>
    <n v="2026"/>
    <n v="5"/>
    <d v="2026-05-07T00:00:00"/>
    <s v="GB000001323"/>
    <s v="Махфуза опа (Тош)"/>
    <s v="Ташкент_Дилнавоз опа"/>
    <s v="GB"/>
    <s v="&quot;Mannid Farm&quot; Mchj"/>
    <x v="4"/>
    <n v="35"/>
    <n v="90000"/>
    <n v="3150000"/>
    <n v="875000"/>
    <m/>
    <n v="535500"/>
    <n v="1410500"/>
  </r>
  <r>
    <n v="2026"/>
    <n v="5"/>
    <d v="2026-05-12T00:00:00"/>
    <s v="GB000001355"/>
    <s v="Нигора (Тош)"/>
    <s v="Ташкент_Дилнавоз опа"/>
    <s v="GB"/>
    <s v="&quot;Pharmservis&quot; Mchj"/>
    <x v="4"/>
    <n v="40"/>
    <n v="90000"/>
    <n v="3600000"/>
    <n v="1000000"/>
    <m/>
    <n v="612000"/>
    <n v="1612000"/>
  </r>
  <r>
    <n v="2026"/>
    <n v="5"/>
    <d v="2026-05-13T00:00:00"/>
    <s v="GB000001365"/>
    <s v="Нигора (Тош)"/>
    <s v="Ташкент_Дилнавоз опа"/>
    <s v="GB"/>
    <s v="&quot;CITY PHARM&quot; mas'uliyati cheklangan jamiyati"/>
    <x v="3"/>
    <n v="50"/>
    <n v="64700"/>
    <n v="3235000"/>
    <n v="1000000"/>
    <m/>
    <n v="549950"/>
    <n v="1549950"/>
  </r>
  <r>
    <n v="2026"/>
    <n v="5"/>
    <d v="2026-05-13T00:00:00"/>
    <s v="GB000001369"/>
    <s v="Ситора опа (Тош)"/>
    <s v="Ташкент_Дилнавоз опа"/>
    <s v="GB"/>
    <s v="&quot;Ixlos-Farm&quot; Mchj"/>
    <x v="4"/>
    <n v="10"/>
    <n v="90000"/>
    <n v="900000"/>
    <n v="250000"/>
    <m/>
    <n v="153000"/>
    <n v="403000"/>
  </r>
  <r>
    <n v="2026"/>
    <n v="5"/>
    <d v="2026-05-13T00:00:00"/>
    <s v="GB000001369"/>
    <s v="Ситора опа (Тош)"/>
    <s v="Ташкент_Дилнавоз опа"/>
    <s v="GB"/>
    <s v="&quot;Ixlos-Farm&quot; Mchj"/>
    <x v="2"/>
    <n v="10"/>
    <n v="65000"/>
    <n v="650000"/>
    <n v="200000"/>
    <m/>
    <n v="110500.00000000001"/>
    <n v="310500"/>
  </r>
  <r>
    <n v="2026"/>
    <n v="5"/>
    <d v="2026-05-13T00:00:00"/>
    <s v="GB000001373"/>
    <s v="Ситора опа (Тош)"/>
    <s v="Ташкент_Дилнавоз опа"/>
    <s v="GB"/>
    <s v="&quot;7777 Pharm&quot; Mchj"/>
    <x v="2"/>
    <n v="30"/>
    <n v="65000"/>
    <n v="1950000"/>
    <n v="600000"/>
    <m/>
    <n v="331500"/>
    <n v="931500"/>
  </r>
  <r>
    <n v="2026"/>
    <n v="5"/>
    <d v="2026-05-13T00:00:00"/>
    <s v="GB000001380"/>
    <s v="Нигора (Тош)"/>
    <s v="Ташкент_Дилнавоз опа"/>
    <s v="GB"/>
    <s v="&quot;7777 Pharm&quot; Mchj"/>
    <x v="2"/>
    <n v="30"/>
    <n v="65000"/>
    <n v="1950000"/>
    <n v="600000"/>
    <m/>
    <n v="331500"/>
    <n v="931500"/>
  </r>
  <r>
    <n v="2026"/>
    <n v="5"/>
    <d v="2026-05-13T00:00:00"/>
    <s v="GB000001380"/>
    <s v="Нигора (Тош)"/>
    <s v="Ташкент_Дилнавоз опа"/>
    <s v="GB"/>
    <s v="&quot;7777 Pharm&quot; Mchj"/>
    <x v="4"/>
    <n v="20"/>
    <n v="90000"/>
    <n v="1800000"/>
    <n v="500000"/>
    <m/>
    <n v="306000"/>
    <n v="806000"/>
  </r>
  <r>
    <n v="2026"/>
    <n v="5"/>
    <d v="2026-05-13T00:00:00"/>
    <s v="GB000001380"/>
    <s v="Нигора (Тош)"/>
    <s v="Ташкент_Дилнавоз опа"/>
    <s v="GB"/>
    <s v="&quot;7777 Pharm&quot; Mchj"/>
    <x v="4"/>
    <n v="20"/>
    <n v="90000"/>
    <n v="1800000"/>
    <n v="500000"/>
    <m/>
    <n v="306000"/>
    <n v="806000"/>
  </r>
  <r>
    <n v="2026"/>
    <n v="5"/>
    <d v="2026-05-13T00:00:00"/>
    <s v="GB000001384"/>
    <s v="Нигора (Тош)"/>
    <s v="Ташкент_Дилнавоз опа"/>
    <s v="GB"/>
    <s v="&quot;7777 Pharm&quot; Mchj"/>
    <x v="3"/>
    <n v="30"/>
    <n v="64700"/>
    <n v="1941000"/>
    <n v="600000"/>
    <m/>
    <n v="329970"/>
    <n v="929970"/>
  </r>
  <r>
    <n v="2026"/>
    <n v="5"/>
    <d v="2026-05-14T00:00:00"/>
    <s v="GB000001388"/>
    <s v="Дилором опа (Тош)"/>
    <s v="Ташкент_Дилнавоз опа"/>
    <s v="GB"/>
    <s v="&quot;Nata Vigor Pharm&quot; Mchj"/>
    <x v="4"/>
    <n v="24"/>
    <n v="90000"/>
    <n v="2160000"/>
    <n v="600000"/>
    <m/>
    <n v="367200"/>
    <n v="967200"/>
  </r>
  <r>
    <n v="2026"/>
    <n v="5"/>
    <d v="2026-05-14T00:00:00"/>
    <s v="GB000001388"/>
    <s v="Дилором опа (Тош)"/>
    <s v="Ташкент_Дилнавоз опа"/>
    <s v="GB"/>
    <s v="&quot;Nata Vigor Pharm&quot; Mchj"/>
    <x v="2"/>
    <n v="15"/>
    <n v="65000"/>
    <n v="975000"/>
    <n v="300000"/>
    <m/>
    <n v="165750"/>
    <n v="465750"/>
  </r>
  <r>
    <n v="2026"/>
    <n v="5"/>
    <d v="2026-05-14T00:00:00"/>
    <s v="GB000001391"/>
    <s v="Дилором опа (Тош)"/>
    <s v="Ташкент_Дилнавоз опа"/>
    <s v="GB"/>
    <s v="&quot;Damin Gulchehra Farm&quot; Mchj"/>
    <x v="4"/>
    <n v="15"/>
    <n v="90000"/>
    <n v="1350000"/>
    <n v="375000"/>
    <m/>
    <n v="229500.00000000003"/>
    <n v="604500"/>
  </r>
  <r>
    <n v="2026"/>
    <n v="5"/>
    <d v="2026-05-14T00:00:00"/>
    <s v="GB000001392"/>
    <s v="Нигора (Тош)"/>
    <s v="Ташкент_Дилнавоз опа"/>
    <s v="GB"/>
    <s v="&quot;Ashio Pharm&quot; Mchj"/>
    <x v="2"/>
    <n v="20"/>
    <n v="65000"/>
    <n v="1300000"/>
    <n v="400000"/>
    <m/>
    <n v="221000.00000000003"/>
    <n v="621000"/>
  </r>
  <r>
    <n v="2026"/>
    <n v="5"/>
    <d v="2026-05-14T00:00:00"/>
    <s v="GB000001395"/>
    <s v="Нигора (Тош)"/>
    <s v="Ташкент_Дилнавоз опа"/>
    <s v="GB"/>
    <s v="&quot;Vaksina Healthcare&quot; Mchj"/>
    <x v="4"/>
    <n v="100"/>
    <n v="90000"/>
    <n v="9000000"/>
    <n v="2500000"/>
    <m/>
    <n v="1530000"/>
    <n v="4030000"/>
  </r>
  <r>
    <n v="2026"/>
    <n v="5"/>
    <d v="2026-05-15T00:00:00"/>
    <s v="GB000001406"/>
    <s v="Дилором опа (Тош)"/>
    <s v="Ташкент_Дилнавоз опа"/>
    <s v="GB"/>
    <s v="&quot;Zamin Medikal Farm&quot; Mchj"/>
    <x v="4"/>
    <n v="20"/>
    <n v="90000"/>
    <n v="1800000"/>
    <n v="500000"/>
    <m/>
    <n v="306000"/>
    <n v="806000"/>
  </r>
  <r>
    <n v="2026"/>
    <n v="5"/>
    <d v="2026-05-15T00:00:00"/>
    <s v="GB000001412"/>
    <s v="Нигора (Тош)"/>
    <s v="Ташкент_Дилнавоз опа"/>
    <s v="GB"/>
    <s v="&quot;Chiroy-Pharm&quot; Mchj"/>
    <x v="4"/>
    <n v="20"/>
    <n v="90000"/>
    <n v="1800000"/>
    <n v="500000"/>
    <m/>
    <n v="306000"/>
    <n v="806000"/>
  </r>
  <r>
    <n v="2026"/>
    <n v="5"/>
    <d v="2026-05-15T00:00:00"/>
    <s v="GB000001413"/>
    <s v="Махфуза опа (Тош)"/>
    <s v="Ташкент_Дилнавоз опа"/>
    <s v="GB"/>
    <s v="&quot;Madina Shifo Nur&quot; Mchj"/>
    <x v="4"/>
    <n v="1"/>
    <n v="90000"/>
    <n v="90000"/>
    <n v="25000"/>
    <m/>
    <n v="15300.000000000002"/>
    <n v="40300"/>
  </r>
  <r>
    <n v="2026"/>
    <n v="5"/>
    <d v="2026-05-15T00:00:00"/>
    <s v="GB000001413"/>
    <s v="Махфуза опа (Тош)"/>
    <s v="Ташкент_Дилнавоз опа"/>
    <s v="GB"/>
    <s v="&quot;Madina Shifo Nur&quot; Mchj"/>
    <x v="4"/>
    <n v="29"/>
    <n v="90000"/>
    <n v="2610000"/>
    <n v="725000"/>
    <m/>
    <n v="443700.00000000006"/>
    <n v="1168700"/>
  </r>
  <r>
    <n v="2025"/>
    <n v="10"/>
    <d v="2025-10-03T00:00:00"/>
    <s v="RMF00004990"/>
    <s v="Хуршид ака (Сам)"/>
    <s v="Самарканд_Хуршед ака"/>
    <s v="RMF"/>
    <s v="&quot;Isayev Farm 777&quot; Mchj"/>
    <x v="0"/>
    <n v="100"/>
    <n v="40621"/>
    <n v="4062100"/>
    <n v="1362000"/>
    <m/>
    <m/>
    <n v="1362000"/>
  </r>
  <r>
    <n v="2025"/>
    <n v="10"/>
    <d v="2025-10-03T00:00:00"/>
    <s v="RMF00004995"/>
    <s v="Хуршид ака (Сам)"/>
    <s v="Самарканд_Хуршед ака"/>
    <s v="RMF"/>
    <s v="&quot;Azamat Gold Farm&quot; Mchj"/>
    <x v="0"/>
    <n v="30"/>
    <n v="40621"/>
    <n v="1218630"/>
    <n v="929000"/>
    <m/>
    <m/>
    <n v="929000"/>
  </r>
  <r>
    <n v="2025"/>
    <n v="10"/>
    <d v="2025-10-09T00:00:00"/>
    <s v="RMF00005090"/>
    <s v="Улугбек ака (Хор)"/>
    <s v="Хоразм_Улугбек ака"/>
    <s v="RMF"/>
    <s v="&quot;Intermed Pharmaceutical&quot; Mchj"/>
    <x v="2"/>
    <n v="100"/>
    <n v="52500"/>
    <n v="5250000"/>
    <n v="447000"/>
    <m/>
    <m/>
    <n v="447000"/>
  </r>
  <r>
    <n v="2025"/>
    <n v="10"/>
    <d v="2025-10-09T00:00:00"/>
    <s v="RMF00005090"/>
    <s v="Улугбек ака (Хор)"/>
    <s v="Хоразм_Улугбек ака"/>
    <s v="RMF"/>
    <s v="&quot;Intermed Pharmaceutical&quot; Mchj"/>
    <x v="4"/>
    <n v="100"/>
    <n v="67600"/>
    <n v="6760000"/>
    <n v="658000"/>
    <m/>
    <m/>
    <n v="658000"/>
  </r>
  <r>
    <n v="2025"/>
    <n v="10"/>
    <d v="2025-10-09T00:00:00"/>
    <s v="RMF00005100"/>
    <s v="Умар ака (Фр)"/>
    <s v="Фаргона_Умар ака Сух"/>
    <s v="RMF"/>
    <s v="&quot;Sezon Ntd&quot; Xk"/>
    <x v="2"/>
    <n v="10"/>
    <n v="52500"/>
    <n v="525000"/>
    <n v="64000"/>
    <m/>
    <m/>
    <n v="64000"/>
  </r>
  <r>
    <n v="2025"/>
    <n v="10"/>
    <d v="2025-10-09T00:00:00"/>
    <s v="RMF00005100"/>
    <s v="Умар ака (Фр)"/>
    <s v="Фаргона_Умар ака Сух"/>
    <s v="RMF"/>
    <s v="&quot;Sezon Ntd&quot; Xk"/>
    <x v="4"/>
    <n v="30"/>
    <n v="67600"/>
    <n v="2028000"/>
    <n v="267000"/>
    <m/>
    <m/>
    <n v="267000"/>
  </r>
  <r>
    <n v="2025"/>
    <n v="10"/>
    <d v="2025-10-10T00:00:00"/>
    <s v="RMF00005113"/>
    <s v="Фотима опа (Сир)"/>
    <s v="Сирдарё_Фотима опа"/>
    <s v="RMF"/>
    <s v="&quot;Rustambek-J.b.b.&quot; Xk"/>
    <x v="2"/>
    <n v="30"/>
    <n v="52500"/>
    <n v="1575000"/>
    <n v="337000"/>
    <m/>
    <m/>
    <n v="337000"/>
  </r>
  <r>
    <n v="2025"/>
    <n v="10"/>
    <d v="2025-10-15T00:00:00"/>
    <s v="RMF00005164"/>
    <s v="Абдушукур ака (Сир)"/>
    <s v="Сирдарё_Фотима опа"/>
    <s v="RMF"/>
    <s v="&quot;Baxtiyor Turg'unovich&quot; Ktxf"/>
    <x v="1"/>
    <n v="30"/>
    <n v="120000"/>
    <n v="3600000"/>
    <n v="1037000"/>
    <m/>
    <m/>
    <n v="1037000"/>
  </r>
  <r>
    <n v="2025"/>
    <n v="10"/>
    <d v="2025-10-20T00:00:00"/>
    <s v="RMF00005213"/>
    <s v="Хуршид ака (Сам)"/>
    <s v="Самарканд_Хуршед ака"/>
    <s v="RMF"/>
    <s v="&quot;Max Mir Farm777&quot; Mchj"/>
    <x v="0"/>
    <n v="200"/>
    <n v="40621"/>
    <n v="8124200"/>
    <n v="2572000"/>
    <m/>
    <m/>
    <n v="2572000"/>
  </r>
  <r>
    <n v="2025"/>
    <n v="10"/>
    <d v="2025-10-20T00:00:00"/>
    <s v="RMF00005223"/>
    <s v="Мехрибон опа (Нк)"/>
    <s v="Нукус_Мехрибон опа"/>
    <s v="RMF"/>
    <s v="&quot;Mir Apteka&quot; Mchj"/>
    <x v="4"/>
    <n v="100"/>
    <n v="90000"/>
    <n v="9000000"/>
    <n v="2331000"/>
    <m/>
    <m/>
    <n v="2331000"/>
  </r>
  <r>
    <n v="2025"/>
    <n v="10"/>
    <d v="2025-10-21T00:00:00"/>
    <s v="RMF00005226"/>
    <s v="Фотима опа (Сир)"/>
    <s v="Сирдарё_Фотима опа"/>
    <s v="RMF"/>
    <s v="&quot;Ozodbek-Yan-Farm&quot; Xk"/>
    <x v="1"/>
    <n v="20"/>
    <n v="120000"/>
    <n v="2400000"/>
    <n v="267000"/>
    <m/>
    <m/>
    <n v="267000"/>
  </r>
  <r>
    <n v="2025"/>
    <n v="10"/>
    <d v="2025-10-21T00:00:00"/>
    <s v="RMF00005240"/>
    <s v="Хуршид ака (Сам)"/>
    <s v="Самарканд_Хуршед ака"/>
    <s v="RMF"/>
    <s v="&quot;Planeta Farm 111&quot; Mchj"/>
    <x v="0"/>
    <n v="50"/>
    <n v="40621"/>
    <n v="2031050"/>
    <n v="676000"/>
    <m/>
    <m/>
    <n v="676000"/>
  </r>
  <r>
    <n v="2025"/>
    <n v="10"/>
    <d v="2025-10-22T00:00:00"/>
    <s v="RMF00005245"/>
    <s v="Хуршид ака (Сам)"/>
    <s v="Самарканд_Хуршед ака"/>
    <s v="RMF"/>
    <s v="&quot;Best Dominant Farm&quot; Mchj"/>
    <x v="0"/>
    <n v="50"/>
    <n v="40621"/>
    <n v="2031050"/>
    <n v="344000"/>
    <m/>
    <m/>
    <n v="344000"/>
  </r>
  <r>
    <n v="2025"/>
    <n v="10"/>
    <d v="2025-10-22T00:00:00"/>
    <s v="RMF00005259"/>
    <s v="Хуршид ака (Сам)"/>
    <s v="Самарканд_Хуршед ака"/>
    <s v="RMF"/>
    <s v="&quot;Isayev Farm 777&quot; Mchj"/>
    <x v="0"/>
    <n v="70"/>
    <n v="40621"/>
    <n v="2843470"/>
    <n v="2168000"/>
    <m/>
    <m/>
    <n v="2168000"/>
  </r>
  <r>
    <n v="2025"/>
    <n v="10"/>
    <d v="2025-10-22T00:00:00"/>
    <s v="RMF00005263"/>
    <s v="Хуршид ака (Сам)"/>
    <s v="Самарканд_Хуршед ака"/>
    <s v="RMF"/>
    <s v="&quot;Isayev Farm 777&quot; Mchj"/>
    <x v="0"/>
    <n v="30"/>
    <n v="40621"/>
    <n v="1218630"/>
    <n v="928000"/>
    <m/>
    <m/>
    <n v="928000"/>
  </r>
  <r>
    <n v="2025"/>
    <n v="10"/>
    <d v="2025-10-22T00:00:00"/>
    <s v="RMF00005269"/>
    <s v="Хуршид ака (Сам)"/>
    <s v="Самарканд_Хуршед ака"/>
    <s v="RMF"/>
    <s v="&quot;Smile Trade&quot; Mchj"/>
    <x v="0"/>
    <n v="100"/>
    <n v="40621"/>
    <n v="4062100"/>
    <n v="1618000"/>
    <m/>
    <m/>
    <n v="1618000"/>
  </r>
  <r>
    <n v="2025"/>
    <n v="10"/>
    <d v="2025-10-23T00:00:00"/>
    <s v="RMF00005276"/>
    <s v="Абдушукур ака (Сир)"/>
    <s v="Сирдарё_Фотима опа"/>
    <s v="RMF"/>
    <s v="&quot;Ozodbek-Yan-Farm&quot; Xk"/>
    <x v="4"/>
    <n v="20"/>
    <n v="90000"/>
    <n v="1800000"/>
    <n v="246000"/>
    <m/>
    <m/>
    <n v="246000"/>
  </r>
  <r>
    <n v="2025"/>
    <n v="10"/>
    <d v="2025-10-23T00:00:00"/>
    <s v="RMF00005276"/>
    <s v="Абдушукур ака (Сир)"/>
    <s v="Сирдарё_Фотима опа"/>
    <s v="RMF"/>
    <s v="&quot;Ozodbek-Yan-Farm&quot; Xk"/>
    <x v="2"/>
    <n v="20"/>
    <n v="65000"/>
    <n v="1300000"/>
    <n v="175000"/>
    <m/>
    <m/>
    <n v="175000"/>
  </r>
  <r>
    <n v="2025"/>
    <n v="10"/>
    <d v="2025-10-23T00:00:00"/>
    <s v="RMF00005277"/>
    <s v="Хуршид ака (Сам)"/>
    <s v="Самарканд_Хуршед ака"/>
    <s v="RMF"/>
    <s v="&quot;Dreem Pharmacy&quot; Mchj"/>
    <x v="4"/>
    <n v="100"/>
    <n v="90000"/>
    <n v="9000000"/>
    <n v="2333000"/>
    <m/>
    <m/>
    <n v="2333000"/>
  </r>
  <r>
    <n v="2025"/>
    <n v="10"/>
    <d v="2025-10-23T00:00:00"/>
    <s v="RMF00005283"/>
    <s v="Абдушукур ака (Сир)"/>
    <s v="Сирдарё_Фотима опа"/>
    <s v="RMF"/>
    <s v="&quot;Behzod-Farm-Yangiyer&quot; Mchj"/>
    <x v="4"/>
    <n v="20"/>
    <n v="90000"/>
    <n v="1800000"/>
    <n v="1060000"/>
    <m/>
    <m/>
    <n v="1060000"/>
  </r>
  <r>
    <n v="2025"/>
    <n v="10"/>
    <d v="2025-10-23T00:00:00"/>
    <s v="RMF00005286"/>
    <s v="Абдушукур ака (Сир)"/>
    <s v="Сирдарё_Фотима опа"/>
    <s v="RMF"/>
    <s v="&quot;Mushtariy-Samira Farm&quot; Xk"/>
    <x v="1"/>
    <n v="10"/>
    <n v="120000"/>
    <n v="1200000"/>
    <n v="518000"/>
    <m/>
    <m/>
    <n v="518000"/>
  </r>
  <r>
    <n v="2025"/>
    <n v="10"/>
    <d v="2025-10-24T00:00:00"/>
    <s v="RMF00005313"/>
    <s v="Мехрибон опа (Нк)"/>
    <s v="Нукус_Мехрибон опа"/>
    <s v="RMF"/>
    <s v="&quot;Ajiniyaz No`Kis&quot; Xk"/>
    <x v="2"/>
    <n v="50"/>
    <n v="65000"/>
    <n v="3250000"/>
    <n v="1237000"/>
    <m/>
    <m/>
    <n v="1237000"/>
  </r>
  <r>
    <n v="2025"/>
    <n v="10"/>
    <d v="2025-10-24T00:00:00"/>
    <s v="RMF00005313"/>
    <s v="Мехрибон опа (Нк)"/>
    <s v="Нукус_Мехрибон опа"/>
    <s v="RMF"/>
    <s v="&quot;Ajiniyaz No`Kis&quot; Xk"/>
    <x v="4"/>
    <n v="200"/>
    <n v="90000"/>
    <n v="18000000"/>
    <n v="7459000"/>
    <m/>
    <m/>
    <n v="7459000"/>
  </r>
  <r>
    <n v="2025"/>
    <n v="10"/>
    <d v="2025-10-24T00:00:00"/>
    <s v="RMF00005319"/>
    <s v="Мехрибон опа (Нк)"/>
    <s v="Нукус_Мехрибон опа"/>
    <s v="RMF"/>
    <s v="&quot;Pintok Medical&quot; Mchj"/>
    <x v="4"/>
    <n v="50"/>
    <n v="90000"/>
    <n v="4500000"/>
    <n v="1218000"/>
    <m/>
    <m/>
    <n v="1218000"/>
  </r>
  <r>
    <n v="2025"/>
    <n v="10"/>
    <d v="2025-10-27T00:00:00"/>
    <s v="RMF00005333"/>
    <s v="Гулшода опа (Нав)"/>
    <s v="Навоий_Гулшода опа"/>
    <s v="RMF"/>
    <s v="&quot;Vita Pharm Navoiy&quot; Mchj"/>
    <x v="2"/>
    <n v="100"/>
    <n v="65000"/>
    <n v="6500000"/>
    <n v="3797000"/>
    <m/>
    <m/>
    <n v="3797000"/>
  </r>
  <r>
    <n v="2025"/>
    <n v="10"/>
    <d v="2025-10-28T00:00:00"/>
    <s v="RMF00005357"/>
    <s v="Гулшода опа (Нав)"/>
    <s v="Навоий_Гулшода опа"/>
    <s v="RMF"/>
    <s v="&quot;Grand-Medikal Center&quot; Mchj"/>
    <x v="1"/>
    <n v="40"/>
    <n v="120000"/>
    <n v="4800000"/>
    <n v="3142000"/>
    <m/>
    <m/>
    <n v="3142000"/>
  </r>
  <r>
    <n v="2025"/>
    <n v="10"/>
    <d v="2025-10-29T00:00:00"/>
    <s v="RMF00005384"/>
    <s v="Умар ака (Фр)"/>
    <s v="Фаргона_Умар ака Сух"/>
    <s v="RMF"/>
    <s v="&quot;Mulki Amenjon&quot; Xk"/>
    <x v="4"/>
    <n v="15"/>
    <n v="90000"/>
    <n v="1350000"/>
    <n v="238000"/>
    <m/>
    <m/>
    <n v="238000"/>
  </r>
  <r>
    <n v="2025"/>
    <n v="10"/>
    <d v="2025-10-30T00:00:00"/>
    <s v="RMF00005397"/>
    <s v="Нафосат опа (Бух)"/>
    <s v="Бухоро_Нафосат опа"/>
    <s v="RMF"/>
    <s v="&quot;Dilfuza Farm Servis&quot; Mchj"/>
    <x v="4"/>
    <n v="40"/>
    <n v="90000"/>
    <n v="3600000"/>
    <n v="2289000"/>
    <m/>
    <m/>
    <n v="2289000"/>
  </r>
  <r>
    <n v="2025"/>
    <n v="10"/>
    <d v="2025-10-30T00:00:00"/>
    <s v="RMF00005399"/>
    <s v="Нафосат опа (Бух)"/>
    <s v="Бухоро_Нафосат опа"/>
    <s v="RMF"/>
    <s v="&quot;Nigina Farm Sanoat&quot; Xk"/>
    <x v="4"/>
    <n v="40"/>
    <n v="90000"/>
    <n v="3600000"/>
    <n v="2289000"/>
    <m/>
    <m/>
    <n v="2289000"/>
  </r>
  <r>
    <n v="2025"/>
    <n v="10"/>
    <d v="2025-10-30T00:00:00"/>
    <s v="RMF00005407"/>
    <s v="Нафосат опа (Бух)"/>
    <s v="Бухоро_Нафосат опа"/>
    <s v="RMF"/>
    <s v="&quot;Oligafarm&quot; Mchj"/>
    <x v="4"/>
    <n v="300"/>
    <n v="90000"/>
    <n v="27000000"/>
    <n v="3656000"/>
    <m/>
    <m/>
    <n v="3656000"/>
  </r>
  <r>
    <n v="2025"/>
    <n v="11"/>
    <d v="2025-11-03T00:00:00"/>
    <s v="RMF00005433"/>
    <s v="Хуршид ака (Сам)"/>
    <s v="Самарканд_Хуршед ака"/>
    <s v="RMF"/>
    <s v="&quot;Max Mir Farm777&quot; Mchj"/>
    <x v="0"/>
    <n v="240"/>
    <n v="40621"/>
    <n v="9749040"/>
    <n v="2421000"/>
    <m/>
    <m/>
    <n v="2421000"/>
  </r>
  <r>
    <n v="2025"/>
    <n v="11"/>
    <d v="2025-11-04T00:00:00"/>
    <s v="RMF00005462"/>
    <s v="Умар ака (Фр)"/>
    <s v="Фаргона_Умар ака Сух"/>
    <s v="RMF"/>
    <s v="&quot;Sinoxususiy Dorixonasi&quot; Xk"/>
    <x v="4"/>
    <n v="10"/>
    <n v="90000"/>
    <n v="900000"/>
    <n v="339000"/>
    <m/>
    <m/>
    <n v="339000"/>
  </r>
  <r>
    <n v="2025"/>
    <n v="11"/>
    <d v="2025-11-06T00:00:00"/>
    <s v="RMF00005500"/>
    <s v="Бахромжон"/>
    <s v="Кукон_Бахромжон ака"/>
    <s v="RMF"/>
    <s v="&quot;Tole&quot; Xk"/>
    <x v="1"/>
    <n v="10"/>
    <n v="120000"/>
    <n v="1200000"/>
    <n v="786000"/>
    <m/>
    <m/>
    <n v="786000"/>
  </r>
  <r>
    <n v="2025"/>
    <n v="11"/>
    <d v="2025-11-06T00:00:00"/>
    <s v="RMF00005509"/>
    <s v="Бахромжон"/>
    <s v="Кукон_Бахромжон ака"/>
    <s v="RMF"/>
    <s v="&quot;Najot&quot; Xk"/>
    <x v="1"/>
    <n v="10"/>
    <n v="120000"/>
    <n v="1200000"/>
    <n v="675000"/>
    <m/>
    <m/>
    <n v="675000"/>
  </r>
  <r>
    <n v="2025"/>
    <n v="11"/>
    <d v="2025-11-06T00:00:00"/>
    <s v="RMF00005514"/>
    <s v="Абдушукур ака (Сир)"/>
    <s v="Сирдарё_Фотима опа"/>
    <s v="RMF"/>
    <s v="&quot;Baxtiyor Turg'unovich&quot; Ktxf"/>
    <x v="2"/>
    <n v="30"/>
    <n v="65000"/>
    <n v="1950000"/>
    <n v="389000"/>
    <m/>
    <m/>
    <n v="389000"/>
  </r>
  <r>
    <n v="2025"/>
    <n v="11"/>
    <d v="2025-11-07T00:00:00"/>
    <s v="RMF00005526"/>
    <s v="Хуршид ака (Сам)"/>
    <s v="Самарканд_Хуршед ака"/>
    <s v="RMF"/>
    <s v="&quot;Shaxzod Med Line&quot; Mchj"/>
    <x v="2"/>
    <n v="30"/>
    <n v="65000"/>
    <n v="1950000"/>
    <n v="1139000"/>
    <m/>
    <m/>
    <n v="1139000"/>
  </r>
  <r>
    <n v="2025"/>
    <n v="11"/>
    <d v="2025-11-07T00:00:00"/>
    <s v="RMF00005534"/>
    <s v="Абдушукур ака (Сир)"/>
    <s v="Сирдарё_Фотима опа"/>
    <s v="RMF"/>
    <s v="&quot;Rustambek-J.b.b.&quot; Xk"/>
    <x v="2"/>
    <n v="20"/>
    <n v="65000"/>
    <n v="1300000"/>
    <n v="155000"/>
    <m/>
    <m/>
    <n v="155000"/>
  </r>
  <r>
    <n v="2025"/>
    <n v="11"/>
    <d v="2025-11-07T00:00:00"/>
    <s v="RMF00005535"/>
    <s v="Хуршид ака (Сам)"/>
    <s v="Самарканд_Хуршед ака"/>
    <s v="RMF"/>
    <s v="&quot;Dreem Pharmacy&quot; Mchj"/>
    <x v="4"/>
    <n v="100"/>
    <n v="90000"/>
    <n v="9000000"/>
    <n v="2331000"/>
    <m/>
    <m/>
    <n v="2331000"/>
  </r>
  <r>
    <n v="2025"/>
    <n v="11"/>
    <d v="2025-11-07T00:00:00"/>
    <s v="RMF00005542"/>
    <s v="Бахромжон"/>
    <s v="Кукон_Бахромжон ака"/>
    <s v="RMF"/>
    <s v="&quot;Dilnavozhon Farma&quot; Xk"/>
    <x v="1"/>
    <n v="10"/>
    <n v="120000"/>
    <n v="1200000"/>
    <n v="786000"/>
    <m/>
    <m/>
    <n v="786000"/>
  </r>
  <r>
    <n v="2025"/>
    <n v="11"/>
    <d v="2025-11-10T00:00:00"/>
    <s v="RMF00005580"/>
    <s v="Хуршид ака (Сам)"/>
    <s v="Самарканд_Хуршед ака"/>
    <s v="RMF"/>
    <s v="&quot;Shukrona Shifo S Y&quot; Mchj"/>
    <x v="2"/>
    <n v="30"/>
    <n v="65000"/>
    <n v="1950000"/>
    <n v="501000"/>
    <m/>
    <m/>
    <n v="501000"/>
  </r>
  <r>
    <n v="2025"/>
    <n v="11"/>
    <d v="2025-11-10T00:00:00"/>
    <s v="RMF00005603"/>
    <s v="Улугбек ака (Хор)"/>
    <s v="Хоразм_Улугбек ака"/>
    <s v="RMF"/>
    <s v="&quot;Intermed Pharmaceutical&quot; Mchj"/>
    <x v="3"/>
    <n v="200"/>
    <n v="64700"/>
    <n v="12940000"/>
    <n v="300000"/>
    <m/>
    <m/>
    <n v="300000"/>
  </r>
  <r>
    <n v="2025"/>
    <n v="11"/>
    <d v="2025-11-10T00:00:00"/>
    <s v="RMF00005607"/>
    <s v="Нафосат опа (Бух)"/>
    <s v="Бухоро_Нафосат опа"/>
    <s v="RMF"/>
    <s v="&quot;Farm-Sintez&quot; Xk"/>
    <x v="4"/>
    <n v="150"/>
    <n v="90000"/>
    <n v="13500000"/>
    <n v="316000"/>
    <m/>
    <m/>
    <n v="316000"/>
  </r>
  <r>
    <n v="2025"/>
    <n v="11"/>
    <d v="2025-11-10T00:00:00"/>
    <s v="RMF00005608"/>
    <s v="Нафосат опа (Бух)"/>
    <s v="Бухоро_Нафосат опа"/>
    <s v="RMF"/>
    <s v="&quot;Shax Nur Farm Med&quot; Mas'uliyati Cheklangan Jamiyat"/>
    <x v="4"/>
    <n v="5"/>
    <n v="90000"/>
    <n v="450000"/>
    <n v="47000"/>
    <m/>
    <m/>
    <n v="47000"/>
  </r>
  <r>
    <n v="2025"/>
    <n v="11"/>
    <d v="2025-11-10T00:00:00"/>
    <s v="RMF00005608"/>
    <s v="Нафосат опа (Бух)"/>
    <s v="Бухоро_Нафосат опа"/>
    <s v="RMF"/>
    <s v="&quot;Shax Nur Farm Med&quot; Mas'uliyati Cheklangan Jamiyat"/>
    <x v="4"/>
    <n v="95"/>
    <n v="90000"/>
    <n v="8550000"/>
    <n v="47000"/>
    <m/>
    <m/>
    <n v="47000"/>
  </r>
  <r>
    <n v="2025"/>
    <n v="11"/>
    <d v="2025-11-11T00:00:00"/>
    <s v="RMF00005622"/>
    <s v="Умар ака (Фр)"/>
    <s v="Фаргона_Умар ака Сух"/>
    <s v="RMF"/>
    <s v="&quot;Ozod Dori Darmon Xususiy Korxonasi&quot; Xk"/>
    <x v="4"/>
    <n v="20"/>
    <n v="90000"/>
    <n v="1800000"/>
    <n v="460000"/>
    <m/>
    <m/>
    <n v="460000"/>
  </r>
  <r>
    <n v="2025"/>
    <n v="11"/>
    <d v="2025-11-13T00:00:00"/>
    <s v="RMF00005654"/>
    <s v="Хуршид ака (Сам)"/>
    <s v="Самарканд_Хуршед ака"/>
    <s v="RMF"/>
    <s v="&quot;Max Mir Farm777&quot; Mchj"/>
    <x v="0"/>
    <n v="240"/>
    <n v="40621"/>
    <n v="9749040"/>
    <n v="3252000"/>
    <m/>
    <m/>
    <n v="3252000"/>
  </r>
  <r>
    <n v="2025"/>
    <n v="11"/>
    <d v="2025-11-13T00:00:00"/>
    <s v="RMF00005656"/>
    <s v="Нафосат опа (Бух)"/>
    <s v="Бухоро_Нафосат опа"/>
    <s v="RMF"/>
    <s v="&quot;Smart Pharm-Bukhara&quot; Mchj"/>
    <x v="4"/>
    <n v="50"/>
    <n v="90000"/>
    <n v="4500000"/>
    <n v="702000"/>
    <m/>
    <m/>
    <n v="702000"/>
  </r>
  <r>
    <n v="2025"/>
    <n v="11"/>
    <d v="2025-11-14T00:00:00"/>
    <s v="RMF00005662"/>
    <s v="Баходирхон"/>
    <s v="Кукон_Баходирхон ака"/>
    <s v="RMF"/>
    <s v="Al-Xikmat Shifo Хусусий Фирма"/>
    <x v="2"/>
    <n v="10"/>
    <n v="65000"/>
    <n v="650000"/>
    <n v="380000"/>
    <m/>
    <m/>
    <n v="380000"/>
  </r>
  <r>
    <n v="2025"/>
    <n v="11"/>
    <d v="2025-11-14T00:00:00"/>
    <s v="RMF00005677"/>
    <s v="Жонибек ака (Анд) S"/>
    <s v="Андижон_Жонибек ака (S)"/>
    <s v="RMF"/>
    <s v="&quot;Max Shifo Aziz Farm&quot; Qmj"/>
    <x v="1"/>
    <n v="40"/>
    <n v="120000"/>
    <n v="4800000"/>
    <n v="3278000"/>
    <m/>
    <m/>
    <n v="3278000"/>
  </r>
  <r>
    <n v="2025"/>
    <n v="11"/>
    <d v="2025-11-17T00:00:00"/>
    <s v="RMF00005686"/>
    <s v="Нафосат опа (Бух)"/>
    <s v="Бухоро_Нафосат опа"/>
    <s v="RMF"/>
    <s v="&quot;Madina- Farm Sintez&quot; Mchj"/>
    <x v="4"/>
    <n v="50"/>
    <n v="90000"/>
    <n v="4500000"/>
    <n v="617000"/>
    <m/>
    <m/>
    <n v="617000"/>
  </r>
  <r>
    <n v="2025"/>
    <n v="11"/>
    <d v="2025-11-17T00:00:00"/>
    <s v="RMF00005704"/>
    <s v="Хуршид ака (Сам)"/>
    <s v="Самарканд_Хуршед ака"/>
    <s v="RMF"/>
    <s v="&quot;Jannat Shifo&quot; Mchj"/>
    <x v="2"/>
    <n v="50"/>
    <n v="65000"/>
    <n v="3250000"/>
    <n v="1899000"/>
    <m/>
    <m/>
    <n v="1899000"/>
  </r>
  <r>
    <n v="2025"/>
    <n v="11"/>
    <d v="2025-11-18T00:00:00"/>
    <s v="RMF00005712"/>
    <s v="Хуршид ака (Сам)"/>
    <s v="Самарканд_Хуршед ака"/>
    <s v="RMF"/>
    <s v="&quot;Farmasam&quot; Mchj"/>
    <x v="1"/>
    <n v="80"/>
    <n v="120000"/>
    <n v="9600000"/>
    <n v="6557000"/>
    <m/>
    <m/>
    <n v="6557000"/>
  </r>
  <r>
    <n v="2025"/>
    <n v="11"/>
    <d v="2025-11-19T00:00:00"/>
    <s v="RMF00005734"/>
    <s v="Жонибек ака (Анд) S"/>
    <s v="Андижон_Жонибек ака (S)"/>
    <s v="RMF"/>
    <s v="&quot;Farm Standart&quot; Mchj"/>
    <x v="1"/>
    <n v="10"/>
    <n v="120000"/>
    <n v="1200000"/>
    <n v="820000"/>
    <m/>
    <m/>
    <n v="820000"/>
  </r>
  <r>
    <n v="2025"/>
    <n v="11"/>
    <d v="2025-11-19T00:00:00"/>
    <s v="RMF00005738"/>
    <s v="Мехрибон опа (Нк)"/>
    <s v="Нукус_Мехрибон опа"/>
    <s v="RMF"/>
    <s v="&quot;Mir Apteka&quot; Mchj"/>
    <x v="4"/>
    <n v="100"/>
    <n v="90000"/>
    <n v="9000000"/>
    <n v="2518000"/>
    <m/>
    <m/>
    <n v="2518000"/>
  </r>
  <r>
    <n v="2025"/>
    <n v="11"/>
    <d v="2025-11-19T00:00:00"/>
    <s v="RMF00005741"/>
    <s v="Фотима опа (Сир)"/>
    <s v="Сирдарё_Фотима опа"/>
    <s v="RMF"/>
    <s v="&quot;Ozodbek-Yan-Farm&quot; Xk"/>
    <x v="1"/>
    <n v="20"/>
    <n v="120000"/>
    <n v="2400000"/>
    <n v="180000"/>
    <m/>
    <m/>
    <n v="180000"/>
  </r>
  <r>
    <n v="2025"/>
    <n v="11"/>
    <d v="2025-11-19T00:00:00"/>
    <s v="RMF00005757"/>
    <s v="Жонибек ака (Анд) S"/>
    <s v="Андижон_Жонибек ака (S)"/>
    <s v="RMF"/>
    <s v="&quot;Dilorom Med Servis&quot; Xk"/>
    <x v="1"/>
    <n v="30"/>
    <n v="120000"/>
    <n v="3600000"/>
    <n v="2459000"/>
    <m/>
    <m/>
    <n v="2459000"/>
  </r>
  <r>
    <n v="2025"/>
    <n v="11"/>
    <d v="2025-11-20T00:00:00"/>
    <s v="RMF00005775"/>
    <s v="Гулшода опа (Нав)"/>
    <s v="Навоий_Гулшода опа"/>
    <s v="RMF"/>
    <s v="&quot;Sandi Farm&quot; Mchj"/>
    <x v="2"/>
    <n v="20"/>
    <n v="65000"/>
    <n v="1300000"/>
    <n v="741000"/>
    <m/>
    <m/>
    <n v="741000"/>
  </r>
  <r>
    <n v="2025"/>
    <n v="11"/>
    <d v="2025-11-20T00:00:00"/>
    <s v="RMF00005775"/>
    <s v="Гулшода опа (Нав)"/>
    <s v="Навоий_Гулшода опа"/>
    <s v="RMF"/>
    <s v="&quot;Sandi Farm&quot; Mchj"/>
    <x v="1"/>
    <n v="10"/>
    <n v="120000"/>
    <n v="1200000"/>
    <n v="799000"/>
    <m/>
    <m/>
    <n v="799000"/>
  </r>
  <r>
    <n v="2025"/>
    <n v="11"/>
    <d v="2025-11-20T00:00:00"/>
    <s v="RMF00005776"/>
    <s v="Гулшода опа (Нав)"/>
    <s v="Навоий_Гулшода опа"/>
    <s v="RMF"/>
    <s v="&quot;Murat Farm&quot; Mchj"/>
    <x v="1"/>
    <n v="10"/>
    <n v="120000"/>
    <n v="1200000"/>
    <n v="820000"/>
    <m/>
    <m/>
    <n v="820000"/>
  </r>
  <r>
    <n v="2025"/>
    <n v="11"/>
    <d v="2025-11-20T00:00:00"/>
    <s v="RMF00005776"/>
    <s v="Гулшода опа (Нав)"/>
    <s v="Навоий_Гулшода опа"/>
    <s v="RMF"/>
    <s v="&quot;Murat Farm&quot; Mchj"/>
    <x v="2"/>
    <n v="20"/>
    <n v="65000"/>
    <n v="1300000"/>
    <n v="759000"/>
    <m/>
    <m/>
    <n v="759000"/>
  </r>
  <r>
    <n v="2025"/>
    <n v="11"/>
    <d v="2025-11-20T00:00:00"/>
    <s v="RMF00005778"/>
    <s v="Умар ака (Фр)"/>
    <s v="Фаргона_Умар ака Сух"/>
    <s v="RMF"/>
    <s v="&quot;Sux Farm Medikal&quot; Mchj"/>
    <x v="4"/>
    <n v="15"/>
    <n v="90000"/>
    <n v="1350000"/>
    <n v="320000"/>
    <m/>
    <m/>
    <n v="320000"/>
  </r>
  <r>
    <n v="2025"/>
    <n v="11"/>
    <d v="2025-11-20T00:00:00"/>
    <s v="RMF00005792"/>
    <s v="Хилола опа (Сир)"/>
    <s v="Сирдарё_Фотима опа"/>
    <s v="RMF"/>
    <s v="&quot;ASKARBINKA VITAMINKA&quot; mas`uliyati cheklangan jamiyati"/>
    <x v="1"/>
    <n v="50"/>
    <n v="120000"/>
    <n v="6000000"/>
    <n v="4098000"/>
    <m/>
    <m/>
    <n v="4098000"/>
  </r>
  <r>
    <n v="2025"/>
    <n v="11"/>
    <d v="2025-11-24T00:00:00"/>
    <s v="RMF00005811"/>
    <s v="Нафосат опа (Бух)"/>
    <s v="Бухоро_Нафосат опа"/>
    <s v="RMF"/>
    <s v="&quot;Nigina Farm Sanoat&quot; Xk"/>
    <x v="4"/>
    <n v="100"/>
    <n v="90000"/>
    <n v="9000000"/>
    <n v="2659000"/>
    <m/>
    <m/>
    <n v="2659000"/>
  </r>
  <r>
    <n v="2025"/>
    <n v="11"/>
    <d v="2025-11-24T00:00:00"/>
    <s v="RMF00005831"/>
    <s v="Мехрибон опа (Нк)"/>
    <s v="Нукус_Мехрибон опа"/>
    <s v="RMF"/>
    <s v="&quot;Ajiniyaz Qaraqalpaq&quot; Mchj"/>
    <x v="4"/>
    <n v="300"/>
    <n v="90000"/>
    <n v="27000000"/>
    <n v="5981000"/>
    <m/>
    <m/>
    <n v="5981000"/>
  </r>
  <r>
    <n v="2025"/>
    <n v="11"/>
    <d v="2025-11-24T00:00:00"/>
    <s v="RMF00005836"/>
    <s v="Нафосат опа (Бух)"/>
    <s v="Бухоро_Нафосат опа"/>
    <s v="RMF"/>
    <s v="&quot;Oligafarm&quot; Mchj"/>
    <x v="4"/>
    <n v="200"/>
    <n v="90000"/>
    <n v="18000000"/>
    <n v="3268000"/>
    <m/>
    <m/>
    <n v="3268000"/>
  </r>
  <r>
    <n v="2025"/>
    <n v="11"/>
    <d v="2025-11-25T00:00:00"/>
    <s v="RMF00005840"/>
    <s v="Хилола опа (Сир)"/>
    <s v="Сирдарё_Фотима опа"/>
    <s v="RMF"/>
    <s v="&quot;Health Plus&quot; Mchj"/>
    <x v="2"/>
    <n v="30"/>
    <n v="65000"/>
    <n v="1950000"/>
    <n v="1139000"/>
    <m/>
    <m/>
    <n v="1139000"/>
  </r>
  <r>
    <n v="2025"/>
    <n v="11"/>
    <d v="2025-11-25T00:00:00"/>
    <s v="RMF00005843"/>
    <s v="Фотима опа (Сир)"/>
    <s v="Сирдарё_Фотима опа"/>
    <s v="RMF"/>
    <s v="&quot;Ozodbek-Yan-Farm&quot; Xk"/>
    <x v="0"/>
    <n v="30"/>
    <n v="40621"/>
    <n v="1218630"/>
    <n v="353000"/>
    <m/>
    <m/>
    <n v="353000"/>
  </r>
  <r>
    <n v="2025"/>
    <n v="11"/>
    <d v="2025-11-26T00:00:00"/>
    <s v="RMF00005855"/>
    <s v="Жонибек ака (Анд) S"/>
    <s v="Андижон_Жонибек ака (S)"/>
    <s v="RMF"/>
    <s v="&quot;MAKRO PHARMASEUITICAL&quot; mas'uliyati cheklangan jamiyati"/>
    <x v="2"/>
    <n v="50"/>
    <n v="65000"/>
    <n v="3250000"/>
    <n v="1899000"/>
    <m/>
    <m/>
    <n v="1899000"/>
  </r>
  <r>
    <n v="2025"/>
    <n v="11"/>
    <d v="2025-11-26T00:00:00"/>
    <s v="RMF00005857"/>
    <s v="Хуршид ака (Сам)"/>
    <s v="Самарканд_Хуршед ака"/>
    <s v="RMF"/>
    <s v="&quot;Smile Trade&quot; Mchj"/>
    <x v="1"/>
    <n v="20"/>
    <n v="120000"/>
    <n v="2400000"/>
    <n v="709000"/>
    <m/>
    <m/>
    <n v="709000"/>
  </r>
  <r>
    <n v="2025"/>
    <n v="11"/>
    <d v="2025-11-26T00:00:00"/>
    <s v="RMF00005863"/>
    <s v="Фотима опа (Сир)"/>
    <s v="Сирдарё_Фотима опа"/>
    <s v="RMF"/>
    <s v="&quot;Behzod-Farm-Yangiyer&quot; Mchj"/>
    <x v="0"/>
    <n v="50"/>
    <n v="40621"/>
    <n v="2031050"/>
    <n v="1449000"/>
    <m/>
    <m/>
    <n v="1449000"/>
  </r>
  <r>
    <n v="2025"/>
    <n v="11"/>
    <d v="2025-11-27T00:00:00"/>
    <s v="RMF00005885"/>
    <s v="Ноила опа (Т.О)"/>
    <s v="Таш.Обл_Ноила опа"/>
    <s v="RMF"/>
    <s v="&quot;Nasriddin-Fayz&quot; Xk"/>
    <x v="2"/>
    <n v="30"/>
    <n v="65000"/>
    <n v="1950000"/>
    <n v="148000"/>
    <m/>
    <m/>
    <n v="148000"/>
  </r>
  <r>
    <n v="2025"/>
    <n v="11"/>
    <d v="2025-11-27T00:00:00"/>
    <s v="RMF00005887"/>
    <s v="Хушнуд ака (Сам)"/>
    <s v="Самарканд_Хуршед ака"/>
    <s v="RMF"/>
    <s v="&quot;Doctor Otto&quot; Ok"/>
    <x v="0"/>
    <n v="120"/>
    <n v="40621"/>
    <n v="4874520"/>
    <n v="3717000"/>
    <m/>
    <m/>
    <n v="3717000"/>
  </r>
  <r>
    <n v="2025"/>
    <n v="12"/>
    <d v="2025-12-01T00:00:00"/>
    <s v="RMF00005927"/>
    <s v="Сабриназ"/>
    <s v="Нукус_Мехрибон опа"/>
    <s v="RMF"/>
    <s v="&quot;Xojeli Aydin Kol&quot; Xk"/>
    <x v="4"/>
    <n v="50"/>
    <n v="90000"/>
    <n v="4500000"/>
    <n v="1315000"/>
    <m/>
    <m/>
    <n v="1315000"/>
  </r>
  <r>
    <n v="2025"/>
    <n v="12"/>
    <d v="2025-12-01T00:00:00"/>
    <s v="RMF00005929"/>
    <s v="Мехрибон опа (Нк)"/>
    <s v="Нукус_Мехрибон опа"/>
    <s v="RMF"/>
    <s v="&quot;Emir Farm Shifo&quot; Mchj"/>
    <x v="4"/>
    <n v="50"/>
    <n v="90000"/>
    <n v="4500000"/>
    <n v="1259000"/>
    <m/>
    <m/>
    <n v="1259000"/>
  </r>
  <r>
    <n v="2025"/>
    <n v="12"/>
    <d v="2025-12-01T00:00:00"/>
    <s v="RMF00005936"/>
    <s v="Дилноза опа (Сам)"/>
    <s v="Самарканд_Хуршед ака"/>
    <s v="RMF"/>
    <s v="&quot;Narzullayev Baxrom Farm&quot; Mchj"/>
    <x v="0"/>
    <n v="120"/>
    <n v="40621"/>
    <n v="4874520"/>
    <n v="1212000"/>
    <m/>
    <m/>
    <n v="1212000"/>
  </r>
  <r>
    <n v="2025"/>
    <n v="12"/>
    <d v="2025-12-01T00:00:00"/>
    <s v="RMF00005939"/>
    <s v="Гулшода опа (Нав)"/>
    <s v="Навоий_Гулшода опа"/>
    <s v="RMF"/>
    <s v="&quot;Sandi Farm&quot; Mchj"/>
    <x v="1"/>
    <n v="20"/>
    <n v="120000"/>
    <n v="2400000"/>
    <n v="1580000"/>
    <m/>
    <m/>
    <n v="1580000"/>
  </r>
  <r>
    <n v="2025"/>
    <n v="12"/>
    <d v="2025-12-02T00:00:00"/>
    <s v="RMF00005945"/>
    <s v="Хуршид ака (Сам)"/>
    <s v="Самарканд_Хуршед ака"/>
    <s v="RMF"/>
    <s v="&quot;Azamat Gold Farm&quot; Mchj"/>
    <x v="0"/>
    <n v="20"/>
    <n v="40621"/>
    <n v="812420"/>
    <n v="99000"/>
    <m/>
    <m/>
    <n v="99000"/>
  </r>
  <r>
    <n v="2025"/>
    <n v="12"/>
    <d v="2025-12-02T00:00:00"/>
    <s v="RMF00005946"/>
    <s v="Хушнуд ака (Т.О)"/>
    <s v="Таш.Обл_Ноила опа"/>
    <s v="RMF"/>
    <s v="&quot;Abdurahim-Doda-Farm&quot; Xk"/>
    <x v="2"/>
    <n v="100"/>
    <n v="65000"/>
    <n v="6500000"/>
    <n v="204000"/>
    <m/>
    <m/>
    <n v="204000"/>
  </r>
  <r>
    <n v="2025"/>
    <n v="12"/>
    <d v="2025-12-03T00:00:00"/>
    <s v="RMF00005970"/>
    <s v="Хилола опа (Сир)"/>
    <s v="Сирдарё_Фотима опа"/>
    <s v="RMF"/>
    <s v="&quot;Giyoh 25 Yil&quot; Mchj"/>
    <x v="0"/>
    <n v="10"/>
    <n v="40621"/>
    <n v="406210"/>
    <n v="118000"/>
    <m/>
    <m/>
    <n v="118000"/>
  </r>
  <r>
    <n v="2025"/>
    <n v="12"/>
    <d v="2025-12-04T00:00:00"/>
    <s v="RMF00005994"/>
    <s v="Жонибек ака (Анд) S"/>
    <s v="Андижон_Жонибек ака (S)"/>
    <s v="RMF"/>
    <s v="&quot;Dilorom Med Servis&quot; Xk"/>
    <x v="1"/>
    <n v="40"/>
    <n v="120000"/>
    <n v="4800000"/>
    <n v="3278000"/>
    <m/>
    <m/>
    <n v="3278000"/>
  </r>
  <r>
    <n v="2025"/>
    <n v="12"/>
    <d v="2025-12-10T00:00:00"/>
    <s v="RMF00006064"/>
    <s v="Хуршид ака (Сам)"/>
    <s v="Самарканд_Хуршед ака"/>
    <s v="RMF"/>
    <s v="&quot;Jannat Shifo&quot; Mchj"/>
    <x v="0"/>
    <n v="120"/>
    <n v="40621"/>
    <n v="4874520"/>
    <n v="1637000"/>
    <m/>
    <m/>
    <n v="1637000"/>
  </r>
  <r>
    <n v="2025"/>
    <n v="12"/>
    <d v="2025-12-11T00:00:00"/>
    <s v="RMF00006077"/>
    <s v="Хуршид ака (Сам)"/>
    <s v="Самарканд_Хуршед ака"/>
    <s v="RMF"/>
    <s v="&quot;Max Mir Farm777&quot; Mchj"/>
    <x v="0"/>
    <n v="150"/>
    <n v="40621"/>
    <n v="6093150"/>
    <n v="1354000"/>
    <m/>
    <m/>
    <n v="1354000"/>
  </r>
  <r>
    <n v="2025"/>
    <n v="12"/>
    <d v="2025-12-12T00:00:00"/>
    <s v="RMF00006098"/>
    <s v="Хушнуд ака (Сам)"/>
    <s v="Самарканд_Хуршед ака"/>
    <s v="RMF"/>
    <s v="&quot;Smile Trade&quot; Mchj"/>
    <x v="1"/>
    <n v="10"/>
    <n v="120000"/>
    <n v="1200000"/>
    <n v="351000"/>
    <m/>
    <m/>
    <n v="351000"/>
  </r>
  <r>
    <n v="2025"/>
    <n v="12"/>
    <d v="2025-12-12T00:00:00"/>
    <s v="RMF00006106"/>
    <s v="Сабриназ"/>
    <s v="Нукус_Мехрибон опа"/>
    <s v="RMF"/>
    <s v="&quot;Ajiniyaz No`Kis&quot; Xk"/>
    <x v="4"/>
    <n v="300"/>
    <n v="90000"/>
    <n v="27000000"/>
    <n v="15989000"/>
    <m/>
    <m/>
    <n v="15989000"/>
  </r>
  <r>
    <n v="2025"/>
    <n v="12"/>
    <d v="2025-12-12T00:00:00"/>
    <s v="RMF00006107"/>
    <s v="Сабриназ"/>
    <s v="Нукус_Мехрибон опа"/>
    <s v="RMF"/>
    <s v="&quot;Nebolit&quot; Xususiy Korxona"/>
    <x v="4"/>
    <n v="50"/>
    <n v="90000"/>
    <n v="4500000"/>
    <n v="1259000"/>
    <m/>
    <m/>
    <n v="1259000"/>
  </r>
  <r>
    <n v="2025"/>
    <n v="12"/>
    <d v="2025-12-12T00:00:00"/>
    <s v="RMF00006109"/>
    <s v="Фотима опа (Сир)"/>
    <s v="Сирдарё_Фотима опа"/>
    <s v="RMF"/>
    <s v="&quot;Baxtiyor Turg'unovich&quot; Ktxf"/>
    <x v="0"/>
    <n v="40"/>
    <n v="40621"/>
    <n v="1624840"/>
    <n v="1084000"/>
    <m/>
    <m/>
    <n v="1084000"/>
  </r>
  <r>
    <n v="2025"/>
    <n v="12"/>
    <d v="2025-12-15T00:00:00"/>
    <s v="RMF00006114"/>
    <s v="Фотима опа (Сир)"/>
    <s v="Сирдарё_Фотима опа"/>
    <s v="RMF"/>
    <s v="&quot;Rustambek-J.b.b.&quot; Xk"/>
    <x v="2"/>
    <n v="30"/>
    <n v="65000"/>
    <n v="1950000"/>
    <n v="467000"/>
    <m/>
    <m/>
    <n v="467000"/>
  </r>
  <r>
    <n v="2025"/>
    <n v="12"/>
    <d v="2025-12-15T00:00:00"/>
    <s v="RMF00006116"/>
    <s v="Фуркат ака (Сам)"/>
    <s v="Самарканд_Хуршед ака"/>
    <s v="RMF"/>
    <s v="&quot;Kamol Gold Farm&quot; Mchj"/>
    <x v="0"/>
    <n v="20"/>
    <n v="40621"/>
    <n v="812420"/>
    <n v="620000"/>
    <m/>
    <m/>
    <n v="620000"/>
  </r>
  <r>
    <n v="2025"/>
    <n v="12"/>
    <d v="2025-12-15T00:00:00"/>
    <s v="RMF00006130"/>
    <s v="Насиба опа (Нав)"/>
    <s v="Навоий_Гулшода опа"/>
    <s v="RMF"/>
    <s v="&quot;Vita Pharm Navoiy&quot; Mchj"/>
    <x v="2"/>
    <n v="40"/>
    <n v="65000"/>
    <n v="2600000"/>
    <n v="1518000"/>
    <m/>
    <m/>
    <n v="1518000"/>
  </r>
  <r>
    <n v="2025"/>
    <n v="12"/>
    <d v="2025-12-15T00:00:00"/>
    <s v="RMF00006131"/>
    <s v="Фотима опа (Сир)"/>
    <s v="Сирдарё_Фотима опа"/>
    <s v="RMF"/>
    <s v="&quot;Istiqlol Farm Invest&quot; Mchj"/>
    <x v="2"/>
    <n v="20"/>
    <n v="65000"/>
    <n v="1300000"/>
    <n v="335000"/>
    <m/>
    <m/>
    <n v="335000"/>
  </r>
  <r>
    <n v="2025"/>
    <n v="12"/>
    <d v="2025-12-15T00:00:00"/>
    <s v="RMF00006131"/>
    <s v="Фотима опа (Сир)"/>
    <s v="Сирдарё_Фотима опа"/>
    <s v="RMF"/>
    <s v="&quot;Istiqlol Farm Invest&quot; Mchj"/>
    <x v="0"/>
    <n v="50"/>
    <n v="40621"/>
    <n v="2031050"/>
    <n v="640000"/>
    <m/>
    <m/>
    <n v="640000"/>
  </r>
  <r>
    <n v="2025"/>
    <n v="12"/>
    <d v="2025-12-15T00:00:00"/>
    <s v="RMF00006132"/>
    <s v="Мусабек ака (Фр)"/>
    <s v="Кукон_Баходирхон ака"/>
    <s v="RMF"/>
    <s v="Al-Xikmat Shifo Хусусий Фирма"/>
    <x v="3"/>
    <n v="10"/>
    <n v="64700"/>
    <n v="647000"/>
    <n v="400000"/>
    <m/>
    <m/>
    <n v="400000"/>
  </r>
  <r>
    <n v="2025"/>
    <n v="12"/>
    <d v="2025-12-16T00:00:00"/>
    <s v="RMF00006155"/>
    <s v="Хилола опа (Сир)"/>
    <s v="Сирдарё_Фотима опа"/>
    <s v="RMF"/>
    <s v="&quot;Shifobaxsh&quot; Xk"/>
    <x v="1"/>
    <n v="20"/>
    <n v="120000"/>
    <n v="2400000"/>
    <n v="666000"/>
    <m/>
    <m/>
    <n v="666000"/>
  </r>
  <r>
    <n v="2025"/>
    <n v="12"/>
    <d v="2025-12-17T00:00:00"/>
    <s v="RMF00006163"/>
    <s v="Фотима опа (Сир)"/>
    <s v="Сирдарё_Фотима опа"/>
    <s v="RMF"/>
    <s v="&quot;Rustambek-J.b.b.&quot; Xk"/>
    <x v="0"/>
    <n v="20"/>
    <n v="40621"/>
    <n v="812420"/>
    <n v="649000"/>
    <m/>
    <m/>
    <n v="649000"/>
  </r>
  <r>
    <n v="2025"/>
    <n v="12"/>
    <d v="2025-12-18T00:00:00"/>
    <s v="RMF00006180"/>
    <s v="Муниса опа (Сам)"/>
    <s v="Самарканд_Хуршед ака"/>
    <s v="RMF"/>
    <s v="&quot;Marvarid Stom Denta&quot; Ok"/>
    <x v="0"/>
    <n v="90"/>
    <n v="40621"/>
    <n v="3655890"/>
    <n v="1320000"/>
    <m/>
    <m/>
    <n v="1320000"/>
  </r>
  <r>
    <n v="2025"/>
    <n v="12"/>
    <d v="2025-12-18T00:00:00"/>
    <s v="RMF00006182"/>
    <s v="Одил ака (Сам)"/>
    <s v="Самарканд_Хуршед ака"/>
    <s v="RMF"/>
    <s v="&quot;Smile Trade&quot; Mchj"/>
    <x v="0"/>
    <n v="100"/>
    <n v="40621"/>
    <n v="4062100"/>
    <n v="1374000"/>
    <m/>
    <m/>
    <n v="1374000"/>
  </r>
  <r>
    <n v="2025"/>
    <n v="12"/>
    <d v="2025-12-22T00:00:00"/>
    <s v="RMF00006189"/>
    <s v="Севара опа (Сам)"/>
    <s v="Самарканд_Хуршед ака"/>
    <s v="RMF"/>
    <s v="&quot;Kamol Gold Farm&quot; Mchj"/>
    <x v="0"/>
    <n v="30"/>
    <n v="40621.300000000003"/>
    <n v="1218639"/>
    <n v="929000"/>
    <m/>
    <m/>
    <n v="929000"/>
  </r>
  <r>
    <n v="2025"/>
    <n v="12"/>
    <d v="2025-12-22T00:00:00"/>
    <s v="RMF00006207"/>
    <s v="Улугбек ака (Хор)"/>
    <s v="Хоразм_Улугбек ака"/>
    <s v="RMF"/>
    <s v="&quot;Intermed Pharmaceutical&quot; Mchj"/>
    <x v="2"/>
    <n v="200"/>
    <n v="58000"/>
    <n v="11600000"/>
    <n v="5521000"/>
    <m/>
    <m/>
    <n v="5521000"/>
  </r>
  <r>
    <n v="2025"/>
    <n v="12"/>
    <d v="2025-12-23T00:00:00"/>
    <s v="RMF00006221"/>
    <s v="Мехрибон опа (Нк)"/>
    <s v="Нукус_Мехрибон опа"/>
    <s v="RMF"/>
    <s v="&quot;Pintok Medical&quot; Mchj"/>
    <x v="4"/>
    <n v="50"/>
    <n v="90000"/>
    <n v="4500000"/>
    <n v="459000"/>
    <m/>
    <m/>
    <n v="459000"/>
  </r>
  <r>
    <n v="2025"/>
    <n v="12"/>
    <d v="2025-12-24T00:00:00"/>
    <s v="RMF00006241"/>
    <s v="Косимжон ака (Фр)"/>
    <s v="Кукон_Бахромжон ака"/>
    <s v="RMF"/>
    <s v="&quot;Tole&quot; Xk"/>
    <x v="1"/>
    <n v="10"/>
    <n v="120000"/>
    <n v="1200000"/>
    <n v="605000"/>
    <m/>
    <m/>
    <n v="605000"/>
  </r>
  <r>
    <n v="2025"/>
    <n v="12"/>
    <d v="2025-12-24T00:00:00"/>
    <s v="RMF00006250"/>
    <s v="Улугбек ака (Хор)"/>
    <s v="Хоразм_Улугбек ака"/>
    <s v="RMF"/>
    <s v="&quot;Intermed Pharmaceutical&quot; Mchj"/>
    <x v="1"/>
    <n v="100"/>
    <n v="105000"/>
    <n v="10500000"/>
    <n v="6074000"/>
    <m/>
    <m/>
    <n v="6074000"/>
  </r>
  <r>
    <n v="2025"/>
    <n v="12"/>
    <d v="2025-12-25T00:00:00"/>
    <s v="RMF00006263"/>
    <s v="Фотима опа (Сир)"/>
    <s v="Сирдарё_Фотима опа"/>
    <s v="RMF"/>
    <s v="&quot;Baxtiyor Turg'unovich&quot; Ktxf"/>
    <x v="0"/>
    <n v="20"/>
    <n v="40621"/>
    <n v="812420"/>
    <n v="542000"/>
    <m/>
    <m/>
    <n v="542000"/>
  </r>
  <r>
    <n v="2025"/>
    <n v="12"/>
    <d v="2025-12-25T00:00:00"/>
    <s v="RMF00006263"/>
    <s v="Фотима опа (Сир)"/>
    <s v="Сирдарё_Фотима опа"/>
    <s v="RMF"/>
    <s v="&quot;Baxtiyor Turg'unovich&quot; Ktxf"/>
    <x v="0"/>
    <n v="80"/>
    <n v="40621"/>
    <n v="3249680"/>
    <n v="542000"/>
    <m/>
    <m/>
    <n v="542000"/>
  </r>
  <r>
    <n v="2025"/>
    <n v="12"/>
    <d v="2025-12-25T00:00:00"/>
    <s v="RMF00006270"/>
    <s v="Фотима опа (Сир)"/>
    <s v="Сирдарё_Фотима опа"/>
    <s v="RMF"/>
    <s v="&quot;Rayim Farm Invest&quot; Mchj"/>
    <x v="0"/>
    <n v="50"/>
    <n v="40621"/>
    <n v="2031050"/>
    <n v="166000"/>
    <m/>
    <m/>
    <n v="166000"/>
  </r>
  <r>
    <n v="2025"/>
    <n v="12"/>
    <d v="2025-12-25T00:00:00"/>
    <s v="RMF00006270"/>
    <s v="Фотима опа (Сир)"/>
    <s v="Сирдарё_Фотима опа"/>
    <s v="RMF"/>
    <s v="&quot;Rayim Farm Invest&quot; Mchj"/>
    <x v="1"/>
    <n v="20"/>
    <n v="120000"/>
    <n v="2400000"/>
    <n v="188000"/>
    <m/>
    <m/>
    <n v="188000"/>
  </r>
  <r>
    <n v="2025"/>
    <n v="12"/>
    <d v="2025-12-26T00:00:00"/>
    <s v="RMF00006274"/>
    <s v="Жонибек ака (Анд) S"/>
    <s v="Андижон_Жонибек ака (S)"/>
    <s v="RMF"/>
    <s v="&quot;Andijon Viloyat Ko`P Tarmoqli Tibbiyot Markazi&quot; Dm"/>
    <x v="1"/>
    <n v="50"/>
    <n v="120000"/>
    <n v="6000000"/>
    <n v="885000"/>
    <m/>
    <m/>
    <n v="885000"/>
  </r>
  <r>
    <n v="2025"/>
    <n v="12"/>
    <d v="2025-12-26T00:00:00"/>
    <s v="RMF00006281"/>
    <s v="Севара опа (Сам)"/>
    <s v="Самарканд_Хуршед ака"/>
    <s v="RMF"/>
    <s v="&quot;Narzullayev Baxrom Farm&quot; Mchj"/>
    <x v="0"/>
    <n v="50"/>
    <n v="40621.300000000003"/>
    <n v="2031065"/>
    <n v="293000"/>
    <m/>
    <m/>
    <n v="293000"/>
  </r>
  <r>
    <n v="2025"/>
    <n v="12"/>
    <d v="2025-12-30T00:00:00"/>
    <s v="RMF00006298"/>
    <s v="Мусабек ака (Фр)"/>
    <s v="Кукон_Баходирхон ака"/>
    <s v="RMF"/>
    <s v="Al-Xikmat Shifo Хусусий Фирма"/>
    <x v="2"/>
    <n v="20"/>
    <n v="65000"/>
    <n v="1300000"/>
    <n v="759000"/>
    <m/>
    <m/>
    <n v="759000"/>
  </r>
  <r>
    <n v="2025"/>
    <n v="12"/>
    <d v="2025-12-30T00:00:00"/>
    <s v="RMF00006299"/>
    <s v="Фотима опа (Сир)"/>
    <s v="Сирдарё_Фотима опа"/>
    <s v="RMF"/>
    <s v="&quot;Baxtiyor Turg'unovich&quot; Ktxf"/>
    <x v="0"/>
    <n v="30"/>
    <n v="40621"/>
    <n v="1218630"/>
    <n v="382000"/>
    <m/>
    <m/>
    <n v="382000"/>
  </r>
  <r>
    <n v="2025"/>
    <n v="12"/>
    <d v="2025-12-30T00:00:00"/>
    <s v="RMF00006299"/>
    <s v="Фотима опа (Сир)"/>
    <s v="Сирдарё_Фотима опа"/>
    <s v="RMF"/>
    <s v="&quot;Baxtiyor Turg'unovich&quot; Ktxf"/>
    <x v="0"/>
    <n v="70"/>
    <n v="40621"/>
    <n v="2843470"/>
    <n v="382000"/>
    <m/>
    <m/>
    <n v="382000"/>
  </r>
  <r>
    <n v="2026"/>
    <n v="1"/>
    <d v="2026-01-05T00:00:00"/>
    <s v="RMF00000001"/>
    <s v="Севара опа (Сам)"/>
    <s v="Самарканд_Хуршед ака"/>
    <s v="RMF"/>
    <s v="&quot;Kamol Gold Farm&quot; Mchj"/>
    <x v="0"/>
    <n v="30"/>
    <n v="40621.300000000003"/>
    <n v="1218639"/>
    <n v="929000"/>
    <m/>
    <m/>
    <n v="929000"/>
  </r>
  <r>
    <n v="2026"/>
    <n v="1"/>
    <d v="2026-01-05T00:00:00"/>
    <s v="RMF00000003"/>
    <s v="Севара опа (Сам)"/>
    <s v="Самарканд_Хуршед ака"/>
    <s v="RMF"/>
    <s v="&quot;Marvarid Stom Denta&quot; Ok"/>
    <x v="0"/>
    <n v="120"/>
    <n v="40621.300000000003"/>
    <n v="4874556"/>
    <n v="3717000"/>
    <m/>
    <m/>
    <n v="3717000"/>
  </r>
  <r>
    <n v="2026"/>
    <n v="1"/>
    <d v="2026-01-05T00:00:00"/>
    <s v="RMF00000011"/>
    <s v="Нафосат опа (Бух)"/>
    <s v="Бухоро_Нафосат опа"/>
    <s v="RMF"/>
    <s v="&quot;Nigina Farm Sanoat&quot; Xk"/>
    <x v="2"/>
    <n v="20"/>
    <n v="65000"/>
    <n v="1300000"/>
    <n v="155000"/>
    <m/>
    <m/>
    <n v="155000"/>
  </r>
  <r>
    <n v="2026"/>
    <n v="1"/>
    <d v="2026-01-05T00:00:00"/>
    <s v="RMF00000011"/>
    <s v="Нафосат опа (Бух)"/>
    <s v="Бухоро_Нафосат опа"/>
    <s v="RMF"/>
    <s v="&quot;Nigina Farm Sanoat&quot; Xk"/>
    <x v="4"/>
    <n v="50"/>
    <n v="90000"/>
    <n v="4500000"/>
    <n v="585000"/>
    <m/>
    <m/>
    <n v="585000"/>
  </r>
  <r>
    <n v="2026"/>
    <n v="1"/>
    <d v="2026-01-06T00:00:00"/>
    <s v="RMF00000017"/>
    <s v="Хуршид ака (Сам)"/>
    <s v="Самарканд_Хуршед ака"/>
    <s v="RMF"/>
    <s v="&quot;Benevitta&quot; Mchj"/>
    <x v="1"/>
    <n v="200"/>
    <n v="120000"/>
    <n v="24000000"/>
    <n v="7212000"/>
    <m/>
    <m/>
    <n v="7212000"/>
  </r>
  <r>
    <n v="2026"/>
    <n v="1"/>
    <d v="2026-01-06T00:00:00"/>
    <s v="RMF00000018"/>
    <s v="Хуршид ака (Сам)"/>
    <s v="Самарканд_Хуршед ака"/>
    <s v="RMF"/>
    <s v="&quot;Max Mir Farm777&quot; Mchj"/>
    <x v="0"/>
    <n v="240"/>
    <n v="40621.300000000003"/>
    <n v="9749112"/>
    <n v="3750000"/>
    <m/>
    <m/>
    <n v="3750000"/>
  </r>
  <r>
    <n v="2026"/>
    <n v="1"/>
    <d v="2026-01-09T00:00:00"/>
    <s v="RMF00000071"/>
    <s v="Хуршид ака (Сам)"/>
    <s v="Самарканд_Хуршед ака"/>
    <s v="RMF"/>
    <s v="&quot;Olg`A Esm Farm&quot; Mchj"/>
    <x v="4"/>
    <n v="30"/>
    <n v="90000"/>
    <n v="2700000"/>
    <n v="756000"/>
    <m/>
    <m/>
    <n v="756000"/>
  </r>
  <r>
    <n v="2026"/>
    <n v="1"/>
    <d v="2026-01-09T00:00:00"/>
    <s v="RMF00000073"/>
    <s v="Зафаржон"/>
    <s v="Фаргона_Зафаржон ака"/>
    <s v="RMF"/>
    <s v="&quot;ASH SHIFA PHARM&quot;Mchj"/>
    <x v="2"/>
    <n v="100"/>
    <n v="65000"/>
    <n v="6500000"/>
    <n v="1805000"/>
    <m/>
    <m/>
    <n v="1805000"/>
  </r>
  <r>
    <n v="2026"/>
    <n v="1"/>
    <d v="2026-01-09T00:00:00"/>
    <s v="RMF00000076"/>
    <s v="Фотима опа (Сир)"/>
    <s v="Сирдарё_Фотима опа"/>
    <s v="RMF"/>
    <s v="&quot;Shodlik-Mc&quot; Mchj"/>
    <x v="0"/>
    <n v="100"/>
    <n v="40621"/>
    <n v="4062100"/>
    <n v="1495000"/>
    <m/>
    <m/>
    <n v="1495000"/>
  </r>
  <r>
    <n v="2026"/>
    <n v="1"/>
    <d v="2026-01-12T00:00:00"/>
    <s v="RMF00000080"/>
    <s v="Иззат ака (Хор)"/>
    <s v="Хоразм_Улугбек ака"/>
    <s v="RMF"/>
    <s v="&quot;Intermed Pharmaceutical&quot; Mchj"/>
    <x v="4"/>
    <n v="200"/>
    <n v="90000"/>
    <n v="18000000"/>
    <n v="1644000"/>
    <m/>
    <m/>
    <n v="1644000"/>
  </r>
  <r>
    <n v="2026"/>
    <n v="1"/>
    <d v="2026-01-12T00:00:00"/>
    <s v="RMF00000089"/>
    <s v="Дилшод ака (Сам)"/>
    <s v="Самарканд_Хуршед ака"/>
    <s v="RMF"/>
    <s v="&quot;Farmadok Diabet&quot; Mchj"/>
    <x v="4"/>
    <n v="40"/>
    <n v="90000"/>
    <n v="3600000"/>
    <n v="831000"/>
    <m/>
    <m/>
    <n v="831000"/>
  </r>
  <r>
    <n v="2026"/>
    <n v="1"/>
    <d v="2026-01-12T00:00:00"/>
    <s v="RMF00000091"/>
    <s v="Севара опа (Сам)"/>
    <s v="Самарканд_Хуршед ака"/>
    <s v="RMF"/>
    <s v="&quot;Kamol Gold Farm&quot; Mchj"/>
    <x v="0"/>
    <n v="30"/>
    <n v="40621.300000000003"/>
    <n v="1218639"/>
    <n v="929000"/>
    <m/>
    <m/>
    <n v="929000"/>
  </r>
  <r>
    <n v="2026"/>
    <n v="1"/>
    <d v="2026-01-12T00:00:00"/>
    <s v="RMF00000107"/>
    <s v="Рустам ака (Т.О)"/>
    <s v="Таш.Обл_Рустам ака (S)"/>
    <s v="RMF"/>
    <s v="&quot;Hayot Eleksiri&quot; Mchj"/>
    <x v="0"/>
    <n v="100"/>
    <n v="14000"/>
    <n v="1400000"/>
    <n v="281000"/>
    <m/>
    <m/>
    <n v="281000"/>
  </r>
  <r>
    <n v="2026"/>
    <n v="1"/>
    <d v="2026-01-13T00:00:00"/>
    <s v="RMF00000129"/>
    <s v="Хуршид ака (Сам)"/>
    <s v="Самарканд_Хуршед ака"/>
    <s v="RMF"/>
    <s v="&quot;Sam Family Pharm&quot; Mchj"/>
    <x v="4"/>
    <n v="30"/>
    <n v="90000"/>
    <n v="2700000"/>
    <n v="756000"/>
    <m/>
    <m/>
    <n v="756000"/>
  </r>
  <r>
    <n v="2026"/>
    <n v="1"/>
    <d v="2026-01-13T00:00:00"/>
    <s v="RMF00000129"/>
    <s v="Хуршид ака (Сам)"/>
    <s v="Самарканд_Хуршед ака"/>
    <s v="RMF"/>
    <s v="&quot;Sam Family Pharm&quot; Mchj"/>
    <x v="2"/>
    <n v="30"/>
    <n v="65000"/>
    <n v="1950000"/>
    <n v="502000"/>
    <m/>
    <m/>
    <n v="502000"/>
  </r>
  <r>
    <n v="2026"/>
    <n v="1"/>
    <d v="2026-01-13T00:00:00"/>
    <s v="RMF00000129"/>
    <s v="Хуршид ака (Сам)"/>
    <s v="Самарканд_Хуршед ака"/>
    <s v="RMF"/>
    <s v="&quot;Sam Family Pharm&quot; Mchj"/>
    <x v="1"/>
    <n v="30"/>
    <n v="120000"/>
    <n v="3600000"/>
    <n v="1083000"/>
    <m/>
    <m/>
    <n v="1083000"/>
  </r>
  <r>
    <n v="2026"/>
    <n v="1"/>
    <d v="2026-01-13T00:00:00"/>
    <s v="RMF00000131"/>
    <s v="Хилола опа (Сир)"/>
    <s v="Сирдарё_Фотима опа"/>
    <s v="RMF"/>
    <s v="&quot;Shanxay Shifo Plus&quot; Mchj"/>
    <x v="1"/>
    <n v="20"/>
    <n v="120000"/>
    <n v="2400000"/>
    <n v="163000"/>
    <m/>
    <m/>
    <n v="163000"/>
  </r>
  <r>
    <n v="2026"/>
    <n v="1"/>
    <d v="2026-01-13T00:00:00"/>
    <s v="RMF00000131"/>
    <s v="Хилола опа (Сир)"/>
    <s v="Сирдарё_Фотима опа"/>
    <s v="RMF"/>
    <s v="&quot;Shanxay Shifo Plus&quot; Mchj"/>
    <x v="2"/>
    <n v="40"/>
    <n v="65000"/>
    <n v="2600000"/>
    <n v="151000"/>
    <m/>
    <m/>
    <n v="151000"/>
  </r>
  <r>
    <n v="2026"/>
    <n v="1"/>
    <d v="2026-01-14T00:00:00"/>
    <s v="RMF00000157"/>
    <s v="Хуршид ака (Сам)"/>
    <s v="Самарканд_Хуршед ака"/>
    <s v="RMF"/>
    <s v="&quot;Beshtog' Asri&quot; Xk"/>
    <x v="4"/>
    <n v="30"/>
    <n v="90000"/>
    <n v="2700000"/>
    <n v="1717000"/>
    <m/>
    <m/>
    <n v="1717000"/>
  </r>
  <r>
    <n v="2026"/>
    <n v="1"/>
    <d v="2026-01-14T00:00:00"/>
    <s v="RMF00000161"/>
    <s v="Севара опа (Сам)"/>
    <s v="Самарканд_Хуршед ака"/>
    <s v="RMF"/>
    <s v="&quot;Kamol Gold Farm&quot; Mchj"/>
    <x v="0"/>
    <n v="30"/>
    <n v="40621"/>
    <n v="1218630"/>
    <n v="929000"/>
    <m/>
    <m/>
    <n v="929000"/>
  </r>
  <r>
    <n v="2026"/>
    <n v="1"/>
    <d v="2026-01-15T00:00:00"/>
    <s v="RMF00000183"/>
    <s v="Мусабек ака (Фр)"/>
    <s v="Кукон_Баходирхон ака"/>
    <s v="RMF"/>
    <s v="Al-Xikmat Shifo Хусусий Фирма"/>
    <x v="3"/>
    <n v="20"/>
    <n v="64700"/>
    <n v="1294000"/>
    <n v="333000"/>
    <m/>
    <m/>
    <n v="333000"/>
  </r>
  <r>
    <n v="2026"/>
    <n v="1"/>
    <d v="2026-01-15T00:00:00"/>
    <s v="RMF00000184"/>
    <s v="Умар ака (Фр)"/>
    <s v="Фаргона_Умар ака Сух"/>
    <s v="RMF"/>
    <s v="&quot;Mulki Amenjon&quot; Xk"/>
    <x v="4"/>
    <n v="50"/>
    <n v="90000"/>
    <n v="4500000"/>
    <n v="825000"/>
    <m/>
    <m/>
    <n v="825000"/>
  </r>
  <r>
    <n v="2026"/>
    <n v="1"/>
    <d v="2026-01-16T00:00:00"/>
    <s v="RMF00000188"/>
    <s v="Жонибек ака (Анд) S"/>
    <s v="Андижон_Жонибек ака (S)"/>
    <s v="RMF"/>
    <s v="&quot;MAKRO PHARMASEUITICAL&quot; mas'uliyati cheklangan jamiyati"/>
    <x v="2"/>
    <n v="100"/>
    <n v="65000"/>
    <n v="6500000"/>
    <n v="3797000"/>
    <m/>
    <m/>
    <n v="3797000"/>
  </r>
  <r>
    <n v="2026"/>
    <n v="1"/>
    <d v="2026-01-16T00:00:00"/>
    <s v="RMF00000192"/>
    <s v="Ноила опа (Т.О)"/>
    <s v="Таш.Обл_Ноила опа"/>
    <s v="RMF"/>
    <s v="&quot;Asror-Shifokor&quot; Xk"/>
    <x v="2"/>
    <n v="50"/>
    <n v="65000"/>
    <n v="3250000"/>
    <n v="483000"/>
    <m/>
    <m/>
    <n v="483000"/>
  </r>
  <r>
    <n v="2026"/>
    <n v="1"/>
    <d v="2026-01-16T00:00:00"/>
    <s v="RMF00000200"/>
    <s v="Ноила опа (Т.О)"/>
    <s v="Таш.Обл_Ноила опа"/>
    <s v="RMF"/>
    <s v="&quot;Farmed Plyus Oynisa &quot; Xk"/>
    <x v="2"/>
    <n v="20"/>
    <n v="65000"/>
    <n v="1300000"/>
    <n v="451000"/>
    <m/>
    <m/>
    <n v="451000"/>
  </r>
  <r>
    <n v="2026"/>
    <n v="1"/>
    <d v="2026-01-16T00:00:00"/>
    <s v="RMF00000201"/>
    <s v="Дилсўз опа (Кшд)"/>
    <s v="Карши_Дилсўз опа"/>
    <s v="RMF"/>
    <s v="&quot;TABLETKA SHIFO FARM&quot; xususiy korxonasi"/>
    <x v="4"/>
    <n v="50"/>
    <n v="90000"/>
    <n v="4500000"/>
    <n v="1259000"/>
    <m/>
    <m/>
    <n v="1259000"/>
  </r>
  <r>
    <n v="2026"/>
    <n v="1"/>
    <d v="2026-01-19T00:00:00"/>
    <s v="RMF00000214"/>
    <s v="Рустам ака (Т.О)"/>
    <s v="Таш.Обл_Рустам ака (S)"/>
    <s v="RMF"/>
    <s v="&quot;Hayot Eleksiri&quot; Mchj"/>
    <x v="0"/>
    <n v="480"/>
    <n v="14000"/>
    <n v="6720000"/>
    <n v="227000"/>
    <m/>
    <m/>
    <n v="227000"/>
  </r>
  <r>
    <n v="2026"/>
    <n v="1"/>
    <d v="2026-01-19T00:00:00"/>
    <s v="RMF00000243"/>
    <s v="Фотима опа (Сир)"/>
    <s v="Сирдарё_Фотима опа"/>
    <s v="RMF"/>
    <s v="&quot;Shifobaxsh&quot; Xk"/>
    <x v="0"/>
    <n v="100"/>
    <n v="40621"/>
    <n v="4062100"/>
    <n v="2711000"/>
    <m/>
    <m/>
    <n v="2711000"/>
  </r>
  <r>
    <n v="2026"/>
    <n v="1"/>
    <d v="2026-01-20T00:00:00"/>
    <s v="RMF00000254"/>
    <s v="Хуршид ака (Сам)"/>
    <s v="Самарканд_Хуршед ака"/>
    <s v="RMF"/>
    <s v="&quot;Jannat Shifo&quot; Mchj"/>
    <x v="1"/>
    <n v="60"/>
    <n v="120000"/>
    <n v="7200000"/>
    <n v="2163000"/>
    <m/>
    <m/>
    <n v="2163000"/>
  </r>
  <r>
    <n v="2026"/>
    <n v="1"/>
    <d v="2026-01-20T00:00:00"/>
    <s v="RMF00000262"/>
    <s v="Умар ака (Фр)"/>
    <s v="Фаргона_Умар ака Сух"/>
    <s v="RMF"/>
    <s v="&quot;Orzui Mansurjon&quot; Xk"/>
    <x v="4"/>
    <n v="10"/>
    <n v="90000"/>
    <n v="900000"/>
    <n v="213000"/>
    <m/>
    <m/>
    <n v="213000"/>
  </r>
  <r>
    <n v="2026"/>
    <n v="1"/>
    <d v="2026-01-20T00:00:00"/>
    <s v="RMF00000263"/>
    <s v="Фотима опа (Сир)"/>
    <s v="Сирдарё_Фотима опа"/>
    <s v="RMF"/>
    <s v="&quot;Mushtariy-Samira Farm&quot; Xk"/>
    <x v="1"/>
    <n v="20"/>
    <n v="120000"/>
    <n v="2400000"/>
    <n v="425000"/>
    <m/>
    <m/>
    <n v="425000"/>
  </r>
  <r>
    <n v="2026"/>
    <n v="1"/>
    <d v="2026-01-20T00:00:00"/>
    <s v="RMF00000263"/>
    <s v="Фотима опа (Сир)"/>
    <s v="Сирдарё_Фотима опа"/>
    <s v="RMF"/>
    <s v="&quot;Mushtariy-Samira Farm&quot; Xk"/>
    <x v="0"/>
    <n v="30"/>
    <n v="40621"/>
    <n v="1218630"/>
    <n v="225000"/>
    <m/>
    <m/>
    <n v="225000"/>
  </r>
  <r>
    <n v="2026"/>
    <n v="1"/>
    <d v="2026-01-20T00:00:00"/>
    <s v="RMF00000273"/>
    <s v="Хуршид ака (Сам)"/>
    <s v="Самарканд_Хуршед ака"/>
    <s v="RMF"/>
    <s v="&quot;Yumaxfarm-Servis&quot; Mchj"/>
    <x v="1"/>
    <n v="40"/>
    <n v="120000"/>
    <n v="4800000"/>
    <n v="848000"/>
    <m/>
    <m/>
    <n v="848000"/>
  </r>
  <r>
    <n v="2026"/>
    <n v="1"/>
    <d v="2026-01-20T00:00:00"/>
    <s v="RMF00000273"/>
    <s v="Хуршид ака (Сам)"/>
    <s v="Самарканд_Хуршед ака"/>
    <s v="RMF"/>
    <s v="&quot;Yumaxfarm-Servis&quot; Mchj"/>
    <x v="2"/>
    <n v="50"/>
    <n v="65000"/>
    <n v="3250000"/>
    <n v="478000"/>
    <m/>
    <m/>
    <n v="478000"/>
  </r>
  <r>
    <n v="2026"/>
    <n v="1"/>
    <d v="2026-01-20T00:00:00"/>
    <s v="RMF00000273"/>
    <s v="Хуршид ака (Сам)"/>
    <s v="Самарканд_Хуршед ака"/>
    <s v="RMF"/>
    <s v="&quot;Yumaxfarm-Servis&quot; Mchj"/>
    <x v="3"/>
    <n v="40"/>
    <n v="64700"/>
    <n v="2588000"/>
    <n v="407000"/>
    <m/>
    <m/>
    <n v="407000"/>
  </r>
  <r>
    <n v="2026"/>
    <n v="1"/>
    <d v="2026-01-20T00:00:00"/>
    <s v="RMF00000278"/>
    <s v="Хилола опа (Сир)"/>
    <s v="Сирдарё_Фотима опа"/>
    <s v="RMF"/>
    <s v="&quot;Shanxay Shifo Plus&quot; Mchj"/>
    <x v="0"/>
    <n v="50"/>
    <n v="40621"/>
    <n v="2031050"/>
    <n v="937000"/>
    <m/>
    <m/>
    <n v="937000"/>
  </r>
  <r>
    <n v="2026"/>
    <n v="1"/>
    <d v="2026-01-21T00:00:00"/>
    <s v="RMF00000280"/>
    <s v="Нафосат опа (Бух)"/>
    <s v="Бухоро_Нафосат опа"/>
    <s v="RMF"/>
    <s v="&quot;Nigina Farm Sanoat&quot; Xk"/>
    <x v="4"/>
    <n v="50"/>
    <n v="90000"/>
    <n v="4500000"/>
    <n v="756000"/>
    <m/>
    <m/>
    <n v="756000"/>
  </r>
  <r>
    <n v="2026"/>
    <n v="1"/>
    <d v="2026-01-21T00:00:00"/>
    <s v="RMF00000292"/>
    <s v="Хуршид ака (Сам)"/>
    <s v="Самарканд_Хуршед ака"/>
    <s v="RMF"/>
    <s v="&quot;Max Mir Farm777&quot; Mchj"/>
    <x v="0"/>
    <n v="240"/>
    <n v="40621"/>
    <n v="9749040"/>
    <n v="2077000"/>
    <m/>
    <m/>
    <n v="2077000"/>
  </r>
  <r>
    <n v="2026"/>
    <n v="1"/>
    <d v="2026-01-21T00:00:00"/>
    <s v="RMF00000293"/>
    <s v="Одил ака (Сам)"/>
    <s v="Самарканд_Хуршед ака"/>
    <s v="RMF"/>
    <s v="&quot;Dreem Pharmacy&quot; Mchj"/>
    <x v="4"/>
    <n v="200"/>
    <n v="90000"/>
    <n v="18000000"/>
    <n v="4892000"/>
    <m/>
    <m/>
    <n v="4892000"/>
  </r>
  <r>
    <n v="2026"/>
    <n v="1"/>
    <d v="2026-01-21T00:00:00"/>
    <s v="RMF00000297"/>
    <s v="Фотима опа (Сир)"/>
    <s v="Сирдарё_Фотима опа"/>
    <s v="RMF"/>
    <s v="&quot;Behzod-Farm-Yangiyer&quot; Mchj"/>
    <x v="2"/>
    <n v="30"/>
    <n v="65000"/>
    <n v="1950000"/>
    <n v="1139000"/>
    <m/>
    <m/>
    <n v="1139000"/>
  </r>
  <r>
    <n v="2026"/>
    <n v="1"/>
    <d v="2026-01-21T00:00:00"/>
    <s v="RMF00000302"/>
    <s v="Дилсўз опа (Кшд)"/>
    <s v="Карши_Дилсўз опа"/>
    <s v="RMF"/>
    <s v="&quot;Islom - Farm  -Medikal&quot; Mchj"/>
    <x v="3"/>
    <n v="20"/>
    <n v="64700"/>
    <n v="1294000"/>
    <n v="799000"/>
    <m/>
    <m/>
    <n v="799000"/>
  </r>
  <r>
    <n v="2026"/>
    <n v="1"/>
    <d v="2026-01-21T00:00:00"/>
    <s v="RMF00000302"/>
    <s v="Дилсўз опа (Кшд)"/>
    <s v="Карши_Дилсўз опа"/>
    <s v="RMF"/>
    <s v="&quot;Islom - Farm  -Medikal&quot; Mchj"/>
    <x v="4"/>
    <n v="20"/>
    <n v="90000"/>
    <n v="1800000"/>
    <n v="1144000"/>
    <m/>
    <m/>
    <n v="1144000"/>
  </r>
  <r>
    <n v="2026"/>
    <n v="1"/>
    <d v="2026-01-21T00:00:00"/>
    <s v="RMF00000310"/>
    <s v="Дилсўз опа (Кшд)"/>
    <s v="Карши_Дилсўз опа"/>
    <s v="RMF"/>
    <s v="&quot;Mitti Farm Med Servis&quot; Mchj"/>
    <x v="3"/>
    <n v="50"/>
    <n v="64700"/>
    <n v="3235000"/>
    <n v="1438000"/>
    <m/>
    <m/>
    <n v="1438000"/>
  </r>
  <r>
    <n v="2026"/>
    <n v="1"/>
    <d v="2026-01-21T00:00:00"/>
    <s v="RMF00000310"/>
    <s v="Дилсўз опа (Кшд)"/>
    <s v="Карши_Дилсўз опа"/>
    <s v="RMF"/>
    <s v="&quot;Mitti Farm Med Servis&quot; Mchj"/>
    <x v="4"/>
    <n v="40"/>
    <n v="90000"/>
    <n v="3600000"/>
    <n v="1647000"/>
    <m/>
    <m/>
    <n v="1647000"/>
  </r>
  <r>
    <n v="2026"/>
    <n v="1"/>
    <d v="2026-01-22T00:00:00"/>
    <s v="RMF00000315"/>
    <s v="Мусабек ака (Фр)"/>
    <s v="Кукон_Баходирхон ака"/>
    <s v="RMF"/>
    <s v="Al-Xikmat Shifo Хусусий Фирма"/>
    <x v="3"/>
    <n v="10"/>
    <n v="64700"/>
    <n v="647000"/>
    <n v="156000"/>
    <m/>
    <m/>
    <n v="156000"/>
  </r>
  <r>
    <n v="2026"/>
    <n v="1"/>
    <d v="2026-01-22T00:00:00"/>
    <s v="RMF00000315"/>
    <s v="Мусабек ака (Фр)"/>
    <s v="Кукон_Баходирхон ака"/>
    <s v="RMF"/>
    <s v="Al-Xikmat Shifo Хусусий Фирма"/>
    <x v="2"/>
    <n v="10"/>
    <n v="65000"/>
    <n v="650000"/>
    <n v="148000"/>
    <m/>
    <m/>
    <n v="148000"/>
  </r>
  <r>
    <n v="2026"/>
    <n v="1"/>
    <d v="2026-01-22T00:00:00"/>
    <s v="RMF00000318"/>
    <s v="Дилсўз опа (Кшд)"/>
    <s v="Карши_Дилсўз опа"/>
    <s v="RMF"/>
    <s v="&quot;Fizio Pharm&quot; Xk"/>
    <x v="3"/>
    <n v="20"/>
    <n v="64700"/>
    <n v="1294000"/>
    <n v="799000"/>
    <m/>
    <m/>
    <n v="799000"/>
  </r>
  <r>
    <n v="2026"/>
    <n v="1"/>
    <d v="2026-01-22T00:00:00"/>
    <s v="RMF00000318"/>
    <s v="Дилсўз опа (Кшд)"/>
    <s v="Карши_Дилсўз опа"/>
    <s v="RMF"/>
    <s v="&quot;Fizio Pharm&quot; Xk"/>
    <x v="4"/>
    <n v="20"/>
    <n v="90000"/>
    <n v="1800000"/>
    <n v="1144000"/>
    <m/>
    <m/>
    <n v="1144000"/>
  </r>
  <r>
    <n v="2026"/>
    <n v="1"/>
    <d v="2026-01-22T00:00:00"/>
    <s v="RMF00000329"/>
    <s v="Хуршид ака (Сам)"/>
    <s v="Самарканд_Хуршед ака"/>
    <s v="RMF"/>
    <s v="&quot;Grand Javoxir Pharm&quot; Mchj"/>
    <x v="0"/>
    <n v="50"/>
    <n v="40621"/>
    <n v="2031050"/>
    <n v="1549000"/>
    <m/>
    <m/>
    <n v="1549000"/>
  </r>
  <r>
    <n v="2026"/>
    <n v="1"/>
    <d v="2026-01-23T00:00:00"/>
    <s v="RMF00000341"/>
    <s v="Хуршид ака (Сам)"/>
    <s v="Самарканд_Хуршед ака"/>
    <s v="RMF"/>
    <s v="&quot;Smile Trade&quot; Mchj"/>
    <x v="4"/>
    <n v="20"/>
    <n v="90000"/>
    <n v="1800000"/>
    <n v="248000"/>
    <m/>
    <m/>
    <n v="248000"/>
  </r>
  <r>
    <n v="2026"/>
    <n v="1"/>
    <d v="2026-01-23T00:00:00"/>
    <s v="RMF00000341"/>
    <s v="Хуршид ака (Сам)"/>
    <s v="Самарканд_Хуршед ака"/>
    <s v="RMF"/>
    <s v="&quot;Smile Trade&quot; Mchj"/>
    <x v="2"/>
    <n v="20"/>
    <n v="65000"/>
    <n v="1300000"/>
    <n v="165000"/>
    <m/>
    <m/>
    <n v="165000"/>
  </r>
  <r>
    <n v="2026"/>
    <n v="1"/>
    <d v="2026-01-23T00:00:00"/>
    <s v="RMF00000342"/>
    <s v="Севара опа С (Сам)"/>
    <s v="Самарканд_Хуршед ака"/>
    <s v="RMF"/>
    <s v="&quot;Smile Trade&quot; Mchj"/>
    <x v="1"/>
    <n v="20"/>
    <n v="120000"/>
    <n v="2400000"/>
    <n v="415000"/>
    <m/>
    <m/>
    <n v="415000"/>
  </r>
  <r>
    <n v="2026"/>
    <n v="1"/>
    <d v="2026-01-23T00:00:00"/>
    <s v="RMF00000348"/>
    <s v="Мусабек ака (Фр)"/>
    <s v="Кукон_Баходирхон ака"/>
    <s v="RMF"/>
    <s v="&quot;Niyozbek Farm&quot; Mchj"/>
    <x v="3"/>
    <n v="10"/>
    <n v="64700"/>
    <n v="647000"/>
    <n v="380000"/>
    <m/>
    <m/>
    <n v="380000"/>
  </r>
  <r>
    <n v="2026"/>
    <n v="1"/>
    <d v="2026-01-23T00:00:00"/>
    <s v="RMF00000348"/>
    <s v="Мусабек ака (Фр)"/>
    <s v="Кукон_Баходирхон ака"/>
    <s v="RMF"/>
    <s v="&quot;Niyozbek Farm&quot; Mchj"/>
    <x v="2"/>
    <n v="10"/>
    <n v="65000"/>
    <n v="650000"/>
    <n v="362000"/>
    <m/>
    <m/>
    <n v="362000"/>
  </r>
  <r>
    <n v="2026"/>
    <n v="1"/>
    <d v="2026-01-26T00:00:00"/>
    <s v="RMF00000359"/>
    <s v="Фотима опа (Сир)"/>
    <s v="Сирдарё_Фотима опа"/>
    <s v="RMF"/>
    <s v="&quot;Zoxirbek Biznes&quot; Mchj"/>
    <x v="0"/>
    <n v="10"/>
    <n v="40621"/>
    <n v="406210"/>
    <n v="128000"/>
    <m/>
    <m/>
    <n v="128000"/>
  </r>
  <r>
    <n v="2026"/>
    <n v="1"/>
    <d v="2026-01-26T00:00:00"/>
    <s v="RMF00000367"/>
    <s v="Хуршид ака (Сам)"/>
    <s v="Самарканд_Хуршед ака"/>
    <s v="RMF"/>
    <s v="&quot;Bibxonim Nur Baraka&quot; Mchj"/>
    <x v="2"/>
    <n v="100"/>
    <n v="65000"/>
    <n v="6500000"/>
    <n v="3797000"/>
    <m/>
    <m/>
    <n v="3797000"/>
  </r>
  <r>
    <n v="2026"/>
    <n v="1"/>
    <d v="2026-01-26T00:00:00"/>
    <s v="RMF00000368"/>
    <s v="Хуршид ака (Сам)"/>
    <s v="Самарканд_Хуршед ака"/>
    <s v="RMF"/>
    <s v="&quot;Biotek Farm&quot; Mchj"/>
    <x v="2"/>
    <n v="50"/>
    <n v="65000"/>
    <n v="3250000"/>
    <n v="1060000"/>
    <m/>
    <m/>
    <n v="1060000"/>
  </r>
  <r>
    <n v="2026"/>
    <n v="1"/>
    <d v="2026-01-26T00:00:00"/>
    <s v="RMF00000368"/>
    <s v="Хуршид ака (Сам)"/>
    <s v="Самарканд_Хуршед ака"/>
    <s v="RMF"/>
    <s v="&quot;Biotek Farm&quot; Mchj"/>
    <x v="0"/>
    <n v="240"/>
    <n v="40621"/>
    <n v="9749040"/>
    <n v="4628000"/>
    <m/>
    <m/>
    <n v="4628000"/>
  </r>
  <r>
    <n v="2026"/>
    <n v="1"/>
    <d v="2026-01-26T00:00:00"/>
    <s v="RMF00000368"/>
    <s v="Хуршид ака (Сам)"/>
    <s v="Самарканд_Хуршед ака"/>
    <s v="RMF"/>
    <s v="&quot;Biotek Farm&quot; Mchj"/>
    <x v="1"/>
    <n v="50"/>
    <n v="120000"/>
    <n v="6000000"/>
    <n v="2349000"/>
    <m/>
    <m/>
    <n v="2349000"/>
  </r>
  <r>
    <n v="2026"/>
    <n v="1"/>
    <d v="2026-01-26T00:00:00"/>
    <s v="RMF00000368"/>
    <s v="Хуршид ака (Сам)"/>
    <s v="Самарканд_Хуршед ака"/>
    <s v="RMF"/>
    <s v="&quot;Biotek Farm&quot; Mchj"/>
    <x v="4"/>
    <n v="50"/>
    <n v="90000"/>
    <n v="4500000"/>
    <n v="1621000"/>
    <m/>
    <m/>
    <n v="1621000"/>
  </r>
  <r>
    <n v="2026"/>
    <n v="1"/>
    <d v="2026-01-26T00:00:00"/>
    <s v="RMF00000368"/>
    <s v="Хуршид ака (Сам)"/>
    <s v="Самарканд_Хуршед ака"/>
    <s v="RMF"/>
    <s v="&quot;Biotek Farm&quot; Mchj"/>
    <x v="3"/>
    <n v="20"/>
    <n v="64700"/>
    <n v="1294000"/>
    <n v="676000"/>
    <m/>
    <m/>
    <n v="676000"/>
  </r>
  <r>
    <n v="2026"/>
    <n v="1"/>
    <d v="2026-01-26T00:00:00"/>
    <s v="RMF00000368"/>
    <s v="Хуршид ака (Сам)"/>
    <s v="Самарканд_Хуршед ака"/>
    <s v="RMF"/>
    <s v="&quot;Biotek Farm&quot; Mchj"/>
    <x v="3"/>
    <n v="30"/>
    <n v="64700"/>
    <n v="1941000"/>
    <n v="676000"/>
    <m/>
    <m/>
    <n v="676000"/>
  </r>
  <r>
    <n v="2026"/>
    <n v="1"/>
    <d v="2026-01-26T00:00:00"/>
    <s v="RMF00000372"/>
    <s v="Фотима опа (Сир)"/>
    <s v="Сирдарё_Фотима опа"/>
    <s v="RMF"/>
    <s v="&quot;Ozodbek-Yan-Farm&quot; Xk"/>
    <x v="2"/>
    <n v="20"/>
    <n v="65000"/>
    <n v="1300000"/>
    <n v="145000"/>
    <m/>
    <m/>
    <n v="145000"/>
  </r>
  <r>
    <n v="2026"/>
    <n v="1"/>
    <d v="2026-01-26T00:00:00"/>
    <s v="RMF00000382"/>
    <s v="Нафосат опа (Бух)"/>
    <s v="Бухоро_Нафосат опа"/>
    <s v="RMF"/>
    <s v="&quot;Madina- Farm Sintez&quot; Mchj"/>
    <x v="4"/>
    <n v="50"/>
    <n v="90000"/>
    <n v="4500000"/>
    <n v="628000"/>
    <m/>
    <m/>
    <n v="628000"/>
  </r>
  <r>
    <n v="2026"/>
    <n v="1"/>
    <d v="2026-01-26T00:00:00"/>
    <s v="RMF00000385"/>
    <s v="Фотима опа (Сир)"/>
    <s v="Сирдарё_Фотима опа"/>
    <s v="RMF"/>
    <s v="&quot;Giyoh 25 Yil&quot; Mchj"/>
    <x v="0"/>
    <n v="15"/>
    <n v="40621"/>
    <n v="609315"/>
    <n v="80000"/>
    <m/>
    <m/>
    <n v="80000"/>
  </r>
  <r>
    <n v="2026"/>
    <n v="1"/>
    <d v="2026-01-27T00:00:00"/>
    <s v="RMF00000388"/>
    <s v="Хуршид ака (Сам)"/>
    <s v="Самарканд_Хуршед ака"/>
    <s v="RMF"/>
    <s v="&quot;Olg`A Esm Farm&quot; Mchj"/>
    <x v="2"/>
    <n v="10"/>
    <n v="65000"/>
    <n v="650000"/>
    <n v="154000"/>
    <m/>
    <m/>
    <n v="154000"/>
  </r>
  <r>
    <n v="2026"/>
    <n v="1"/>
    <d v="2026-01-27T00:00:00"/>
    <s v="RMF00000388"/>
    <s v="Хуршид ака (Сам)"/>
    <s v="Самарканд_Хуршед ака"/>
    <s v="RMF"/>
    <s v="&quot;Olg`A Esm Farm&quot; Mchj"/>
    <x v="4"/>
    <n v="30"/>
    <n v="90000"/>
    <n v="2700000"/>
    <n v="696000"/>
    <m/>
    <m/>
    <n v="696000"/>
  </r>
  <r>
    <n v="2026"/>
    <n v="1"/>
    <d v="2026-01-27T00:00:00"/>
    <s v="RMF00000390"/>
    <s v="Хуршид ака (Сам)"/>
    <s v="Самарканд_Хуршед ака"/>
    <s v="RMF"/>
    <s v="&quot;Farmadok Diabet&quot; Mchj"/>
    <x v="4"/>
    <n v="100"/>
    <n v="90000"/>
    <n v="9000000"/>
    <n v="2520000"/>
    <m/>
    <m/>
    <n v="2520000"/>
  </r>
  <r>
    <n v="2026"/>
    <n v="1"/>
    <d v="2026-01-27T00:00:00"/>
    <s v="RMF00000397"/>
    <s v="Зафар ака (Фр)"/>
    <s v="Фаргона_Зафаржон ака"/>
    <s v="RMF"/>
    <s v="&quot;ASH SHIFA PHARM&quot;Mchj"/>
    <x v="2"/>
    <n v="100"/>
    <n v="65000"/>
    <n v="6500000"/>
    <n v="1805000"/>
    <m/>
    <m/>
    <n v="1805000"/>
  </r>
  <r>
    <n v="2026"/>
    <n v="1"/>
    <d v="2026-01-27T00:00:00"/>
    <s v="RMF00000398"/>
    <s v="Севара опа (Сам)"/>
    <s v="Самарканд_Хуршед ака"/>
    <s v="RMF"/>
    <s v="&quot;Kamol Gold Farm&quot; Mchj"/>
    <x v="0"/>
    <n v="30"/>
    <n v="40621"/>
    <n v="1218630"/>
    <n v="929000"/>
    <m/>
    <m/>
    <n v="929000"/>
  </r>
  <r>
    <n v="2026"/>
    <n v="1"/>
    <d v="2026-01-27T00:00:00"/>
    <s v="RMF00000401"/>
    <s v="Дилсўз опа (Кшд)"/>
    <s v="Карши_Дилсўз опа"/>
    <s v="RMF"/>
    <s v="&quot;Aziz-M&quot; Xk"/>
    <x v="4"/>
    <n v="50"/>
    <n v="90000"/>
    <n v="4500000"/>
    <n v="1272000"/>
    <m/>
    <m/>
    <n v="1272000"/>
  </r>
  <r>
    <n v="2026"/>
    <n v="1"/>
    <d v="2026-01-28T00:00:00"/>
    <s v="RMF00000408"/>
    <s v="Хуршид ака (Сам)"/>
    <s v="Самарканд_Хуршед ака"/>
    <s v="RMF"/>
    <s v="&quot;Akromjon&quot; Xk"/>
    <x v="1"/>
    <n v="10"/>
    <n v="120000"/>
    <n v="1200000"/>
    <n v="513000"/>
    <m/>
    <m/>
    <n v="513000"/>
  </r>
  <r>
    <n v="2026"/>
    <n v="1"/>
    <d v="2026-01-28T00:00:00"/>
    <s v="RMF00000408"/>
    <s v="Хуршид ака (Сам)"/>
    <s v="Самарканд_Хуршед ака"/>
    <s v="RMF"/>
    <s v="&quot;Akromjon&quot; Xk"/>
    <x v="4"/>
    <n v="10"/>
    <n v="90000"/>
    <n v="900000"/>
    <n v="358000"/>
    <m/>
    <m/>
    <n v="358000"/>
  </r>
  <r>
    <n v="2026"/>
    <n v="1"/>
    <d v="2026-01-28T00:00:00"/>
    <s v="RMF00000408"/>
    <s v="Хуршид ака (Сам)"/>
    <s v="Самарканд_Хуршед ака"/>
    <s v="RMF"/>
    <s v="&quot;Akromjon&quot; Xk"/>
    <x v="0"/>
    <n v="20"/>
    <n v="40621"/>
    <n v="812420"/>
    <n v="388000"/>
    <m/>
    <m/>
    <n v="388000"/>
  </r>
  <r>
    <n v="2026"/>
    <n v="1"/>
    <d v="2026-01-28T00:00:00"/>
    <s v="RMF00000415"/>
    <s v="Улугбек ака (Хор)"/>
    <s v="Хоразм_Улугбек ака"/>
    <s v="RMF"/>
    <s v="&quot;Intermed Pharmaceutical&quot; Mchj"/>
    <x v="3"/>
    <n v="400"/>
    <n v="64700"/>
    <n v="25880000"/>
    <n v="3896000"/>
    <m/>
    <m/>
    <n v="3896000"/>
  </r>
  <r>
    <n v="2026"/>
    <n v="1"/>
    <d v="2026-01-28T00:00:00"/>
    <s v="RMF00000428"/>
    <s v="Хуршид ака (Сам)"/>
    <s v="Самарканд_Хуршед ака"/>
    <s v="RMF"/>
    <s v="&quot;Dia Med-2&quot; Mchj"/>
    <x v="0"/>
    <n v="120"/>
    <n v="40621"/>
    <n v="4874520"/>
    <n v="1760000"/>
    <m/>
    <m/>
    <n v="1760000"/>
  </r>
  <r>
    <n v="2026"/>
    <n v="1"/>
    <d v="2026-01-29T00:00:00"/>
    <s v="RMF00000457"/>
    <s v="Фотима опа (Сир)"/>
    <s v="Сирдарё_Фотима опа"/>
    <s v="RMF"/>
    <s v="&quot;Health Plus&quot; Mchj"/>
    <x v="0"/>
    <n v="50"/>
    <n v="40621"/>
    <n v="2031050"/>
    <n v="384000"/>
    <m/>
    <m/>
    <n v="384000"/>
  </r>
  <r>
    <n v="2026"/>
    <n v="1"/>
    <d v="2026-01-29T00:00:00"/>
    <s v="RMF00000459"/>
    <s v="Хуршид ака (Сам)"/>
    <s v="Самарканд_Хуршед ака"/>
    <s v="RMF"/>
    <s v="&quot;Smile Trade&quot; Mchj"/>
    <x v="2"/>
    <n v="30"/>
    <n v="65000"/>
    <n v="1950000"/>
    <n v="409000"/>
    <m/>
    <m/>
    <n v="409000"/>
  </r>
  <r>
    <n v="2026"/>
    <n v="1"/>
    <d v="2026-01-30T00:00:00"/>
    <s v="RMF00000461"/>
    <s v="Сабриназ"/>
    <s v="Нукус_Мехрибон опа"/>
    <s v="RMF"/>
    <s v="&quot;Mir Apteka&quot; Mchj"/>
    <x v="4"/>
    <n v="100"/>
    <n v="90000"/>
    <n v="9000000"/>
    <n v="990000"/>
    <m/>
    <m/>
    <n v="990000"/>
  </r>
  <r>
    <n v="2026"/>
    <n v="1"/>
    <d v="2026-01-30T00:00:00"/>
    <s v="RMF00000463"/>
    <s v="Зафаржон"/>
    <s v="Фаргона_Зафаржон ака"/>
    <s v="RMF"/>
    <s v="&quot;Ixlos&quot; Qmj"/>
    <x v="2"/>
    <n v="50"/>
    <n v="65000"/>
    <n v="3250000"/>
    <n v="940000"/>
    <m/>
    <m/>
    <n v="940000"/>
  </r>
  <r>
    <n v="2026"/>
    <n v="1"/>
    <d v="2026-01-30T00:00:00"/>
    <s v="RMF00000472"/>
    <s v="Фотима опа (Сир)"/>
    <s v="Сирдарё_Фотима опа"/>
    <s v="RMF"/>
    <s v="&quot;Rustambek-J.b.b.&quot; Xk"/>
    <x v="0"/>
    <n v="35"/>
    <n v="40621"/>
    <n v="1421735"/>
    <n v="446000"/>
    <m/>
    <m/>
    <n v="446000"/>
  </r>
  <r>
    <n v="2026"/>
    <n v="1"/>
    <d v="2026-01-30T00:00:00"/>
    <s v="RMF00000473"/>
    <s v="Дилсўз опа (Кшд)"/>
    <s v="Карши_Дилсўз опа"/>
    <s v="RMF"/>
    <s v="&quot;Ain-Farm Servis&quot; Mchj"/>
    <x v="4"/>
    <n v="50"/>
    <n v="90000"/>
    <n v="4500000"/>
    <n v="1403000"/>
    <m/>
    <m/>
    <n v="1403000"/>
  </r>
  <r>
    <n v="2026"/>
    <n v="1"/>
    <d v="2026-01-30T00:00:00"/>
    <s v="RMF00000476"/>
    <s v="Хуршид ака (Сам)"/>
    <s v="Самарканд_Хуршед ака"/>
    <s v="RMF"/>
    <s v="&quot;Sam Family Pharm&quot; Mchj"/>
    <x v="2"/>
    <n v="50"/>
    <n v="65000"/>
    <n v="3250000"/>
    <n v="1899000"/>
    <m/>
    <m/>
    <n v="1899000"/>
  </r>
  <r>
    <n v="2026"/>
    <n v="2"/>
    <d v="2026-02-02T00:00:00"/>
    <s v="RMF00000492"/>
    <s v="Фотима опа (Сир)"/>
    <s v="Сирдарё_Фотима опа"/>
    <s v="RMF"/>
    <s v="&quot;Shifobaxsh&quot; Xk"/>
    <x v="1"/>
    <n v="20"/>
    <n v="120000"/>
    <n v="2400000"/>
    <n v="697000"/>
    <m/>
    <m/>
    <n v="697000"/>
  </r>
  <r>
    <n v="2026"/>
    <n v="2"/>
    <d v="2026-02-03T00:00:00"/>
    <s v="RMF00000512"/>
    <s v="Мусабек ака (Фр)"/>
    <s v="Кукон_Баходирхон ака"/>
    <s v="RMF"/>
    <s v="Al-Xikmat Shifo Хусусий Фирма"/>
    <x v="3"/>
    <n v="10"/>
    <n v="64700"/>
    <n v="647000"/>
    <n v="400000"/>
    <m/>
    <m/>
    <n v="400000"/>
  </r>
  <r>
    <n v="2026"/>
    <n v="2"/>
    <d v="2026-02-03T00:00:00"/>
    <s v="RMF00000513"/>
    <s v="Мусабек ака (Фр)"/>
    <s v="Кукон_Баходирхон ака"/>
    <s v="RMF"/>
    <s v="Al-Xikmat Shifo Хусусий Фирма"/>
    <x v="3"/>
    <n v="40"/>
    <n v="64700"/>
    <n v="2588000"/>
    <n v="550000"/>
    <m/>
    <m/>
    <n v="550000"/>
  </r>
  <r>
    <n v="2026"/>
    <n v="2"/>
    <d v="2026-02-04T00:00:00"/>
    <s v="RMF00000517"/>
    <s v="Хуршид ака (Сам)"/>
    <s v="Самарканд_Хуршед ака"/>
    <s v="RMF"/>
    <s v="&quot;Akromjon&quot; Xk"/>
    <x v="0"/>
    <n v="30"/>
    <n v="40621"/>
    <n v="1218630"/>
    <n v="929000"/>
    <m/>
    <m/>
    <n v="929000"/>
  </r>
  <r>
    <n v="2026"/>
    <n v="2"/>
    <d v="2026-02-04T00:00:00"/>
    <s v="RMF00000525"/>
    <s v="Умар ака (Фр)"/>
    <s v="Фаргона_Умар ака Сух"/>
    <s v="RMF"/>
    <s v="&quot;Orzui Mansurjon&quot; Xk"/>
    <x v="4"/>
    <n v="20"/>
    <n v="90000"/>
    <n v="1800000"/>
    <n v="208000"/>
    <m/>
    <m/>
    <n v="208000"/>
  </r>
  <r>
    <n v="2026"/>
    <n v="2"/>
    <d v="2026-02-05T00:00:00"/>
    <s v="RMF00000528"/>
    <s v="Севара опа (Сам)"/>
    <s v="Самарканд_Хуршед ака"/>
    <s v="RMF"/>
    <s v="&quot;Kamol Gold Farm&quot; Mchj"/>
    <x v="0"/>
    <n v="30"/>
    <n v="40621"/>
    <n v="1218630"/>
    <n v="929000"/>
    <m/>
    <m/>
    <n v="929000"/>
  </r>
  <r>
    <n v="2026"/>
    <n v="2"/>
    <d v="2026-02-05T00:00:00"/>
    <s v="RMF00000529"/>
    <s v="Анвар ака (Срх)"/>
    <s v="Сурхондарьё_Анвар ака"/>
    <s v="RMF"/>
    <s v="&quot;Muxdilxon Farm&quot; Xk"/>
    <x v="2"/>
    <n v="50"/>
    <n v="65000"/>
    <n v="3250000"/>
    <n v="577000"/>
    <m/>
    <m/>
    <n v="577000"/>
  </r>
  <r>
    <n v="2026"/>
    <n v="2"/>
    <d v="2026-02-05T00:00:00"/>
    <s v="RMF00000533"/>
    <s v="Зилола опа (Нав)"/>
    <s v="Навоий_Гулшода опа"/>
    <s v="RMF"/>
    <s v="&quot;Sandi Farm&quot; Mchj"/>
    <x v="1"/>
    <n v="20"/>
    <n v="120000"/>
    <n v="2400000"/>
    <n v="721000"/>
    <m/>
    <m/>
    <n v="721000"/>
  </r>
  <r>
    <n v="2026"/>
    <n v="2"/>
    <d v="2026-02-05T00:00:00"/>
    <s v="RMF00000533"/>
    <s v="Зилола опа (Нав)"/>
    <s v="Навоий_Гулшода опа"/>
    <s v="RMF"/>
    <s v="&quot;Sandi Farm&quot; Mchj"/>
    <x v="2"/>
    <n v="10"/>
    <n v="65000"/>
    <n v="650000"/>
    <n v="167000"/>
    <m/>
    <m/>
    <n v="167000"/>
  </r>
  <r>
    <n v="2026"/>
    <n v="2"/>
    <d v="2026-02-06T00:00:00"/>
    <s v="RMF00000431"/>
    <s v="Жонибек ака (Анд) S"/>
    <s v="Андижон_Жонибек ака (S)"/>
    <s v="RMF"/>
    <s v="&quot;Grand Pharm Andijon&quot; Mchj"/>
    <x v="2"/>
    <n v="50"/>
    <n v="65000"/>
    <n v="3250000"/>
    <n v="1899000"/>
    <m/>
    <m/>
    <n v="1899000"/>
  </r>
  <r>
    <n v="2026"/>
    <n v="2"/>
    <d v="2026-02-06T00:00:00"/>
    <s v="RMF00000538"/>
    <s v="Хуршид ака (Сам)"/>
    <s v="Самарканд_Хуршед ака"/>
    <s v="RMF"/>
    <s v="&quot;Max Mir Farm777&quot; Mchj"/>
    <x v="0"/>
    <n v="240"/>
    <n v="40621"/>
    <n v="9749040"/>
    <n v="3087000"/>
    <m/>
    <m/>
    <n v="3087000"/>
  </r>
  <r>
    <n v="2026"/>
    <n v="2"/>
    <d v="2026-02-06T00:00:00"/>
    <s v="RMF00000539"/>
    <s v="Равшан ака (Сам)"/>
    <s v="Самарканд_Хуршед ака 2"/>
    <s v="RMF"/>
    <s v="&quot;Bibxonim Nur Baraka&quot; Mchj"/>
    <x v="4"/>
    <n v="50"/>
    <n v="90000"/>
    <n v="4500000"/>
    <n v="1259000"/>
    <m/>
    <m/>
    <n v="1259000"/>
  </r>
  <r>
    <n v="2026"/>
    <n v="2"/>
    <d v="2026-02-06T00:00:00"/>
    <s v="RMF00000540"/>
    <s v="Анвар ака (Срх)"/>
    <s v="Сурхондарьё_Анвар ака"/>
    <s v="RMF"/>
    <s v="&quot;Nodirbek&quot; Xk"/>
    <x v="2"/>
    <n v="50"/>
    <n v="65000"/>
    <n v="3250000"/>
    <n v="1899000"/>
    <m/>
    <m/>
    <n v="1899000"/>
  </r>
  <r>
    <n v="2026"/>
    <n v="2"/>
    <d v="2026-02-09T00:00:00"/>
    <s v="RMF00000546"/>
    <s v="Равшан ака (Сам)"/>
    <s v="Самарканд_Хуршед ака 2"/>
    <s v="RMF"/>
    <s v="&quot;Farmadok Diabet&quot; Mchj"/>
    <x v="2"/>
    <n v="100"/>
    <n v="65000"/>
    <n v="6500000"/>
    <n v="787000"/>
    <m/>
    <m/>
    <n v="787000"/>
  </r>
  <r>
    <n v="2026"/>
    <n v="2"/>
    <d v="2026-02-10T00:00:00"/>
    <s v="RMF00000563"/>
    <s v="Хуршид ака (Сам)"/>
    <s v="Самарканд_Хуршед ака"/>
    <s v="RMF"/>
    <s v="&quot;Farmasam&quot; Mchj"/>
    <x v="1"/>
    <n v="40"/>
    <n v="120000"/>
    <n v="4800000"/>
    <n v="3278000"/>
    <m/>
    <m/>
    <n v="3278000"/>
  </r>
  <r>
    <n v="2026"/>
    <n v="2"/>
    <d v="2026-02-10T00:00:00"/>
    <s v="RMF00000564"/>
    <s v="Фотима опа (Сир)"/>
    <s v="Сирдарё_Фотима опа"/>
    <s v="RMF"/>
    <s v="&quot;Behzod-Farm-Yangiyer&quot; Mchj"/>
    <x v="2"/>
    <n v="20"/>
    <n v="65000"/>
    <n v="1300000"/>
    <n v="759000"/>
    <m/>
    <m/>
    <n v="759000"/>
  </r>
  <r>
    <n v="2026"/>
    <n v="2"/>
    <d v="2026-02-10T00:00:00"/>
    <s v="RMF00000566"/>
    <s v="Жавохир ака( Сам)"/>
    <s v="Самарканд_Хуршед ака 2"/>
    <s v="RMF"/>
    <s v="&quot;Beshtog' Asri&quot; Xk"/>
    <x v="4"/>
    <n v="30"/>
    <n v="90000"/>
    <n v="2700000"/>
    <n v="1717000"/>
    <m/>
    <m/>
    <n v="1717000"/>
  </r>
  <r>
    <n v="2026"/>
    <n v="2"/>
    <d v="2026-02-10T00:00:00"/>
    <s v="RMF00000570"/>
    <s v="Севара опа (Сам)"/>
    <s v="Самарканд_Хуршед ака"/>
    <s v="RMF"/>
    <s v="&quot;Kamol Gold Farm&quot; Mchj"/>
    <x v="0"/>
    <n v="30"/>
    <n v="40621"/>
    <n v="1218630"/>
    <n v="353000"/>
    <m/>
    <m/>
    <n v="353000"/>
  </r>
  <r>
    <n v="2026"/>
    <n v="2"/>
    <d v="2026-02-10T00:00:00"/>
    <s v="RMF00000572"/>
    <s v="Фотима опа (Сир)"/>
    <s v="Сирдарё_Фотима опа"/>
    <s v="RMF"/>
    <s v="&quot;Soliboy Biznes Hamkor&quot; Mchj"/>
    <x v="0"/>
    <n v="100"/>
    <n v="40621"/>
    <n v="4062100"/>
    <n v="1275000"/>
    <m/>
    <m/>
    <n v="1275000"/>
  </r>
  <r>
    <n v="2026"/>
    <n v="2"/>
    <d v="2026-02-10T00:00:00"/>
    <s v="RMF00000575"/>
    <s v="Хуршид ака (Сам)"/>
    <s v="Самарканд_Хуршед ака"/>
    <s v="RMF"/>
    <s v="&quot;Jasmina Aslbek Parizoda&quot; Mchj"/>
    <x v="4"/>
    <n v="5"/>
    <n v="90000"/>
    <n v="450000"/>
    <n v="286000"/>
    <m/>
    <m/>
    <n v="286000"/>
  </r>
  <r>
    <n v="2026"/>
    <n v="2"/>
    <d v="2026-02-10T00:00:00"/>
    <s v="RMF00000575"/>
    <s v="Хуршид ака (Сам)"/>
    <s v="Самарканд_Хуршед ака"/>
    <s v="RMF"/>
    <s v="&quot;Jasmina Aslbek Parizoda&quot; Mchj"/>
    <x v="1"/>
    <n v="5"/>
    <n v="120000"/>
    <n v="600000"/>
    <n v="410000"/>
    <m/>
    <m/>
    <n v="410000"/>
  </r>
  <r>
    <n v="2026"/>
    <n v="2"/>
    <d v="2026-02-10T00:00:00"/>
    <s v="RMF00000578"/>
    <s v="Хуршид ака (Сам)"/>
    <s v="Самарканд_Хуршед ака"/>
    <s v="RMF"/>
    <s v="&quot;Zuxra Sahovat Farm&quot; Mas'uliyati Cheklangan Jamiyat"/>
    <x v="0"/>
    <n v="40"/>
    <n v="40621"/>
    <n v="1624840"/>
    <n v="581000"/>
    <m/>
    <m/>
    <n v="581000"/>
  </r>
  <r>
    <n v="2026"/>
    <n v="2"/>
    <d v="2026-02-10T00:00:00"/>
    <s v="RMF00000582"/>
    <s v="Жавохир ака( Сам)"/>
    <s v="Самарканд_Хуршед ака 2"/>
    <s v="RMF"/>
    <s v="&quot;Smile Trade&quot; Mchj"/>
    <x v="1"/>
    <n v="20"/>
    <n v="120000"/>
    <n v="2400000"/>
    <n v="694000"/>
    <m/>
    <m/>
    <n v="694000"/>
  </r>
  <r>
    <n v="2026"/>
    <n v="2"/>
    <d v="2026-02-11T00:00:00"/>
    <s v="RMF00000590"/>
    <s v="Хуршид ака (Сам)"/>
    <s v="Самарканд_Хуршед ака 2"/>
    <s v="RMF"/>
    <s v="&quot;Soxibqiron Denta Farm&quot; Mchj"/>
    <x v="1"/>
    <n v="20"/>
    <n v="120000"/>
    <n v="2400000"/>
    <n v="721000"/>
    <m/>
    <m/>
    <n v="721000"/>
  </r>
  <r>
    <n v="2026"/>
    <n v="2"/>
    <d v="2026-02-11T00:00:00"/>
    <s v="RMF00000590"/>
    <s v="Хуршид ака (Сам)"/>
    <s v="Самарканд_Хуршед ака 2"/>
    <s v="RMF"/>
    <s v="&quot;Soxibqiron Denta Farm&quot; Mchj"/>
    <x v="4"/>
    <n v="30"/>
    <n v="90000"/>
    <n v="2700000"/>
    <n v="755000"/>
    <m/>
    <m/>
    <n v="755000"/>
  </r>
  <r>
    <n v="2026"/>
    <n v="2"/>
    <d v="2026-02-11T00:00:00"/>
    <s v="RMF00000591"/>
    <s v="Мусабек ака (Фр)"/>
    <s v="Кукон_Баходирхон ака"/>
    <s v="RMF"/>
    <s v="&quot;Niyozbek Farm&quot; Mchj"/>
    <x v="2"/>
    <n v="10"/>
    <n v="65000"/>
    <n v="650000"/>
    <n v="362000"/>
    <m/>
    <m/>
    <n v="362000"/>
  </r>
  <r>
    <n v="2026"/>
    <n v="2"/>
    <d v="2026-02-11T00:00:00"/>
    <s v="RMF00000591"/>
    <s v="Мусабек ака (Фр)"/>
    <s v="Кукон_Баходирхон ака"/>
    <s v="RMF"/>
    <s v="&quot;Niyozbek Farm&quot; Mchj"/>
    <x v="3"/>
    <n v="10"/>
    <n v="64700"/>
    <n v="647000"/>
    <n v="380000"/>
    <m/>
    <m/>
    <n v="380000"/>
  </r>
  <r>
    <n v="2026"/>
    <n v="2"/>
    <d v="2026-02-12T00:00:00"/>
    <s v="RMF00000603"/>
    <s v="Жавохир ака( Сам)"/>
    <s v="Самарканд_Хуршед ака 2"/>
    <s v="RMF"/>
    <s v="&quot;Xumozar-Farmnur&quot; Mchj"/>
    <x v="4"/>
    <n v="26"/>
    <n v="90000"/>
    <n v="2340000"/>
    <n v="651000"/>
    <m/>
    <m/>
    <n v="651000"/>
  </r>
  <r>
    <n v="2026"/>
    <n v="2"/>
    <d v="2026-02-12T00:00:00"/>
    <s v="RMF00000619"/>
    <s v="Фотима опа (Сир)"/>
    <s v="Сирдарё_Фотима опа"/>
    <s v="RMF"/>
    <s v="&quot;Ozodbek-Yan-Farm&quot; Xk"/>
    <x v="0"/>
    <n v="30"/>
    <n v="40621"/>
    <n v="1218630"/>
    <n v="869000"/>
    <m/>
    <m/>
    <n v="869000"/>
  </r>
  <r>
    <n v="2026"/>
    <n v="2"/>
    <d v="2026-02-12T00:00:00"/>
    <s v="RMF00000619"/>
    <s v="Фотима опа (Сир)"/>
    <s v="Сирдарё_Фотима опа"/>
    <s v="RMF"/>
    <s v="&quot;Ozodbek-Yan-Farm&quot; Xk"/>
    <x v="1"/>
    <n v="15"/>
    <n v="120000"/>
    <n v="1800000"/>
    <n v="1229000"/>
    <m/>
    <m/>
    <n v="1229000"/>
  </r>
  <r>
    <n v="2026"/>
    <n v="2"/>
    <d v="2026-02-12T00:00:00"/>
    <s v="RMF00000620"/>
    <s v="Анвар ака (Срх)"/>
    <s v="Сурхондарьё_Анвар ака"/>
    <s v="RMF"/>
    <s v="&quot;Sariosiyo Xusan Farm&quot; Xk"/>
    <x v="2"/>
    <n v="50"/>
    <n v="65000"/>
    <n v="3250000"/>
    <n v="1255000"/>
    <m/>
    <m/>
    <n v="1255000"/>
  </r>
  <r>
    <n v="2026"/>
    <n v="2"/>
    <d v="2026-02-12T00:00:00"/>
    <s v="RMF00000621"/>
    <s v="Хуршид ака (Сам)"/>
    <s v="Самарканд_Хуршед ака"/>
    <s v="RMF"/>
    <s v="&quot;Biotek Farm&quot; Mchj"/>
    <x v="0"/>
    <n v="120"/>
    <n v="40621"/>
    <n v="4874520"/>
    <n v="436000"/>
    <m/>
    <m/>
    <n v="436000"/>
  </r>
  <r>
    <n v="2026"/>
    <n v="2"/>
    <d v="2026-02-12T00:00:00"/>
    <s v="RMF00000621"/>
    <s v="Хуршид ака (Сам)"/>
    <s v="Самарканд_Хуршед ака"/>
    <s v="RMF"/>
    <s v="&quot;Biotek Farm&quot; Mchj"/>
    <x v="4"/>
    <n v="50"/>
    <n v="90000"/>
    <n v="4500000"/>
    <n v="305000"/>
    <m/>
    <m/>
    <n v="305000"/>
  </r>
  <r>
    <n v="2026"/>
    <n v="2"/>
    <d v="2026-02-12T00:00:00"/>
    <s v="RMF00000622"/>
    <s v="Жавохир ака( Сам)"/>
    <s v="Самарканд_Хуршед ака 2"/>
    <s v="RMF"/>
    <s v="&quot;Olg`A Esm Farm&quot; Mchj"/>
    <x v="4"/>
    <n v="30"/>
    <n v="90000"/>
    <n v="2700000"/>
    <n v="1659000"/>
    <m/>
    <m/>
    <n v="1659000"/>
  </r>
  <r>
    <n v="2026"/>
    <n v="2"/>
    <d v="2026-02-12T00:00:00"/>
    <s v="RMF00000623"/>
    <s v="Жавохир ака( Сам)"/>
    <s v="Самарканд_Хуршед ака 2"/>
    <s v="RMF"/>
    <s v="&quot;Olg`A Esm Farm&quot; Mchj"/>
    <x v="4"/>
    <n v="20"/>
    <n v="90000"/>
    <n v="1800000"/>
    <n v="504000"/>
    <m/>
    <m/>
    <n v="504000"/>
  </r>
  <r>
    <n v="2026"/>
    <n v="2"/>
    <d v="2026-02-13T00:00:00"/>
    <s v="RMF00000632"/>
    <s v="Севара опа (Сам)"/>
    <s v="Самарканд_Хуршед ака"/>
    <s v="RMF"/>
    <s v="&quot;Grand Javoxir Pharm&quot; Mchj"/>
    <x v="0"/>
    <n v="50"/>
    <n v="40621"/>
    <n v="2031050"/>
    <n v="1549000"/>
    <m/>
    <m/>
    <n v="1549000"/>
  </r>
  <r>
    <n v="2026"/>
    <n v="2"/>
    <d v="2026-02-13T00:00:00"/>
    <s v="RMF00000633"/>
    <s v="Севара опа (Сам)"/>
    <s v="Самарканд_Хуршед ака"/>
    <s v="RMF"/>
    <s v="&quot;Farmadok Diabet&quot; Mchj"/>
    <x v="0"/>
    <n v="10"/>
    <n v="40621"/>
    <n v="406210"/>
    <n v="137000"/>
    <m/>
    <m/>
    <n v="137000"/>
  </r>
  <r>
    <n v="2026"/>
    <n v="2"/>
    <d v="2026-02-13T00:00:00"/>
    <s v="RMF00000635"/>
    <s v="Фотима опа (Сир)"/>
    <s v="Сирдарё_Фотима опа"/>
    <s v="RMF"/>
    <s v="&quot;Istiqlol Farm Invest&quot; Mchj"/>
    <x v="2"/>
    <n v="30"/>
    <n v="65000"/>
    <n v="1950000"/>
    <n v="501000"/>
    <m/>
    <m/>
    <n v="501000"/>
  </r>
  <r>
    <n v="2026"/>
    <n v="2"/>
    <d v="2026-02-16T00:00:00"/>
    <s v="RMF00000652"/>
    <s v="Фотима опа (Сир)"/>
    <s v="Сирдарё_Фотима опа"/>
    <s v="RMF"/>
    <s v="&quot;Baxtiyor Turg'unovich&quot; Ktxf"/>
    <x v="2"/>
    <n v="50"/>
    <n v="65000"/>
    <n v="3250000"/>
    <n v="1898000"/>
    <m/>
    <m/>
    <n v="1898000"/>
  </r>
  <r>
    <n v="2026"/>
    <n v="2"/>
    <d v="2026-02-16T00:00:00"/>
    <s v="RMF00000652"/>
    <s v="Фотима опа (Сир)"/>
    <s v="Сирдарё_Фотима опа"/>
    <s v="RMF"/>
    <s v="&quot;Baxtiyor Turg'unovich&quot; Ktxf"/>
    <x v="1"/>
    <n v="30"/>
    <n v="120000"/>
    <n v="3600000"/>
    <n v="2293000"/>
    <m/>
    <m/>
    <n v="2293000"/>
  </r>
  <r>
    <n v="2026"/>
    <n v="2"/>
    <d v="2026-02-16T00:00:00"/>
    <s v="RMF00000653"/>
    <s v="Севара опа (Сам)"/>
    <s v="Самарканд_Хуршед ака"/>
    <s v="RMF"/>
    <s v="&quot;Marvarid Stom Denta&quot; Ok"/>
    <x v="0"/>
    <n v="90"/>
    <n v="40621"/>
    <n v="3655890"/>
    <n v="2788000"/>
    <m/>
    <m/>
    <n v="2788000"/>
  </r>
  <r>
    <n v="2026"/>
    <n v="2"/>
    <d v="2026-02-16T00:00:00"/>
    <s v="RMF00000653"/>
    <s v="Севара опа (Сам)"/>
    <s v="Самарканд_Хуршед ака"/>
    <s v="RMF"/>
    <s v="&quot;Marvarid Stom Denta&quot; Ok"/>
    <x v="0"/>
    <n v="30"/>
    <n v="40621.300000000003"/>
    <n v="1218639"/>
    <n v="2788000"/>
    <m/>
    <m/>
    <n v="2788000"/>
  </r>
  <r>
    <n v="2026"/>
    <n v="2"/>
    <d v="2026-02-16T00:00:00"/>
    <s v="RMF00000660"/>
    <s v="Фотима опа (Сир)"/>
    <s v="Сирдарё_Фотима опа"/>
    <s v="RMF"/>
    <s v="&quot;Shodlik-Mc&quot; Mchj"/>
    <x v="0"/>
    <n v="100"/>
    <n v="40621"/>
    <n v="4062100"/>
    <n v="1948000"/>
    <m/>
    <m/>
    <n v="1948000"/>
  </r>
  <r>
    <n v="2026"/>
    <n v="2"/>
    <d v="2026-02-17T00:00:00"/>
    <s v="RMF00000671"/>
    <s v="Фотима опа (Сир)"/>
    <s v="Сирдарё_Фотима опа"/>
    <s v="RMF"/>
    <s v="&quot;ASKARBINKA VITAMINKA&quot; mas`uliyati cheklangan jamiyati"/>
    <x v="0"/>
    <n v="50"/>
    <n v="40621"/>
    <n v="2031050"/>
    <n v="383000"/>
    <m/>
    <m/>
    <n v="383000"/>
  </r>
  <r>
    <n v="2026"/>
    <n v="2"/>
    <d v="2026-02-17T00:00:00"/>
    <s v="RMF00000671"/>
    <s v="Фотима опа (Сир)"/>
    <s v="Сирдарё_Фотима опа"/>
    <s v="RMF"/>
    <s v="&quot;ASKARBINKA VITAMINKA&quot; mas`uliyati cheklangan jamiyati"/>
    <x v="1"/>
    <n v="50"/>
    <n v="120000"/>
    <n v="6000000"/>
    <n v="1082000"/>
    <m/>
    <m/>
    <n v="1082000"/>
  </r>
  <r>
    <n v="2026"/>
    <n v="2"/>
    <d v="2026-02-17T00:00:00"/>
    <s v="RMF00000673"/>
    <s v="Хуршид ака 2 (Сам)"/>
    <s v="Самарканд_Хуршед ака 2"/>
    <s v="RMF"/>
    <s v="&quot;Bibxonim Nur Baraka&quot; Mchj"/>
    <x v="2"/>
    <n v="100"/>
    <n v="65000"/>
    <n v="6500000"/>
    <n v="3797000"/>
    <m/>
    <m/>
    <n v="3797000"/>
  </r>
  <r>
    <n v="2026"/>
    <n v="2"/>
    <d v="2026-02-17T00:00:00"/>
    <s v="RMF00000675"/>
    <s v="Азиз ака (Сам)"/>
    <s v="Самарканд_Хуршед ака 2"/>
    <s v="RMF"/>
    <s v="&quot;Farmasam&quot; Mchj"/>
    <x v="2"/>
    <n v="20"/>
    <n v="65000"/>
    <n v="1300000"/>
    <n v="337000"/>
    <m/>
    <m/>
    <n v="337000"/>
  </r>
  <r>
    <n v="2026"/>
    <n v="2"/>
    <d v="2026-02-17T00:00:00"/>
    <s v="RMF00000675"/>
    <s v="Азиз ака (Сам)"/>
    <s v="Самарканд_Хуршед ака 2"/>
    <s v="RMF"/>
    <s v="&quot;Farmasam&quot; Mchj"/>
    <x v="4"/>
    <n v="25"/>
    <n v="90000"/>
    <n v="2250000"/>
    <n v="635000"/>
    <m/>
    <m/>
    <n v="635000"/>
  </r>
  <r>
    <n v="2026"/>
    <n v="2"/>
    <d v="2026-02-18T00:00:00"/>
    <s v="RMF00000685"/>
    <s v="Хуршид ака 2 (Сам)"/>
    <s v="Самарканд_Хуршед ака 2"/>
    <s v="RMF"/>
    <s v="&quot;Farmadok Diabet&quot; Mchj"/>
    <x v="4"/>
    <n v="100"/>
    <n v="90000"/>
    <n v="9000000"/>
    <n v="1958000"/>
    <m/>
    <m/>
    <n v="1958000"/>
  </r>
  <r>
    <n v="2026"/>
    <n v="2"/>
    <d v="2026-02-18T00:00:00"/>
    <s v="RMF00000686"/>
    <s v="Зафар ака (Фр)"/>
    <s v="Фаргона_Зафаржон ака"/>
    <s v="RMF"/>
    <s v="&quot;Maftuna Farm Servis&quot; Mchj"/>
    <x v="2"/>
    <n v="100"/>
    <n v="65000"/>
    <n v="6500000"/>
    <n v="1015000"/>
    <m/>
    <m/>
    <n v="1015000"/>
  </r>
  <r>
    <n v="2026"/>
    <n v="2"/>
    <d v="2026-02-18T00:00:00"/>
    <s v="RMF00000688"/>
    <s v="Хуршид ака (Сам)"/>
    <s v="Самарканд_Хуршед ака"/>
    <s v="RMF"/>
    <s v="&quot;Akromjon&quot; Xk"/>
    <x v="4"/>
    <n v="15"/>
    <n v="90000"/>
    <n v="1350000"/>
    <n v="362000"/>
    <m/>
    <m/>
    <n v="362000"/>
  </r>
  <r>
    <n v="2026"/>
    <n v="2"/>
    <d v="2026-02-18T00:00:00"/>
    <s v="RMF00000688"/>
    <s v="Хуршид ака (Сам)"/>
    <s v="Самарканд_Хуршед ака"/>
    <s v="RMF"/>
    <s v="&quot;Akromjon&quot; Xk"/>
    <x v="0"/>
    <n v="30"/>
    <n v="40621.300000000003"/>
    <n v="1218639"/>
    <n v="392000"/>
    <m/>
    <m/>
    <n v="392000"/>
  </r>
  <r>
    <n v="2026"/>
    <n v="2"/>
    <d v="2026-02-18T00:00:00"/>
    <s v="RMF00000690"/>
    <s v="Улугбек ака (Хор)"/>
    <s v="Хоразм_Улугбек ака"/>
    <s v="RMF"/>
    <s v="&quot;Intermed Pharmaceutical&quot; Mchj"/>
    <x v="3"/>
    <n v="350"/>
    <n v="64700"/>
    <n v="22645000"/>
    <n v="1815000"/>
    <m/>
    <m/>
    <n v="1815000"/>
  </r>
  <r>
    <n v="2026"/>
    <n v="2"/>
    <d v="2026-02-19T00:00:00"/>
    <s v="RMF00000699"/>
    <s v="Нафосат опа (Бух)"/>
    <s v="Бухоро_Нафосат опа"/>
    <s v="RMF"/>
    <s v="&quot;Nigina Farm Sanoat&quot; Xk"/>
    <x v="4"/>
    <n v="100"/>
    <n v="90000"/>
    <n v="9000000"/>
    <n v="2384000"/>
    <m/>
    <m/>
    <n v="2384000"/>
  </r>
  <r>
    <n v="2026"/>
    <n v="2"/>
    <d v="2026-02-19T00:00:00"/>
    <s v="RMF00000702"/>
    <s v="Нафосат опа (Бух)"/>
    <s v="Бухоро_Нафосат опа"/>
    <s v="RMF"/>
    <s v="&quot;Eco Nazarbek Pharm&quot; Mas'uliyati Cheklangan Jamiyat"/>
    <x v="4"/>
    <n v="50"/>
    <n v="90000"/>
    <n v="4500000"/>
    <n v="555000"/>
    <m/>
    <m/>
    <n v="555000"/>
  </r>
  <r>
    <n v="2026"/>
    <n v="2"/>
    <d v="2026-02-19T00:00:00"/>
    <s v="RMF00000711"/>
    <s v="Жавохир ака( Сам)"/>
    <s v="Самарканд_Хуршед ака 2"/>
    <s v="RMF"/>
    <s v="&quot;Baxt Pharm 01&quot; Mchj"/>
    <x v="2"/>
    <n v="10"/>
    <n v="65000"/>
    <n v="650000"/>
    <n v="380000"/>
    <m/>
    <m/>
    <n v="380000"/>
  </r>
  <r>
    <n v="2026"/>
    <n v="2"/>
    <d v="2026-02-19T00:00:00"/>
    <s v="RMF00000711"/>
    <s v="Жавохир ака( Сам)"/>
    <s v="Самарканд_Хуршед ака 2"/>
    <s v="RMF"/>
    <s v="&quot;Baxt Pharm 01&quot; Mchj"/>
    <x v="1"/>
    <n v="10"/>
    <n v="120000"/>
    <n v="1200000"/>
    <n v="820000"/>
    <m/>
    <m/>
    <n v="820000"/>
  </r>
  <r>
    <n v="2026"/>
    <n v="2"/>
    <d v="2026-02-19T00:00:00"/>
    <s v="RMF00000711"/>
    <s v="Жавохир ака( Сам)"/>
    <s v="Самарканд_Хуршед ака 2"/>
    <s v="RMF"/>
    <s v="&quot;Baxt Pharm 01&quot; Mchj"/>
    <x v="4"/>
    <n v="10"/>
    <n v="90000"/>
    <n v="900000"/>
    <n v="572000"/>
    <m/>
    <m/>
    <n v="572000"/>
  </r>
  <r>
    <n v="2026"/>
    <n v="2"/>
    <d v="2026-02-19T00:00:00"/>
    <s v="RMF00000715"/>
    <s v="Фотима опа (Сир)"/>
    <s v="Сирдарё_Фотима опа"/>
    <s v="RMF"/>
    <s v="&quot;Rustambek-J.b.b.&quot; Xk"/>
    <x v="0"/>
    <n v="50"/>
    <n v="40621"/>
    <n v="2031050"/>
    <n v="637000"/>
    <m/>
    <m/>
    <n v="637000"/>
  </r>
  <r>
    <n v="2026"/>
    <n v="2"/>
    <d v="2026-02-20T00:00:00"/>
    <s v="RMF00000718"/>
    <s v="Жонибек ака (Анд) S"/>
    <s v="Андижон_Жонибек ака (S)"/>
    <s v="RMF"/>
    <s v="&quot;Xolis Med Farm&quot; Mchj"/>
    <x v="4"/>
    <n v="50"/>
    <n v="90000"/>
    <n v="4500000"/>
    <n v="2861000"/>
    <m/>
    <m/>
    <n v="2861000"/>
  </r>
  <r>
    <n v="2026"/>
    <n v="2"/>
    <d v="2026-02-20T00:00:00"/>
    <s v="RMF00000719"/>
    <s v="Хуршид ака 2 (Сам)"/>
    <s v="Самарканд_Хуршед ака 2"/>
    <s v="RMF"/>
    <s v="&quot;Nobilis Pharma&quot; Mchj"/>
    <x v="4"/>
    <n v="20"/>
    <n v="90000"/>
    <n v="1800000"/>
    <n v="504000"/>
    <m/>
    <m/>
    <n v="504000"/>
  </r>
  <r>
    <n v="2026"/>
    <n v="2"/>
    <d v="2026-02-20T00:00:00"/>
    <s v="RMF00000719"/>
    <s v="Хуршид ака 2 (Сам)"/>
    <s v="Самарканд_Хуршед ака 2"/>
    <s v="RMF"/>
    <s v="&quot;Nobilis Pharma&quot; Mchj"/>
    <x v="2"/>
    <n v="20"/>
    <n v="65000"/>
    <n v="1300000"/>
    <n v="334000"/>
    <m/>
    <m/>
    <n v="334000"/>
  </r>
  <r>
    <n v="2026"/>
    <n v="2"/>
    <d v="2026-02-20T00:00:00"/>
    <s v="RMF00000728"/>
    <s v="Хуршид ака (Сам)"/>
    <s v="Самарканд_Хуршед ака"/>
    <s v="RMF"/>
    <s v="Pul`S Farm Mchj"/>
    <x v="1"/>
    <n v="10"/>
    <n v="120000"/>
    <n v="1200000"/>
    <n v="820000"/>
    <m/>
    <m/>
    <n v="820000"/>
  </r>
  <r>
    <n v="2026"/>
    <n v="2"/>
    <d v="2026-02-20T00:00:00"/>
    <s v="RMF00000728"/>
    <s v="Хуршид ака (Сам)"/>
    <s v="Самарканд_Хуршед ака"/>
    <s v="RMF"/>
    <s v="Pul`S Farm Mchj"/>
    <x v="4"/>
    <n v="10"/>
    <n v="90000"/>
    <n v="900000"/>
    <n v="572000"/>
    <m/>
    <m/>
    <n v="572000"/>
  </r>
  <r>
    <n v="2026"/>
    <n v="2"/>
    <d v="2026-02-20T00:00:00"/>
    <s v="RMF00000729"/>
    <s v="Азиз ака (Сам)"/>
    <s v="Самарканд_Хуршед ака 2"/>
    <s v="RMF"/>
    <s v="&quot;Notis Pharma&quot; Mchj"/>
    <x v="4"/>
    <n v="30"/>
    <n v="90000"/>
    <n v="2700000"/>
    <n v="784000"/>
    <m/>
    <m/>
    <n v="784000"/>
  </r>
  <r>
    <n v="2026"/>
    <n v="2"/>
    <d v="2026-02-20T00:00:00"/>
    <s v="RMF00000729"/>
    <s v="Азиз ака (Сам)"/>
    <s v="Самарканд_Хуршед ака 2"/>
    <s v="RMF"/>
    <s v="&quot;Notis Pharma&quot; Mchj"/>
    <x v="2"/>
    <n v="20"/>
    <n v="65000"/>
    <n v="1300000"/>
    <n v="347000"/>
    <m/>
    <m/>
    <n v="347000"/>
  </r>
  <r>
    <n v="2026"/>
    <n v="2"/>
    <d v="2026-02-20T00:00:00"/>
    <s v="RMF00000731"/>
    <s v="Хуршид ака (Сам)"/>
    <s v="Самарканд_Хуршед ака"/>
    <s v="RMF"/>
    <s v="&quot;Humo Farm Invest Group&quot; Mchj"/>
    <x v="0"/>
    <n v="10"/>
    <n v="40621.300000000003"/>
    <n v="406213"/>
    <n v="136000"/>
    <m/>
    <m/>
    <n v="136000"/>
  </r>
  <r>
    <n v="2026"/>
    <n v="2"/>
    <d v="2026-02-20T00:00:00"/>
    <s v="RMF00000731"/>
    <s v="Хуршид ака (Сам)"/>
    <s v="Самарканд_Хуршед ака"/>
    <s v="RMF"/>
    <s v="&quot;Humo Farm Invest Group&quot; Mchj"/>
    <x v="0"/>
    <n v="30"/>
    <n v="40621"/>
    <n v="1218630"/>
    <n v="136000"/>
    <m/>
    <m/>
    <n v="136000"/>
  </r>
  <r>
    <n v="2026"/>
    <n v="2"/>
    <d v="2026-02-20T00:00:00"/>
    <s v="RMF00000731"/>
    <s v="Хуршид ака (Сам)"/>
    <s v="Самарканд_Хуршед ака"/>
    <s v="RMF"/>
    <s v="&quot;Humo Farm Invest Group&quot; Mchj"/>
    <x v="4"/>
    <n v="50"/>
    <n v="90000"/>
    <n v="4500000"/>
    <n v="1253000"/>
    <m/>
    <m/>
    <n v="1253000"/>
  </r>
  <r>
    <n v="2026"/>
    <n v="2"/>
    <d v="2026-02-20T00:00:00"/>
    <s v="RMF00000732"/>
    <s v="Фотима опа (Сир)"/>
    <s v="Сирдарё_Фотима опа"/>
    <s v="RMF"/>
    <s v="&quot;Zoxirbek Biznes&quot; Mchj"/>
    <x v="0"/>
    <n v="30"/>
    <n v="40621"/>
    <n v="1218630"/>
    <n v="382000"/>
    <m/>
    <m/>
    <n v="382000"/>
  </r>
  <r>
    <n v="2026"/>
    <n v="2"/>
    <d v="2026-02-20T00:00:00"/>
    <s v="RMF00000734"/>
    <s v="Анвар ака (Срх)"/>
    <s v="Сурхондарьё_Анвар ака"/>
    <s v="RMF"/>
    <s v="&quot;Shifo &quot; Xk"/>
    <x v="2"/>
    <n v="50"/>
    <n v="65000"/>
    <n v="3250000"/>
    <n v="234000"/>
    <m/>
    <m/>
    <n v="234000"/>
  </r>
  <r>
    <n v="2026"/>
    <n v="2"/>
    <d v="2026-02-23T00:00:00"/>
    <s v="RMF00000739"/>
    <s v="Анвар ака (Срх)"/>
    <s v="Сурхондарьё_Анвар ака"/>
    <s v="RMF"/>
    <s v="&quot;Soliha-Med-Farm&quot; Xk"/>
    <x v="2"/>
    <n v="20"/>
    <n v="65000"/>
    <n v="1300000"/>
    <n v="759000"/>
    <m/>
    <m/>
    <n v="759000"/>
  </r>
  <r>
    <n v="2026"/>
    <n v="2"/>
    <d v="2026-02-23T00:00:00"/>
    <s v="RMF00000745"/>
    <s v="Зафар ака (Фр)"/>
    <s v="Фаргона_Зафаржон ака"/>
    <s v="RMF"/>
    <s v="&quot;ASH SHIFA PHARM&quot;Mchj"/>
    <x v="2"/>
    <n v="100"/>
    <n v="65000"/>
    <n v="6500000"/>
    <n v="1671000"/>
    <m/>
    <m/>
    <n v="1671000"/>
  </r>
  <r>
    <n v="2026"/>
    <n v="2"/>
    <d v="2026-02-23T00:00:00"/>
    <s v="RMF00000754"/>
    <s v="Хуршид ака (Сам)"/>
    <s v="Самарканд_Хуршед ака"/>
    <s v="RMF"/>
    <s v="&quot;Yumaxfarm-Servis&quot; Mchj"/>
    <x v="4"/>
    <n v="40"/>
    <n v="90000"/>
    <n v="3600000"/>
    <n v="656000"/>
    <m/>
    <m/>
    <n v="656000"/>
  </r>
  <r>
    <n v="2026"/>
    <n v="2"/>
    <d v="2026-02-23T00:00:00"/>
    <s v="RMF00000754"/>
    <s v="Хуршид ака (Сам)"/>
    <s v="Самарканд_Хуршед ака"/>
    <s v="RMF"/>
    <s v="&quot;Yumaxfarm-Servis&quot; Mchj"/>
    <x v="1"/>
    <n v="40"/>
    <n v="120000"/>
    <n v="4800000"/>
    <n v="951000"/>
    <m/>
    <m/>
    <n v="951000"/>
  </r>
  <r>
    <n v="2026"/>
    <n v="2"/>
    <d v="2026-02-23T00:00:00"/>
    <s v="RMF00000764"/>
    <s v="Жавохир ака( Сам)"/>
    <s v="Самарканд_Хуршед ака 2"/>
    <s v="RMF"/>
    <s v="&quot;Smile Trade&quot; Mchj"/>
    <x v="4"/>
    <n v="40"/>
    <n v="90000"/>
    <n v="3600000"/>
    <n v="2268000"/>
    <m/>
    <m/>
    <n v="2268000"/>
  </r>
  <r>
    <n v="2026"/>
    <n v="2"/>
    <d v="2026-02-24T00:00:00"/>
    <s v="RMF00000766"/>
    <s v="Анвар ака Б (Сам)"/>
    <s v="Самарканд_Хуршед ака"/>
    <s v="RMF"/>
    <s v="&quot;Yumaxfarm-Servis&quot; Mchj"/>
    <x v="0"/>
    <n v="240"/>
    <n v="40621"/>
    <n v="9749040"/>
    <n v="3540000"/>
    <m/>
    <m/>
    <n v="3540000"/>
  </r>
  <r>
    <n v="2026"/>
    <n v="2"/>
    <d v="2026-02-24T00:00:00"/>
    <s v="RMF00000783"/>
    <s v="Жавохир ака( Сам)"/>
    <s v="Самарканд_Хуршед ака 2"/>
    <s v="RMF"/>
    <s v="&quot;Shukrona Shifo S Y&quot; Mchj"/>
    <x v="2"/>
    <n v="30"/>
    <n v="65000"/>
    <n v="1950000"/>
    <n v="501000"/>
    <m/>
    <m/>
    <n v="501000"/>
  </r>
  <r>
    <n v="2026"/>
    <n v="2"/>
    <d v="2026-02-25T00:00:00"/>
    <s v="RMF00000791"/>
    <s v="Дилсўз опа (Кшд)"/>
    <s v="Карши_Дилсўз опа"/>
    <s v="RMF"/>
    <s v="&quot;Fizio Pharm&quot; Xk"/>
    <x v="4"/>
    <n v="50"/>
    <n v="90000"/>
    <n v="4500000"/>
    <n v="2277000"/>
    <m/>
    <m/>
    <n v="2277000"/>
  </r>
  <r>
    <n v="2026"/>
    <n v="2"/>
    <d v="2026-02-25T00:00:00"/>
    <s v="RMF00000795"/>
    <s v="Ноила опа (Т.О)"/>
    <s v="Таш.Обл_Ноила опа"/>
    <s v="RMF"/>
    <s v="&quot;Xosiyatli Pharm&quot; Xk"/>
    <x v="2"/>
    <n v="20"/>
    <n v="65000"/>
    <n v="1300000"/>
    <n v="65000"/>
    <m/>
    <m/>
    <n v="65000"/>
  </r>
  <r>
    <n v="2026"/>
    <n v="2"/>
    <d v="2026-02-25T00:00:00"/>
    <s v="RMF00000799"/>
    <s v="Жавохир ака( Сам)"/>
    <s v="Самарканд_Хуршед ака 2"/>
    <s v="RMF"/>
    <s v="&quot;Sam Family Pharm&quot; Mchj"/>
    <x v="4"/>
    <n v="50"/>
    <n v="90000"/>
    <n v="4500000"/>
    <n v="751000"/>
    <m/>
    <m/>
    <n v="751000"/>
  </r>
  <r>
    <n v="2026"/>
    <n v="2"/>
    <d v="2026-02-25T00:00:00"/>
    <s v="RMF00000804"/>
    <s v="Жавохир ака( Сам)"/>
    <s v="Самарканд_Хуршед ака 2"/>
    <s v="RMF"/>
    <s v="&quot;Akromjon&quot; Xk"/>
    <x v="4"/>
    <n v="40"/>
    <n v="90000"/>
    <n v="3600000"/>
    <n v="1107000"/>
    <m/>
    <m/>
    <n v="1107000"/>
  </r>
  <r>
    <n v="2026"/>
    <n v="2"/>
    <d v="2026-02-26T00:00:00"/>
    <s v="RMF00000810"/>
    <s v="Хуршид ака 2 (Сам)"/>
    <s v="Самарканд_Хуршед ака 2"/>
    <s v="RMF"/>
    <s v="&quot;Integra Medfarm&quot; Mchj"/>
    <x v="4"/>
    <n v="20"/>
    <n v="90000"/>
    <n v="1800000"/>
    <n v="504000"/>
    <m/>
    <m/>
    <n v="504000"/>
  </r>
  <r>
    <n v="2026"/>
    <n v="2"/>
    <d v="2026-02-26T00:00:00"/>
    <s v="RMF00000810"/>
    <s v="Хуршид ака 2 (Сам)"/>
    <s v="Самарканд_Хуршед ака 2"/>
    <s v="RMF"/>
    <s v="&quot;Integra Medfarm&quot; Mchj"/>
    <x v="2"/>
    <n v="15"/>
    <n v="65000"/>
    <n v="975000"/>
    <n v="251000"/>
    <m/>
    <m/>
    <n v="251000"/>
  </r>
  <r>
    <n v="2026"/>
    <n v="2"/>
    <d v="2026-02-26T00:00:00"/>
    <s v="RMF00000810"/>
    <s v="Хуршид ака 2 (Сам)"/>
    <s v="Самарканд_Хуршед ака 2"/>
    <s v="RMF"/>
    <s v="&quot;Integra Medfarm&quot; Mchj"/>
    <x v="0"/>
    <n v="10"/>
    <n v="40621"/>
    <n v="406210"/>
    <n v="136000"/>
    <m/>
    <m/>
    <n v="136000"/>
  </r>
  <r>
    <n v="2026"/>
    <n v="2"/>
    <d v="2026-02-26T00:00:00"/>
    <s v="RMF00000813"/>
    <s v="Жавохир ака( Сам)"/>
    <s v="Самарканд_Хуршед ака 2"/>
    <s v="RMF"/>
    <s v="&quot;Jannat Shifo&quot; Mchj"/>
    <x v="4"/>
    <n v="20"/>
    <n v="90000"/>
    <n v="1800000"/>
    <n v="436000"/>
    <m/>
    <m/>
    <n v="436000"/>
  </r>
  <r>
    <n v="2026"/>
    <n v="2"/>
    <d v="2026-02-26T00:00:00"/>
    <s v="RMF00000819"/>
    <s v="Фотима опа (Сир)"/>
    <s v="Сирдарё_Фотима опа"/>
    <s v="RMF"/>
    <s v="&quot;Baxtiyor Turg'unovich&quot; Ktxf"/>
    <x v="0"/>
    <n v="200"/>
    <n v="40621"/>
    <n v="8124200"/>
    <n v="5422000"/>
    <m/>
    <m/>
    <n v="5422000"/>
  </r>
  <r>
    <n v="2026"/>
    <n v="2"/>
    <d v="2026-02-26T00:00:00"/>
    <s v="RMF00000823"/>
    <s v="Рустам ака (Т.О)"/>
    <s v="Таш.Обл_Рустам ака (S)"/>
    <s v="RMF"/>
    <s v="&quot;Fartuna-Ramz-Farm&quot; Mchj"/>
    <x v="0"/>
    <n v="10"/>
    <n v="40621"/>
    <n v="406210"/>
    <n v="310000"/>
    <m/>
    <m/>
    <n v="310000"/>
  </r>
  <r>
    <n v="2026"/>
    <n v="2"/>
    <d v="2026-02-26T00:00:00"/>
    <s v="RMF00000823"/>
    <s v="Рустам ака (Т.О)"/>
    <s v="Таш.Обл_Рустам ака (S)"/>
    <s v="RMF"/>
    <s v="&quot;Fartuna-Ramz-Farm&quot; Mchj"/>
    <x v="4"/>
    <n v="10"/>
    <n v="90000"/>
    <n v="900000"/>
    <n v="572000"/>
    <m/>
    <m/>
    <n v="572000"/>
  </r>
  <r>
    <n v="2026"/>
    <n v="2"/>
    <d v="2026-02-27T00:00:00"/>
    <s v="RMF00000829"/>
    <s v="Фотима опа (Сир)"/>
    <s v="Сирдарё_Фотима опа"/>
    <s v="RMF"/>
    <s v="&quot;Shifobaxsh&quot; Xk"/>
    <x v="1"/>
    <n v="20"/>
    <n v="120000"/>
    <n v="2400000"/>
    <n v="682000"/>
    <m/>
    <m/>
    <n v="682000"/>
  </r>
  <r>
    <n v="2026"/>
    <n v="2"/>
    <d v="2026-02-27T00:00:00"/>
    <s v="RMF00000836"/>
    <s v="Мусабек ака (Фр)"/>
    <s v="Кукон_Баходирхон ака"/>
    <s v="RMF"/>
    <s v="Al-Xikmat Shifo Хусусий Фирма"/>
    <x v="3"/>
    <n v="40"/>
    <n v="64700"/>
    <n v="2588000"/>
    <n v="1000000"/>
    <m/>
    <m/>
    <n v="1000000"/>
  </r>
  <r>
    <n v="2026"/>
    <n v="2"/>
    <d v="2026-02-27T00:00:00"/>
    <s v="RMF00000840"/>
    <s v="Анвар ака Б (Сам)"/>
    <s v="Самарканд_Хуршед ака"/>
    <s v="RMF"/>
    <s v="&quot;Max Mir Farm777&quot; Mchj"/>
    <x v="0"/>
    <n v="30"/>
    <n v="40621"/>
    <n v="1218630"/>
    <n v="2726000"/>
    <m/>
    <m/>
    <n v="2726000"/>
  </r>
  <r>
    <n v="2026"/>
    <n v="2"/>
    <d v="2026-02-27T00:00:00"/>
    <s v="RMF00000840"/>
    <s v="Анвар ака Б (Сам)"/>
    <s v="Самарканд_Хуршед ака"/>
    <s v="RMF"/>
    <s v="&quot;Max Mir Farm777&quot; Mchj"/>
    <x v="0"/>
    <n v="10"/>
    <n v="40621"/>
    <n v="406210"/>
    <n v="2726000"/>
    <m/>
    <m/>
    <n v="2726000"/>
  </r>
  <r>
    <n v="2026"/>
    <n v="2"/>
    <d v="2026-02-27T00:00:00"/>
    <s v="RMF00000840"/>
    <s v="Анвар ака Б (Сам)"/>
    <s v="Самарканд_Хуршед ака"/>
    <s v="RMF"/>
    <s v="&quot;Max Mir Farm777&quot; Mchj"/>
    <x v="0"/>
    <n v="200"/>
    <n v="40621"/>
    <n v="8124200"/>
    <n v="2726000"/>
    <m/>
    <m/>
    <n v="2726000"/>
  </r>
  <r>
    <n v="2026"/>
    <n v="2"/>
    <d v="2026-02-27T00:00:00"/>
    <s v="RMF00000843"/>
    <s v="Фотима опа (Сир)"/>
    <s v="Сирдарё_Фотима опа"/>
    <s v="RMF"/>
    <s v="&quot;Shodlik-Mc&quot; Mchj"/>
    <x v="0"/>
    <n v="100"/>
    <n v="40621"/>
    <n v="4062100"/>
    <n v="2711000"/>
    <m/>
    <m/>
    <n v="2711000"/>
  </r>
  <r>
    <n v="2026"/>
    <n v="2"/>
    <d v="2026-02-27T00:00:00"/>
    <s v="RMF00000845"/>
    <s v="Хуршид ака 2 (Сам)"/>
    <s v="Самарканд_Хуршед ака 2"/>
    <s v="RMF"/>
    <s v="&quot;Bibxonim Nur Baraka&quot; Mchj"/>
    <x v="0"/>
    <n v="50"/>
    <n v="40621"/>
    <n v="2031050"/>
    <n v="1549000"/>
    <m/>
    <m/>
    <n v="1549000"/>
  </r>
  <r>
    <n v="2026"/>
    <n v="2"/>
    <d v="2026-02-27T00:00:00"/>
    <s v="RMF00000850"/>
    <s v="Хуршид ака (Сам)"/>
    <s v="Самарканд_Хуршед ака"/>
    <s v="RMF"/>
    <s v="&quot;1A-Pharm&quot; Mchj"/>
    <x v="2"/>
    <n v="30"/>
    <n v="65000"/>
    <n v="1950000"/>
    <n v="154000"/>
    <m/>
    <m/>
    <n v="154000"/>
  </r>
  <r>
    <n v="2026"/>
    <n v="2"/>
    <d v="2026-02-27T00:00:00"/>
    <s v="RMF00000850"/>
    <s v="Хуршид ака (Сам)"/>
    <s v="Самарканд_Хуршед ака"/>
    <s v="RMF"/>
    <s v="&quot;1A-Pharm&quot; Mchj"/>
    <x v="1"/>
    <n v="50"/>
    <n v="120000"/>
    <n v="6000000"/>
    <n v="570000"/>
    <m/>
    <m/>
    <n v="570000"/>
  </r>
  <r>
    <n v="2026"/>
    <n v="2"/>
    <d v="2026-02-27T00:00:00"/>
    <s v="RMF00000850"/>
    <s v="Хуршид ака (Сам)"/>
    <s v="Самарканд_Хуршед ака"/>
    <s v="RMF"/>
    <s v="&quot;1A-Pharm&quot; Mchj"/>
    <x v="4"/>
    <n v="50"/>
    <n v="90000"/>
    <n v="4500000"/>
    <n v="394000"/>
    <m/>
    <m/>
    <n v="394000"/>
  </r>
  <r>
    <n v="2026"/>
    <n v="2"/>
    <d v="2026-02-27T00:00:00"/>
    <s v="RMF00000850"/>
    <s v="Хуршид ака (Сам)"/>
    <s v="Самарканд_Хуршед ака"/>
    <s v="RMF"/>
    <s v="&quot;1A-Pharm&quot; Mchj"/>
    <x v="3"/>
    <n v="40"/>
    <n v="64700"/>
    <n v="2588000"/>
    <n v="219000"/>
    <m/>
    <m/>
    <n v="219000"/>
  </r>
  <r>
    <n v="2026"/>
    <n v="3"/>
    <d v="2026-03-02T00:00:00"/>
    <s v="RMF00000854"/>
    <s v="Анвар ака Б (Сам)"/>
    <s v="Самарканд_Хуршед ака"/>
    <s v="RMF"/>
    <s v="&quot;Best Dominant Farm&quot; Mchj"/>
    <x v="0"/>
    <n v="87"/>
    <n v="40621"/>
    <n v="3534027"/>
    <n v="1187000"/>
    <m/>
    <m/>
    <n v="1187000"/>
  </r>
  <r>
    <n v="2026"/>
    <n v="3"/>
    <d v="2026-03-03T00:00:00"/>
    <s v="RMF00000868"/>
    <s v="Жавохир ака( Сам)"/>
    <s v="Самарканд_Хуршед ака 2"/>
    <s v="RMF"/>
    <s v="&quot;Jannat Shifo&quot; Mchj"/>
    <x v="2"/>
    <n v="50"/>
    <n v="65000"/>
    <n v="3250000"/>
    <n v="771000"/>
    <m/>
    <m/>
    <n v="771000"/>
  </r>
  <r>
    <n v="2026"/>
    <n v="3"/>
    <d v="2026-03-03T00:00:00"/>
    <s v="RMF00000870"/>
    <s v="Анвар ака (Срх)"/>
    <s v="Сурхондарьё_Анвар ака"/>
    <s v="RMF"/>
    <s v="&quot;Nazarbek - Med - Farm&quot; Xk"/>
    <x v="2"/>
    <n v="10"/>
    <n v="65000"/>
    <n v="650000"/>
    <n v="380000"/>
    <m/>
    <m/>
    <n v="380000"/>
  </r>
  <r>
    <n v="2026"/>
    <n v="3"/>
    <d v="2026-03-03T00:00:00"/>
    <s v="RMF00000876"/>
    <s v="Шахло опа (Сам)"/>
    <s v="Самарканд_Хуршед ака 3"/>
    <s v="RMF"/>
    <s v="&quot;Asad Shifo-Davo&quot; Mchj"/>
    <x v="3"/>
    <n v="20"/>
    <n v="64700"/>
    <n v="1294000"/>
    <n v="799000"/>
    <m/>
    <m/>
    <n v="799000"/>
  </r>
  <r>
    <n v="2026"/>
    <n v="3"/>
    <d v="2026-03-03T00:00:00"/>
    <s v="RMF00000878"/>
    <s v="Хуршид ака 2 (Сам)"/>
    <s v="Самарканд_Хуршед ака 2"/>
    <s v="RMF"/>
    <s v="&quot;Farmadok Diabet&quot; Mchj"/>
    <x v="2"/>
    <n v="100"/>
    <n v="65000"/>
    <n v="6500000"/>
    <n v="1671000"/>
    <m/>
    <m/>
    <n v="1671000"/>
  </r>
  <r>
    <n v="2026"/>
    <n v="3"/>
    <d v="2026-03-04T00:00:00"/>
    <s v="RMF00000896"/>
    <s v="Анвар ака (Срх)"/>
    <s v="Сурхондарьё_Анвар ака"/>
    <s v="RMF"/>
    <s v="&quot;Nodirbek&quot; Xk"/>
    <x v="2"/>
    <n v="20"/>
    <n v="65000"/>
    <n v="1300000"/>
    <n v="759000"/>
    <m/>
    <m/>
    <n v="759000"/>
  </r>
  <r>
    <n v="2026"/>
    <n v="3"/>
    <d v="2026-03-05T00:00:00"/>
    <s v="RMF00000903"/>
    <s v="Севара опа (Сам)"/>
    <s v="Самарканд_Хуршед ака"/>
    <s v="RMF"/>
    <s v="&quot;Kamol Gold Farm&quot; Mchj"/>
    <x v="0"/>
    <n v="40"/>
    <n v="40621"/>
    <n v="1624840"/>
    <n v="1239000"/>
    <m/>
    <m/>
    <n v="1239000"/>
  </r>
  <r>
    <n v="2026"/>
    <n v="3"/>
    <d v="2026-03-06T00:00:00"/>
    <s v="RMF00000920"/>
    <s v="Жавохир ака( Сам)"/>
    <s v="Самарканд_Хуршед ака 2"/>
    <s v="RMF"/>
    <s v="&quot;Smile Trade&quot; Mchj"/>
    <x v="4"/>
    <n v="87"/>
    <n v="90000"/>
    <n v="7830000"/>
    <n v="1041000"/>
    <m/>
    <m/>
    <n v="1041000"/>
  </r>
  <r>
    <n v="2026"/>
    <n v="3"/>
    <d v="2026-03-06T00:00:00"/>
    <s v="RMF00000925"/>
    <s v="Рустам ака (Т.О)"/>
    <s v="Таш.Обл_Рустам ака (S)"/>
    <s v="RMF"/>
    <s v="&quot;Dilnura Nur Farm&quot; Xk"/>
    <x v="4"/>
    <n v="40"/>
    <n v="90000"/>
    <n v="3600000"/>
    <n v="1007000"/>
    <m/>
    <m/>
    <n v="1007000"/>
  </r>
  <r>
    <n v="2026"/>
    <n v="3"/>
    <d v="2026-03-06T00:00:00"/>
    <s v="RMF00000933"/>
    <s v="Жавохир ака( Сам)"/>
    <s v="Самарканд_Хуршед ака 2"/>
    <s v="RMF"/>
    <s v="&quot;Bulungur Diabet Farm&quot; Mchj"/>
    <x v="4"/>
    <n v="50"/>
    <n v="90000"/>
    <n v="4500000"/>
    <n v="1259000"/>
    <m/>
    <m/>
    <n v="1259000"/>
  </r>
  <r>
    <n v="2026"/>
    <n v="3"/>
    <d v="2026-03-10T00:00:00"/>
    <s v="RMF00000939"/>
    <s v="Севара опа (Сам)"/>
    <s v="Самарканд_Хуршед ака"/>
    <s v="RMF"/>
    <s v="&quot;Kamol Gold Farm&quot; Mchj"/>
    <x v="0"/>
    <n v="30"/>
    <n v="40621"/>
    <n v="1218630"/>
    <n v="929000"/>
    <m/>
    <m/>
    <n v="929000"/>
  </r>
  <r>
    <n v="2026"/>
    <n v="3"/>
    <d v="2026-03-10T00:00:00"/>
    <s v="RMF00000942"/>
    <s v="Хуршид ака 2 (Сам)"/>
    <s v="Самарканд_Хуршед ака 2"/>
    <s v="RMF"/>
    <s v="&quot;Bibxonim Nur Baraka&quot; Mchj"/>
    <x v="2"/>
    <n v="100"/>
    <n v="65000"/>
    <n v="6500000"/>
    <n v="1619000"/>
    <m/>
    <m/>
    <n v="1619000"/>
  </r>
  <r>
    <n v="2026"/>
    <n v="3"/>
    <d v="2026-03-10T00:00:00"/>
    <s v="RMF00000943"/>
    <s v="Жонибек ака (Анд) S"/>
    <s v="Андижон_Жонибек ака (S)"/>
    <s v="RMF"/>
    <s v="&quot;MAKRO PHARMASEUITICAL&quot; mas'uliyati cheklangan jamiyati"/>
    <x v="2"/>
    <n v="100"/>
    <n v="65000"/>
    <n v="6500000"/>
    <n v="3797000"/>
    <m/>
    <m/>
    <n v="3797000"/>
  </r>
  <r>
    <n v="2026"/>
    <n v="3"/>
    <d v="2026-03-11T00:00:00"/>
    <s v="RMF00000953"/>
    <s v="Шахло опа (Сам)"/>
    <s v="Самарканд_Хуршед ака 3"/>
    <s v="RMF"/>
    <s v="MCHJ Muxlisa Universal Farm Servis"/>
    <x v="3"/>
    <n v="30"/>
    <n v="64700"/>
    <n v="1941000"/>
    <n v="533000"/>
    <m/>
    <m/>
    <n v="533000"/>
  </r>
  <r>
    <n v="2026"/>
    <n v="3"/>
    <d v="2026-03-11T00:00:00"/>
    <s v="RMF00000957"/>
    <s v="Баходир ака (Фр)"/>
    <s v="Кукон_Баходирхон ака"/>
    <s v="RMF"/>
    <s v="Al-Xikmat Shifo Хусусий Фирма"/>
    <x v="2"/>
    <n v="15"/>
    <n v="65000"/>
    <n v="975000"/>
    <n v="209000"/>
    <m/>
    <m/>
    <n v="209000"/>
  </r>
  <r>
    <n v="2026"/>
    <n v="3"/>
    <d v="2026-03-12T00:00:00"/>
    <s v="RMF00000964"/>
    <s v="Гулшода опа (Нав)"/>
    <s v="Навоий_Гулшода опа"/>
    <s v="RMF"/>
    <s v="&quot;Murat Farm&quot; Mchj"/>
    <x v="1"/>
    <n v="10"/>
    <n v="120000"/>
    <n v="1200000"/>
    <n v="366000"/>
    <m/>
    <m/>
    <n v="366000"/>
  </r>
  <r>
    <n v="2026"/>
    <n v="3"/>
    <d v="2026-03-12T00:00:00"/>
    <s v="RMF00000964"/>
    <s v="Гулшода опа (Нав)"/>
    <s v="Навоий_Гулшода опа"/>
    <s v="RMF"/>
    <s v="&quot;Murat Farm&quot; Mchj"/>
    <x v="2"/>
    <n v="10"/>
    <n v="65000"/>
    <n v="650000"/>
    <n v="170000"/>
    <m/>
    <m/>
    <n v="170000"/>
  </r>
  <r>
    <n v="2026"/>
    <n v="3"/>
    <d v="2026-03-12T00:00:00"/>
    <s v="RMF00000968"/>
    <s v="Хуршид ака (Сам)"/>
    <s v="Самарканд_Хуршед ака"/>
    <s v="RMF"/>
    <s v="&quot;Iyman Pharm Servis&quot; Mchj"/>
    <x v="0"/>
    <n v="83"/>
    <n v="40621"/>
    <n v="3371543"/>
    <n v="1125000"/>
    <m/>
    <m/>
    <n v="1125000"/>
  </r>
  <r>
    <n v="2026"/>
    <n v="3"/>
    <d v="2026-03-12T00:00:00"/>
    <s v="RMF00000968"/>
    <s v="Хуршид ака (Сам)"/>
    <s v="Самарканд_Хуршед ака"/>
    <s v="RMF"/>
    <s v="&quot;Iyman Pharm Servis&quot; Mchj"/>
    <x v="0"/>
    <n v="117"/>
    <n v="40621"/>
    <n v="4752657"/>
    <n v="1125000"/>
    <m/>
    <m/>
    <n v="1125000"/>
  </r>
  <r>
    <n v="2026"/>
    <n v="3"/>
    <d v="2026-03-12T00:00:00"/>
    <s v="RMF00000969"/>
    <s v="Хуршид ака (Сам)"/>
    <s v="Самарканд_Хуршед ака"/>
    <s v="RMF"/>
    <s v="&quot;Dreem Pharmacy&quot; Mchj"/>
    <x v="0"/>
    <n v="227"/>
    <n v="40621"/>
    <n v="9220967"/>
    <n v="2261000"/>
    <m/>
    <m/>
    <n v="2261000"/>
  </r>
  <r>
    <n v="2026"/>
    <n v="3"/>
    <d v="2026-03-12T00:00:00"/>
    <s v="RMF00000969"/>
    <s v="Хуршид ака (Сам)"/>
    <s v="Самарканд_Хуршед ака"/>
    <s v="RMF"/>
    <s v="&quot;Dreem Pharmacy&quot; Mchj"/>
    <x v="0"/>
    <n v="73"/>
    <n v="40621"/>
    <n v="2965333"/>
    <n v="2261000"/>
    <m/>
    <m/>
    <n v="2261000"/>
  </r>
  <r>
    <n v="2026"/>
    <n v="3"/>
    <d v="2026-03-12T00:00:00"/>
    <s v="RMF00000972"/>
    <s v="Гулшода опа (Нав)"/>
    <s v="Навоий_Гулшода опа"/>
    <s v="RMF"/>
    <s v="&quot;Sandi Farm&quot; Mchj"/>
    <x v="2"/>
    <n v="10"/>
    <n v="65000"/>
    <n v="650000"/>
    <n v="81000"/>
    <m/>
    <m/>
    <n v="81000"/>
  </r>
  <r>
    <n v="2026"/>
    <n v="3"/>
    <d v="2026-03-12T00:00:00"/>
    <s v="RMF00000972"/>
    <s v="Гулшода опа (Нав)"/>
    <s v="Навоий_Гулшода опа"/>
    <s v="RMF"/>
    <s v="&quot;Sandi Farm&quot; Mchj"/>
    <x v="1"/>
    <n v="10"/>
    <n v="120000"/>
    <n v="1200000"/>
    <n v="174000"/>
    <m/>
    <m/>
    <n v="174000"/>
  </r>
  <r>
    <n v="2026"/>
    <n v="3"/>
    <d v="2026-03-13T00:00:00"/>
    <s v="RMF00000976"/>
    <s v="Хуршид ака 2 (Сам)"/>
    <s v="Самарканд_Хуршед ака 2"/>
    <s v="RMF"/>
    <s v="&quot;Nobilis Pharma&quot; Mchj"/>
    <x v="4"/>
    <n v="20"/>
    <n v="90000"/>
    <n v="1800000"/>
    <n v="504000"/>
    <m/>
    <m/>
    <n v="504000"/>
  </r>
  <r>
    <n v="2026"/>
    <n v="3"/>
    <d v="2026-03-13T00:00:00"/>
    <s v="RMF00000976"/>
    <s v="Хуршид ака 2 (Сам)"/>
    <s v="Самарканд_Хуршед ака 2"/>
    <s v="RMF"/>
    <s v="&quot;Nobilis Pharma&quot; Mchj"/>
    <x v="2"/>
    <n v="30"/>
    <n v="65000"/>
    <n v="1950000"/>
    <n v="501000"/>
    <m/>
    <m/>
    <n v="501000"/>
  </r>
  <r>
    <n v="2026"/>
    <n v="3"/>
    <d v="2026-03-13T00:00:00"/>
    <s v="RMF00000980"/>
    <s v="Хуршид ака 2 (Сам)"/>
    <s v="Самарканд_Хуршед ака 2"/>
    <s v="RMF"/>
    <s v="&quot;Bibxonim Nur Baraka&quot; Mchj"/>
    <x v="0"/>
    <n v="50"/>
    <n v="40621"/>
    <n v="2031050"/>
    <n v="779000"/>
    <m/>
    <m/>
    <n v="779000"/>
  </r>
  <r>
    <n v="2026"/>
    <n v="3"/>
    <d v="2026-03-13T00:00:00"/>
    <s v="RMF00000986"/>
    <s v="Хуршид ака 2 (Сам)"/>
    <s v="Самарканд_Хуршед ака 2"/>
    <s v="RMF"/>
    <s v="&quot;Samarqand Aziz Tabobati&quot; Mchj"/>
    <x v="2"/>
    <n v="15"/>
    <n v="65000"/>
    <n v="975000"/>
    <n v="251000"/>
    <m/>
    <m/>
    <n v="251000"/>
  </r>
  <r>
    <n v="2026"/>
    <n v="3"/>
    <d v="2026-03-13T00:00:00"/>
    <s v="RMF00000986"/>
    <s v="Хуршид ака 2 (Сам)"/>
    <s v="Самарканд_Хуршед ака 2"/>
    <s v="RMF"/>
    <s v="&quot;Samarqand Aziz Tabobati&quot; Mchj"/>
    <x v="4"/>
    <n v="10"/>
    <n v="90000"/>
    <n v="900000"/>
    <n v="252000"/>
    <m/>
    <m/>
    <n v="252000"/>
  </r>
  <r>
    <n v="2026"/>
    <n v="3"/>
    <d v="2026-03-13T00:00:00"/>
    <s v="RMF00000987"/>
    <s v="Мехрибон опа (Нк)"/>
    <s v="Нукус_Мехрибон опа"/>
    <s v="RMF"/>
    <s v="&quot;Pintok Medical&quot; Mchj"/>
    <x v="4"/>
    <n v="100"/>
    <n v="90000"/>
    <n v="9000000"/>
    <n v="1534000"/>
    <m/>
    <m/>
    <n v="1534000"/>
  </r>
  <r>
    <n v="2026"/>
    <n v="3"/>
    <d v="2026-03-13T00:00:00"/>
    <s v="RMF00000988"/>
    <s v="Хуршид ака 2 (Сам)"/>
    <s v="Самарканд_Хуршед ака 2"/>
    <s v="RMF"/>
    <s v="Dr Samandar"/>
    <x v="2"/>
    <n v="60"/>
    <n v="65000"/>
    <n v="3900000"/>
    <n v="300000"/>
    <m/>
    <m/>
    <n v="300000"/>
  </r>
  <r>
    <n v="2026"/>
    <n v="3"/>
    <d v="2026-03-13T00:00:00"/>
    <s v="RMF00000988"/>
    <s v="Хуршид ака 2 (Сам)"/>
    <s v="Самарканд_Хуршед ака 2"/>
    <s v="RMF"/>
    <s v="Dr Samandar"/>
    <x v="4"/>
    <n v="30"/>
    <n v="90000"/>
    <n v="2700000"/>
    <n v="755000"/>
    <m/>
    <m/>
    <n v="755000"/>
  </r>
  <r>
    <n v="2026"/>
    <n v="3"/>
    <d v="2026-03-13T00:00:00"/>
    <s v="RMF00000988"/>
    <s v="Хуршид ака 2 (Сам)"/>
    <s v="Самарканд_Хуршед ака 2"/>
    <s v="RMF"/>
    <s v="Dr Samandar"/>
    <x v="2"/>
    <n v="18"/>
    <n v="65000"/>
    <n v="1170000"/>
    <n v="300000"/>
    <m/>
    <m/>
    <n v="300000"/>
  </r>
  <r>
    <n v="2026"/>
    <n v="3"/>
    <d v="2026-03-16T00:00:00"/>
    <s v="RMF00001004"/>
    <s v="Севара опа (Сам)"/>
    <s v="Самарканд_Хуршед ака"/>
    <s v="RMF"/>
    <s v="&quot;Kamol Gold Farm&quot; Mchj"/>
    <x v="0"/>
    <n v="35"/>
    <n v="40621"/>
    <n v="1421735"/>
    <n v="1084000"/>
    <m/>
    <m/>
    <n v="1084000"/>
  </r>
  <r>
    <n v="2026"/>
    <n v="3"/>
    <d v="2026-03-16T00:00:00"/>
    <s v="RMF00001005"/>
    <s v="Жавохир ака( Сам)"/>
    <s v="Самарканд_Хуршед ака 2"/>
    <s v="RMF"/>
    <s v="&quot;Shukrona Shifo S Y&quot; Mchj"/>
    <x v="2"/>
    <n v="50"/>
    <n v="65000"/>
    <n v="3250000"/>
    <n v="836000"/>
    <m/>
    <m/>
    <n v="836000"/>
  </r>
  <r>
    <n v="2026"/>
    <n v="3"/>
    <d v="2026-03-16T00:00:00"/>
    <s v="RMF00001005"/>
    <s v="Жавохир ака( Сам)"/>
    <s v="Самарканд_Хуршед ака 2"/>
    <s v="RMF"/>
    <s v="&quot;Shukrona Shifo S Y&quot; Mchj"/>
    <x v="4"/>
    <n v="20"/>
    <n v="90000"/>
    <n v="1800000"/>
    <n v="504000"/>
    <m/>
    <m/>
    <n v="504000"/>
  </r>
  <r>
    <n v="2026"/>
    <n v="3"/>
    <d v="2026-03-16T00:00:00"/>
    <s v="RMF00001007"/>
    <s v="Шахло опа (Сам)"/>
    <s v="Самарканд_Хуршед ака 3"/>
    <s v="RMF"/>
    <s v="&quot;Mir Umar&quot; Xk"/>
    <x v="3"/>
    <n v="50"/>
    <n v="64700"/>
    <n v="3235000"/>
    <n v="879000"/>
    <m/>
    <m/>
    <n v="879000"/>
  </r>
  <r>
    <n v="2026"/>
    <n v="3"/>
    <d v="2026-03-16T00:00:00"/>
    <s v="RMF00001009"/>
    <s v="Анвар ака (Срх)"/>
    <s v="Сурхондарьё_Анвар ака"/>
    <s v="RMF"/>
    <s v="&quot;Muxdilxon Farm&quot; Xk"/>
    <x v="2"/>
    <n v="20"/>
    <n v="65000"/>
    <n v="1300000"/>
    <n v="422000"/>
    <m/>
    <m/>
    <n v="422000"/>
  </r>
  <r>
    <n v="2026"/>
    <n v="3"/>
    <d v="2026-03-16T00:00:00"/>
    <s v="RMF00001010"/>
    <s v="Хуршид ака 2 (Сам)"/>
    <s v="Самарканд_Хуршед ака 2"/>
    <s v="RMF"/>
    <s v="&quot;Integra Medfarm&quot; Mchj"/>
    <x v="4"/>
    <n v="20"/>
    <n v="90000"/>
    <n v="1800000"/>
    <n v="340000"/>
    <m/>
    <m/>
    <n v="340000"/>
  </r>
  <r>
    <n v="2026"/>
    <n v="3"/>
    <d v="2026-03-16T00:00:00"/>
    <s v="RMF00001010"/>
    <s v="Хуршид ака 2 (Сам)"/>
    <s v="Самарканд_Хуршед ака 2"/>
    <s v="RMF"/>
    <s v="&quot;Integra Medfarm&quot; Mchj"/>
    <x v="2"/>
    <n v="22"/>
    <n v="65000"/>
    <n v="1430000"/>
    <n v="90000"/>
    <m/>
    <m/>
    <n v="90000"/>
  </r>
  <r>
    <n v="2026"/>
    <n v="3"/>
    <d v="2026-03-16T00:00:00"/>
    <s v="RMF00001010"/>
    <s v="Хуршид ака 2 (Сам)"/>
    <s v="Самарканд_Хуршед ака 2"/>
    <s v="RMF"/>
    <s v="&quot;Integra Medfarm&quot; Mchj"/>
    <x v="2"/>
    <n v="8"/>
    <n v="65000"/>
    <n v="520000"/>
    <n v="90000"/>
    <m/>
    <m/>
    <n v="90000"/>
  </r>
  <r>
    <n v="2026"/>
    <n v="3"/>
    <d v="2026-03-16T00:00:00"/>
    <s v="RMF00001011"/>
    <s v="Хуршид ака (Сам)"/>
    <s v="Самарканд_Хуршед ака"/>
    <s v="RMF"/>
    <s v="&quot;Oqtosh Osiyo Farm&quot; Xk"/>
    <x v="4"/>
    <n v="20"/>
    <n v="90000"/>
    <n v="1800000"/>
    <n v="504000"/>
    <m/>
    <m/>
    <n v="504000"/>
  </r>
  <r>
    <n v="2026"/>
    <n v="3"/>
    <d v="2026-03-16T00:00:00"/>
    <s v="RMF00001012"/>
    <s v="Анвар ака (Срх)"/>
    <s v="Сурхондарьё_Анвар ака"/>
    <s v="RMF"/>
    <s v="&quot;Nodirbek&quot; Xk"/>
    <x v="2"/>
    <n v="20"/>
    <n v="65000"/>
    <n v="1300000"/>
    <n v="759000"/>
    <m/>
    <m/>
    <n v="759000"/>
  </r>
  <r>
    <n v="2026"/>
    <n v="3"/>
    <d v="2026-03-17T00:00:00"/>
    <s v="RMF00001016"/>
    <s v="Нафосат опа (Бух)"/>
    <s v="Бухоро_Нафосат опа"/>
    <s v="RMF"/>
    <s v="&quot;Nigina Farm Sanoat&quot; Xk"/>
    <x v="4"/>
    <n v="50"/>
    <n v="90000"/>
    <n v="4500000"/>
    <n v="2861000"/>
    <m/>
    <m/>
    <n v="2861000"/>
  </r>
  <r>
    <n v="2026"/>
    <n v="3"/>
    <d v="2026-03-17T00:00:00"/>
    <s v="RMF00001020"/>
    <s v="Фотима опа (Сир)"/>
    <s v="Сирдарё_Фотима опа"/>
    <s v="RMF"/>
    <s v="&quot;Shifobaxsh&quot; Xk"/>
    <x v="0"/>
    <n v="50"/>
    <n v="40621"/>
    <n v="2031050"/>
    <n v="548000"/>
    <m/>
    <m/>
    <n v="548000"/>
  </r>
  <r>
    <n v="2026"/>
    <n v="3"/>
    <d v="2026-03-17T00:00:00"/>
    <s v="RMF00001024"/>
    <s v="Косимжон ака (Фр)"/>
    <s v="Кукон_Бахромжон ака"/>
    <s v="RMF"/>
    <s v="&quot;Konizar Farm&quot; Xk"/>
    <x v="4"/>
    <n v="30"/>
    <n v="90000"/>
    <n v="2700000"/>
    <n v="1717000"/>
    <m/>
    <m/>
    <n v="1717000"/>
  </r>
  <r>
    <n v="2026"/>
    <n v="3"/>
    <d v="2026-03-17T00:00:00"/>
    <s v="RMF00001026"/>
    <s v="Фотима опа (Сир)"/>
    <s v="Сирдарё_Фотима опа"/>
    <s v="RMF"/>
    <s v="&quot;Yaqin Pharm&quot; Mchj"/>
    <x v="2"/>
    <n v="20"/>
    <n v="65000"/>
    <n v="1300000"/>
    <n v="334000"/>
    <m/>
    <m/>
    <n v="334000"/>
  </r>
  <r>
    <n v="2026"/>
    <n v="3"/>
    <d v="2026-03-17T00:00:00"/>
    <s v="RMF00001027"/>
    <s v="Шохрух ака (Хор)"/>
    <s v="Хоразм_Улугбек ака"/>
    <s v="RMF"/>
    <s v="&quot;Intermed Pharmaceutical&quot; Mchj"/>
    <x v="4"/>
    <n v="200"/>
    <n v="90000"/>
    <n v="18000000"/>
    <n v="477000"/>
    <m/>
    <m/>
    <n v="477000"/>
  </r>
  <r>
    <n v="2026"/>
    <n v="3"/>
    <d v="2026-03-17T00:00:00"/>
    <s v="RMF00001030"/>
    <s v="Рустам ака (Т.О)"/>
    <s v="Таш.Обл_Рустам ака (S)"/>
    <s v="RMF"/>
    <s v="&quot;Fartuna-Ramz-Farm&quot; Mchj"/>
    <x v="2"/>
    <n v="10"/>
    <n v="65000"/>
    <n v="650000"/>
    <n v="380000"/>
    <m/>
    <m/>
    <n v="380000"/>
  </r>
  <r>
    <n v="2026"/>
    <n v="3"/>
    <d v="2026-03-18T00:00:00"/>
    <s v="RMF00001031"/>
    <s v="Фотима опа (Сир)"/>
    <s v="Сирдарё_Фотима опа"/>
    <s v="RMF"/>
    <s v="&quot;Baxtiyor Turg'unovich&quot; Ktxf"/>
    <x v="2"/>
    <n v="50"/>
    <n v="65000"/>
    <n v="3250000"/>
    <n v="1898000"/>
    <m/>
    <m/>
    <n v="1898000"/>
  </r>
  <r>
    <n v="2026"/>
    <n v="3"/>
    <d v="2026-03-18T00:00:00"/>
    <s v="RMF00001037"/>
    <s v="Баходир ака (Фр)"/>
    <s v="Кукон_Баходирхон ака"/>
    <s v="RMF"/>
    <s v="&quot;Niyozbek Farm&quot; Mchj"/>
    <x v="2"/>
    <n v="10"/>
    <n v="65000"/>
    <n v="650000"/>
    <n v="358000"/>
    <m/>
    <m/>
    <n v="358000"/>
  </r>
  <r>
    <n v="2026"/>
    <n v="3"/>
    <d v="2026-03-18T00:00:00"/>
    <s v="RMF00001044"/>
    <s v="Шахло опа (Сам)"/>
    <s v="Самарканд_Хуршед ака 3"/>
    <s v="RMF"/>
    <s v="MCHJ Muxlisa Universal Farm Servis"/>
    <x v="3"/>
    <n v="100"/>
    <n v="64700"/>
    <n v="6470000"/>
    <n v="945000"/>
    <m/>
    <m/>
    <n v="945000"/>
  </r>
  <r>
    <n v="2026"/>
    <n v="3"/>
    <d v="2026-03-18T00:00:00"/>
    <s v="RMF00001046"/>
    <s v="Косимжон ака (Фр)"/>
    <s v="Кукон_Бахромжон ака"/>
    <s v="RMF"/>
    <s v="&quot;Najot&quot; Xk"/>
    <x v="4"/>
    <n v="5"/>
    <n v="90000"/>
    <n v="450000"/>
    <n v="286000"/>
    <m/>
    <m/>
    <n v="286000"/>
  </r>
  <r>
    <n v="2026"/>
    <n v="3"/>
    <d v="2026-03-18T00:00:00"/>
    <s v="RMF00001050"/>
    <s v="Анвар ака Б (Сам)"/>
    <s v="Самарканд_Хуршед ака"/>
    <s v="RMF"/>
    <s v="&quot;Grand Javoxir Pharm&quot; Mchj"/>
    <x v="0"/>
    <n v="118"/>
    <n v="40621"/>
    <n v="4793278"/>
    <n v="1608000"/>
    <m/>
    <m/>
    <n v="1608000"/>
  </r>
  <r>
    <n v="2026"/>
    <n v="3"/>
    <d v="2026-03-18T00:00:00"/>
    <s v="RMF00001052"/>
    <s v="Хуршид ака (Сам)"/>
    <s v="Самарканд_Хуршед ака"/>
    <s v="RMF"/>
    <s v="&quot;Sindorbek Pharm&quot; Mchj"/>
    <x v="0"/>
    <n v="100"/>
    <n v="40621"/>
    <n v="4062100"/>
    <n v="1386000"/>
    <m/>
    <m/>
    <n v="1386000"/>
  </r>
  <r>
    <n v="2026"/>
    <n v="3"/>
    <d v="2026-03-19T00:00:00"/>
    <s v="RMF00001054"/>
    <s v="Равшан ака (Сам)"/>
    <s v="Самарканд_Хуршед ака 2"/>
    <s v="RMF"/>
    <s v="&quot;Sarlochin Pharm&quot; Mchj"/>
    <x v="0"/>
    <n v="30"/>
    <n v="40621"/>
    <n v="1218630"/>
    <n v="319000"/>
    <m/>
    <m/>
    <n v="319000"/>
  </r>
  <r>
    <n v="2026"/>
    <n v="3"/>
    <d v="2026-03-19T00:00:00"/>
    <s v="RMF00001055"/>
    <s v="Эхсон ака (Сам)"/>
    <s v="Самарканд_Хуршед ака 2"/>
    <s v="RMF"/>
    <s v="&quot;Isayev Farm 777&quot; Mchj"/>
    <x v="4"/>
    <n v="20"/>
    <n v="90000"/>
    <n v="1800000"/>
    <n v="504000"/>
    <m/>
    <m/>
    <n v="504000"/>
  </r>
  <r>
    <n v="2026"/>
    <n v="3"/>
    <d v="2026-03-19T00:00:00"/>
    <s v="RMF00001055"/>
    <s v="Эхсон ака (Сам)"/>
    <s v="Самарканд_Хуршед ака 2"/>
    <s v="RMF"/>
    <s v="&quot;Isayev Farm 777&quot; Mchj"/>
    <x v="0"/>
    <n v="20"/>
    <n v="40621"/>
    <n v="812420"/>
    <n v="273000"/>
    <m/>
    <m/>
    <n v="273000"/>
  </r>
  <r>
    <n v="2026"/>
    <n v="3"/>
    <d v="2026-03-24T00:00:00"/>
    <s v="RMF00001062"/>
    <s v="Севара опа (Сам)"/>
    <s v="Самарканд_Хуршед ака"/>
    <s v="RMF"/>
    <s v="&quot;Kamol Gold Farm&quot; Mchj"/>
    <x v="0"/>
    <n v="20"/>
    <n v="40621"/>
    <n v="812420"/>
    <n v="620000"/>
    <m/>
    <m/>
    <n v="620000"/>
  </r>
  <r>
    <n v="2026"/>
    <n v="3"/>
    <d v="2026-03-24T00:00:00"/>
    <s v="RMF00001064"/>
    <s v="Жавохир ака( Сам)"/>
    <s v="Самарканд_Хуршед ака 2"/>
    <s v="RMF"/>
    <s v="&quot;Smile Trade&quot; Mchj"/>
    <x v="4"/>
    <n v="50"/>
    <n v="90000"/>
    <n v="4500000"/>
    <n v="1259000"/>
    <m/>
    <m/>
    <n v="1259000"/>
  </r>
  <r>
    <n v="2026"/>
    <n v="3"/>
    <d v="2026-03-24T00:00:00"/>
    <s v="RMF00001066"/>
    <s v="Фотима опа (Сир)"/>
    <s v="Сирдарё_Фотима опа"/>
    <s v="RMF"/>
    <s v="&quot;Istiqlol Farm Invest&quot; Mchj"/>
    <x v="2"/>
    <n v="10"/>
    <n v="65000"/>
    <n v="650000"/>
    <n v="97000"/>
    <m/>
    <m/>
    <n v="97000"/>
  </r>
  <r>
    <n v="2026"/>
    <n v="3"/>
    <d v="2026-03-24T00:00:00"/>
    <s v="RMF00001066"/>
    <s v="Фотима опа (Сир)"/>
    <s v="Сирдарё_Фотима опа"/>
    <s v="RMF"/>
    <s v="&quot;Istiqlol Farm Invest&quot; Mchj"/>
    <x v="2"/>
    <n v="20"/>
    <n v="65000"/>
    <n v="1300000"/>
    <n v="97000"/>
    <m/>
    <m/>
    <n v="97000"/>
  </r>
  <r>
    <n v="2026"/>
    <n v="3"/>
    <d v="2026-03-25T00:00:00"/>
    <s v="RMF00001099"/>
    <s v="Нафосат опа (Бух)"/>
    <s v="Бухоро_Нафосат опа"/>
    <s v="RMF"/>
    <s v="&quot;Madina- Farm Sintez&quot; Mchj"/>
    <x v="4"/>
    <n v="50"/>
    <n v="90000"/>
    <n v="4500000"/>
    <n v="5000"/>
    <m/>
    <m/>
    <n v="5000"/>
  </r>
  <r>
    <n v="2026"/>
    <n v="3"/>
    <d v="2026-03-25T00:00:00"/>
    <s v="RMF00001101"/>
    <s v="Хуршид ака 2 (Сам)"/>
    <s v="Самарканд_Хуршед ака 2"/>
    <s v="RMF"/>
    <s v="&quot;Jannat Shifo&quot; Mchj"/>
    <x v="4"/>
    <n v="30"/>
    <n v="90000"/>
    <n v="2700000"/>
    <n v="1717000"/>
    <m/>
    <m/>
    <n v="1717000"/>
  </r>
  <r>
    <n v="2026"/>
    <n v="3"/>
    <d v="2026-03-25T00:00:00"/>
    <s v="RMF00001102"/>
    <s v="Жонибек ака (Анд) S"/>
    <s v="Андижон_Жонибек ака (S)"/>
    <s v="RMF"/>
    <s v="&quot;Mirziyo Alisher Farm&quot; Mchj"/>
    <x v="3"/>
    <n v="10"/>
    <n v="64700"/>
    <n v="647000"/>
    <n v="400000"/>
    <m/>
    <m/>
    <n v="400000"/>
  </r>
  <r>
    <n v="2026"/>
    <n v="3"/>
    <d v="2026-03-25T00:00:00"/>
    <s v="RMF00001104"/>
    <s v="Анвар ака (Срх)"/>
    <s v="Сурхондарьё_Анвар ака"/>
    <s v="RMF"/>
    <s v="&quot;Nabiba-Davo&quot; Xk"/>
    <x v="1"/>
    <n v="40"/>
    <n v="120000"/>
    <n v="4800000"/>
    <n v="1497000"/>
    <m/>
    <m/>
    <n v="1497000"/>
  </r>
  <r>
    <n v="2026"/>
    <n v="3"/>
    <d v="2026-03-25T00:00:00"/>
    <s v="RMF00001105"/>
    <s v="Хуршид ака (Сам)"/>
    <s v="Самарканд_Хуршед ака"/>
    <s v="RMF"/>
    <s v="&quot;Jasmina Aslbek Parizoda&quot; Mchj"/>
    <x v="2"/>
    <n v="20"/>
    <n v="65000"/>
    <n v="1300000"/>
    <n v="741000"/>
    <m/>
    <m/>
    <n v="741000"/>
  </r>
  <r>
    <n v="2026"/>
    <n v="3"/>
    <d v="2026-03-25T00:00:00"/>
    <s v="RMF00001105"/>
    <s v="Хуршид ака (Сам)"/>
    <s v="Самарканд_Хуршед ака"/>
    <s v="RMF"/>
    <s v="&quot;Jasmina Aslbek Parizoda&quot; Mchj"/>
    <x v="4"/>
    <n v="12"/>
    <n v="90000"/>
    <n v="1080000"/>
    <n v="670000"/>
    <m/>
    <m/>
    <n v="670000"/>
  </r>
  <r>
    <n v="2026"/>
    <n v="3"/>
    <d v="2026-03-25T00:00:00"/>
    <s v="RMF00001106"/>
    <s v="Фотима опа (Сир)"/>
    <s v="Сирдарё_Фотима опа"/>
    <s v="RMF"/>
    <s v="&quot;Ozodbek-Yan-Farm&quot; Xk"/>
    <x v="2"/>
    <n v="30"/>
    <n v="65000"/>
    <n v="1950000"/>
    <n v="179000"/>
    <m/>
    <m/>
    <n v="179000"/>
  </r>
  <r>
    <n v="2026"/>
    <n v="3"/>
    <d v="2026-03-25T00:00:00"/>
    <s v="RMF00001109"/>
    <s v="Машхура опа (Фр)"/>
    <s v="Фаргона_Зафаржон ака"/>
    <s v="RMF"/>
    <s v="&quot;ASH SHIFA PHARM&quot;Mchj"/>
    <x v="2"/>
    <n v="100"/>
    <n v="65000"/>
    <n v="6500000"/>
    <n v="1873000"/>
    <m/>
    <m/>
    <n v="1873000"/>
  </r>
  <r>
    <n v="2026"/>
    <n v="3"/>
    <d v="2026-03-26T00:00:00"/>
    <s v="RMF00001116"/>
    <s v="Равшан ака (Сам)"/>
    <s v="Самарканд_Хуршед ака 2"/>
    <s v="RMF"/>
    <s v="&quot;Farmadok Diabet&quot; Mchj"/>
    <x v="4"/>
    <n v="98"/>
    <n v="90000"/>
    <n v="8820000"/>
    <n v="50000"/>
    <m/>
    <m/>
    <n v="50000"/>
  </r>
  <r>
    <n v="2026"/>
    <n v="3"/>
    <d v="2026-03-26T00:00:00"/>
    <s v="RMF00001116"/>
    <s v="Равшан ака (Сам)"/>
    <s v="Самарканд_Хуршед ака 2"/>
    <s v="RMF"/>
    <s v="&quot;Farmadok Diabet&quot; Mchj"/>
    <x v="1"/>
    <n v="10"/>
    <n v="120000"/>
    <n v="1200000"/>
    <n v="361000"/>
    <m/>
    <m/>
    <n v="361000"/>
  </r>
  <r>
    <n v="2026"/>
    <n v="3"/>
    <d v="2026-03-26T00:00:00"/>
    <s v="RMF00001116"/>
    <s v="Равшан ака (Сам)"/>
    <s v="Самарканд_Хуршед ака 2"/>
    <s v="RMF"/>
    <s v="&quot;Farmadok Diabet&quot; Mchj"/>
    <x v="4"/>
    <n v="2"/>
    <n v="90000"/>
    <n v="180000"/>
    <n v="50000"/>
    <m/>
    <m/>
    <n v="50000"/>
  </r>
  <r>
    <n v="2026"/>
    <n v="3"/>
    <d v="2026-03-26T00:00:00"/>
    <s v="RMF00001120"/>
    <s v="Анвар ака (Срд)"/>
    <s v="Сурхондарьё_Анвар ака"/>
    <s v="RMF"/>
    <s v="&quot;Muxdilxon Farm&quot; Xk"/>
    <x v="2"/>
    <n v="30"/>
    <n v="65000"/>
    <n v="1950000"/>
    <n v="1139000"/>
    <m/>
    <m/>
    <n v="1139000"/>
  </r>
  <r>
    <n v="2026"/>
    <n v="3"/>
    <d v="2026-03-26T00:00:00"/>
    <s v="RMF00001121"/>
    <s v="Дилсўз опа (Кшд)"/>
    <s v="Карши_Дилсўз опа"/>
    <s v="RMF"/>
    <s v="&quot;Ain-Farm Servis&quot; Mchj"/>
    <x v="4"/>
    <n v="40"/>
    <n v="90000"/>
    <n v="3600000"/>
    <n v="1114000"/>
    <m/>
    <m/>
    <n v="1114000"/>
  </r>
  <r>
    <n v="2026"/>
    <n v="3"/>
    <d v="2026-03-26T00:00:00"/>
    <s v="RMF00001132"/>
    <s v="Нафосат опа (Бух)"/>
    <s v="Бухоро_Нафосат опа"/>
    <s v="RMF"/>
    <s v="&quot;Nigina Farm Sanoat&quot; Xk"/>
    <x v="4"/>
    <n v="100"/>
    <n v="90000"/>
    <n v="9000000"/>
    <n v="1153000"/>
    <m/>
    <m/>
    <n v="1153000"/>
  </r>
  <r>
    <n v="2026"/>
    <n v="3"/>
    <d v="2026-03-27T00:00:00"/>
    <s v="RMF00001141"/>
    <s v="Жавохир ака( Сам)"/>
    <s v="Самарканд_Хуршед ака 2"/>
    <s v="RMF"/>
    <s v="&quot;Mir Umar&quot; Xk"/>
    <x v="1"/>
    <n v="30"/>
    <n v="120000"/>
    <n v="3600000"/>
    <n v="1091000"/>
    <m/>
    <m/>
    <n v="1091000"/>
  </r>
  <r>
    <n v="2026"/>
    <n v="3"/>
    <d v="2026-03-27T00:00:00"/>
    <s v="RMF00001141"/>
    <s v="Жавохир ака( Сам)"/>
    <s v="Самарканд_Хуршед ака 2"/>
    <s v="RMF"/>
    <s v="&quot;Mir Umar&quot; Xk"/>
    <x v="4"/>
    <n v="20"/>
    <n v="90000"/>
    <n v="1800000"/>
    <n v="508000"/>
    <m/>
    <m/>
    <n v="508000"/>
  </r>
  <r>
    <n v="2026"/>
    <n v="3"/>
    <d v="2026-03-27T00:00:00"/>
    <s v="RMF00001142"/>
    <s v="Фотима опа (Сир)"/>
    <s v="Сирдарё_Фотима опа"/>
    <s v="RMF"/>
    <s v="&quot;Shodlik-Mc&quot; Mchj"/>
    <x v="0"/>
    <n v="20"/>
    <n v="40621"/>
    <n v="812420"/>
    <n v="239000"/>
    <m/>
    <m/>
    <n v="239000"/>
  </r>
  <r>
    <n v="2026"/>
    <n v="3"/>
    <d v="2026-03-27T00:00:00"/>
    <s v="RMF00001154"/>
    <s v="Умар ака (Фр)"/>
    <s v="Фаргона_Умар ака Сух"/>
    <s v="RMF"/>
    <s v="&quot;Sezon Ntd&quot; Xk"/>
    <x v="4"/>
    <n v="15"/>
    <n v="90000"/>
    <n v="1350000"/>
    <n v="483000"/>
    <m/>
    <m/>
    <n v="483000"/>
  </r>
  <r>
    <n v="2026"/>
    <n v="3"/>
    <d v="2026-03-30T00:00:00"/>
    <s v="RMF00001164"/>
    <s v="Шахло опа (Сам)"/>
    <s v="Самарканд_Хуршед ака 3"/>
    <s v="RMF"/>
    <s v="&quot;Risq Baraka Pharm&quot; Mchj"/>
    <x v="3"/>
    <n v="15"/>
    <n v="64700"/>
    <n v="970500"/>
    <n v="272000"/>
    <m/>
    <m/>
    <n v="272000"/>
  </r>
  <r>
    <n v="2026"/>
    <n v="3"/>
    <d v="2026-03-31T00:00:00"/>
    <s v="RMF00001180"/>
    <s v="Хуршид ака (Сам)"/>
    <s v="Самарканд_Хуршед ака"/>
    <s v="RMF"/>
    <s v="&quot;Al-Akbar&quot; Mchj"/>
    <x v="4"/>
    <n v="100"/>
    <n v="90000"/>
    <n v="9000000"/>
    <n v="2518000"/>
    <m/>
    <m/>
    <n v="2518000"/>
  </r>
  <r>
    <n v="2026"/>
    <n v="3"/>
    <d v="2026-03-31T00:00:00"/>
    <s v="RMF00001182"/>
    <s v="Шахло опа (Сам)"/>
    <s v="Самарканд_Хуршед ака 3"/>
    <s v="RMF"/>
    <s v="MCHJ Muxlisa Universal Farm Servis"/>
    <x v="3"/>
    <n v="50"/>
    <n v="64700"/>
    <n v="3235000"/>
    <n v="879000"/>
    <m/>
    <m/>
    <n v="879000"/>
  </r>
  <r>
    <n v="2026"/>
    <n v="3"/>
    <d v="2026-03-31T00:00:00"/>
    <s v="RMF00001185"/>
    <s v="Жонибек ака (Анд) S"/>
    <s v="Андижон_Жонибек ака (S)"/>
    <s v="RMF"/>
    <s v="&quot;Xolis Med Farm&quot; Mchj"/>
    <x v="4"/>
    <n v="35"/>
    <n v="90000"/>
    <n v="3150000"/>
    <n v="2003000"/>
    <m/>
    <m/>
    <n v="2003000"/>
  </r>
  <r>
    <n v="2026"/>
    <n v="3"/>
    <d v="2026-03-31T00:00:00"/>
    <s v="RMF00001194"/>
    <s v="Жавохир ака( Сам)"/>
    <s v="Самарканд_Хуршед ака 2"/>
    <s v="RMF"/>
    <s v="&quot;Bahora Muhammad&quot; Xk"/>
    <x v="1"/>
    <n v="10"/>
    <n v="120000"/>
    <n v="1200000"/>
    <n v="820000"/>
    <m/>
    <m/>
    <n v="820000"/>
  </r>
  <r>
    <n v="2026"/>
    <n v="4"/>
    <d v="2026-04-01T00:00:00"/>
    <s v="RMF00001208"/>
    <s v="Бехруз ака (Бух)"/>
    <s v="Бухоро_Нафосат опа"/>
    <s v="RMF"/>
    <s v="&quot;Eco Nazarbek Pharm&quot; Mas'uliyati Cheklangan Jamiyat"/>
    <x v="4"/>
    <n v="50"/>
    <n v="90000"/>
    <n v="4500000"/>
    <n v="2861000"/>
    <m/>
    <m/>
    <n v="2861000"/>
  </r>
  <r>
    <n v="2026"/>
    <n v="4"/>
    <d v="2026-04-01T00:00:00"/>
    <s v="RMF00001213"/>
    <s v="Шахло опа (Сам)"/>
    <s v="Самарканд_Хуршед ака 3"/>
    <s v="RMF"/>
    <s v="&quot;Salomatlik Sayxun Servis&quot; Mchj"/>
    <x v="3"/>
    <n v="15"/>
    <n v="64700"/>
    <n v="970500"/>
    <n v="264000"/>
    <m/>
    <m/>
    <n v="264000"/>
  </r>
  <r>
    <n v="2026"/>
    <n v="4"/>
    <d v="2026-04-02T00:00:00"/>
    <s v="RMF00001223"/>
    <s v="Нафосат опа (Сам)"/>
    <s v="Самарканд_Хуршед ака 2"/>
    <s v="RMF"/>
    <s v="&quot;Sindorbek Pharm&quot; Mchj"/>
    <x v="4"/>
    <n v="30"/>
    <n v="90000"/>
    <n v="2700000"/>
    <n v="1717000"/>
    <m/>
    <m/>
    <n v="1717000"/>
  </r>
  <r>
    <n v="2026"/>
    <n v="4"/>
    <d v="2026-04-03T00:00:00"/>
    <s v="RMF00001242"/>
    <s v="Шахло опа (Сам)"/>
    <s v="Самарканд_Хуршед ака 3"/>
    <s v="RMF"/>
    <s v="Zulfiya Ona   Farm Buznes MChJ"/>
    <x v="3"/>
    <n v="20"/>
    <n v="64700"/>
    <n v="1294000"/>
    <n v="367000"/>
    <m/>
    <m/>
    <n v="367000"/>
  </r>
  <r>
    <n v="2026"/>
    <n v="4"/>
    <d v="2026-04-03T00:00:00"/>
    <s v="RMF00001250"/>
    <s v="Жавохир ака( Сам)"/>
    <s v="Самарканд_Хуршед ака 2"/>
    <s v="RMF"/>
    <s v="&quot;Shukrona Shifo S Y&quot; Mchj"/>
    <x v="2"/>
    <n v="50"/>
    <n v="65000"/>
    <n v="3250000"/>
    <n v="835000"/>
    <m/>
    <m/>
    <n v="835000"/>
  </r>
  <r>
    <n v="2026"/>
    <n v="4"/>
    <d v="2026-04-03T00:00:00"/>
    <s v="RMF00001255"/>
    <s v="Косимжон ака (Фр)"/>
    <s v="Кукон_Бахромжон ака"/>
    <s v="RMF"/>
    <s v="&quot;Shifo&quot; Xk"/>
    <x v="4"/>
    <n v="20"/>
    <n v="90000"/>
    <n v="1800000"/>
    <n v="1144000"/>
    <m/>
    <m/>
    <n v="1144000"/>
  </r>
  <r>
    <n v="2026"/>
    <n v="4"/>
    <d v="2026-04-03T00:00:00"/>
    <s v="RMF00001259"/>
    <s v="Равшан ака (Сам)"/>
    <s v="Самарканд_Хуршед ака 2"/>
    <s v="RMF"/>
    <s v="&quot;Muxammad Dorishunos&quot; Mchj"/>
    <x v="2"/>
    <n v="10"/>
    <n v="65000"/>
    <n v="650000"/>
    <n v="681000"/>
    <m/>
    <m/>
    <n v="681000"/>
  </r>
  <r>
    <n v="2026"/>
    <n v="4"/>
    <d v="2026-04-03T00:00:00"/>
    <s v="RMF00001259"/>
    <s v="Равшан ака (Сам)"/>
    <s v="Самарканд_Хуршед ака 2"/>
    <s v="RMF"/>
    <s v="&quot;Muxammad Dorishunos&quot; Mchj"/>
    <x v="4"/>
    <n v="30"/>
    <n v="90000"/>
    <n v="2700000"/>
    <n v="770000"/>
    <m/>
    <m/>
    <n v="770000"/>
  </r>
  <r>
    <n v="2026"/>
    <n v="4"/>
    <d v="2026-04-03T00:00:00"/>
    <s v="RMF00001259"/>
    <s v="Равшан ака (Сам)"/>
    <s v="Самарканд_Хуршед ака 2"/>
    <s v="RMF"/>
    <s v="&quot;Muxammad Dorishunos&quot; Mchj"/>
    <x v="2"/>
    <n v="40"/>
    <n v="65000"/>
    <n v="2600000"/>
    <n v="681000"/>
    <m/>
    <m/>
    <n v="681000"/>
  </r>
  <r>
    <n v="2025"/>
    <n v="5"/>
    <d v="2025-05-26T00:00:00"/>
    <s v="SM000002015"/>
    <s v="Жонибек ака (Анд)"/>
    <s v="Андижон_Жонибек ака"/>
    <s v="SM"/>
    <s v="&quot;Diyora Trade Pharm&quot; Mchj"/>
    <x v="0"/>
    <n v="480"/>
    <n v="36955.08"/>
    <n v="17738438.399999999"/>
    <n v="7200000"/>
    <m/>
    <n v="3015534.5279999999"/>
    <n v="10215534.528000001"/>
  </r>
  <r>
    <n v="2025"/>
    <n v="5"/>
    <d v="2025-05-27T00:00:00"/>
    <s v="SM000002037"/>
    <s v="Феруза опа (Нам)"/>
    <s v="Наманган_Розия опа"/>
    <s v="SM"/>
    <s v="&quot;Zam-Zam Med Pharm&quot; Mchj"/>
    <x v="0"/>
    <n v="300"/>
    <n v="36955.08"/>
    <n v="11086524"/>
    <n v="4500000"/>
    <m/>
    <n v="1884709.08"/>
    <n v="6384709.0800000001"/>
  </r>
  <r>
    <n v="2025"/>
    <n v="5"/>
    <d v="2025-05-29T00:00:00"/>
    <s v="SM000002089"/>
    <s v="Жонибек ака (Анд)"/>
    <s v="&lt;Объект не найден&gt; (12090:95b918c04d74957511eeb48624412fc6)"/>
    <s v="SM"/>
    <s v="&quot;Apteka Centr&quot; Mchj"/>
    <x v="0"/>
    <n v="120"/>
    <n v="36955.08"/>
    <n v="4434609.5999999996"/>
    <n v="1800000"/>
    <m/>
    <n v="753883.63199999998"/>
    <n v="2553883.6320000002"/>
  </r>
  <r>
    <n v="2025"/>
    <n v="5"/>
    <d v="2025-05-29T00:00:00"/>
    <s v="SM000002105"/>
    <s v="Феруза опа (Нам)"/>
    <s v="Наманган_Розия опа"/>
    <s v="SM"/>
    <s v="&quot;Mabda Healthcare Group&quot; Mchj"/>
    <x v="0"/>
    <n v="20"/>
    <n v="36955.08"/>
    <n v="739101.6"/>
    <n v="300000"/>
    <m/>
    <n v="125647.27200000001"/>
    <n v="425647.272"/>
  </r>
  <r>
    <n v="2025"/>
    <n v="6"/>
    <d v="2025-06-03T00:00:00"/>
    <s v="SM000002168"/>
    <s v="Феруза опа (Нам)"/>
    <s v="Наманган_Розия опа"/>
    <s v="SM"/>
    <s v="&quot;Aziz Shifo Farm&quot; Ok"/>
    <x v="0"/>
    <n v="5"/>
    <n v="36955.08"/>
    <n v="184775.4"/>
    <n v="75000"/>
    <m/>
    <n v="31411.818000000003"/>
    <n v="106411.818"/>
  </r>
  <r>
    <n v="2025"/>
    <n v="6"/>
    <d v="2025-06-25T00:00:00"/>
    <s v="SM000002503"/>
    <s v="Феруза опа (Нам)"/>
    <s v="Наманган_Розия опа"/>
    <s v="SM"/>
    <s v="&quot;Grand Pharm Andijon&quot; Mchj"/>
    <x v="0"/>
    <n v="96"/>
    <n v="36955.08"/>
    <n v="3547687.68"/>
    <n v="1440000"/>
    <m/>
    <n v="603106.90560000006"/>
    <n v="2043106.9056000002"/>
  </r>
  <r>
    <n v="2025"/>
    <n v="8"/>
    <d v="2025-08-11T00:00:00"/>
    <s v="SM000003297"/>
    <s v="Жонибек ака (Анд)"/>
    <s v="Андижон_Жонибек ака"/>
    <s v="SM"/>
    <s v="&quot;Diyora Trade Pharm&quot; Mchj"/>
    <x v="0"/>
    <n v="480"/>
    <n v="36955.08"/>
    <n v="17738438.399999999"/>
    <n v="7200000"/>
    <m/>
    <n v="3015534.5279999999"/>
    <n v="10215534.528000001"/>
  </r>
  <r>
    <n v="2025"/>
    <n v="8"/>
    <d v="2025-08-19T00:00:00"/>
    <s v="SM000003430"/>
    <s v="Жонибек ака (Анд)"/>
    <s v="&lt;Объект не найден&gt; (12090:95b918c04d74957511eeb48624412fc6)"/>
    <s v="SM"/>
    <s v="&quot;Apteka Centr&quot; Mchj"/>
    <x v="0"/>
    <n v="120"/>
    <n v="36955.08"/>
    <n v="4434609.5999999996"/>
    <n v="1800000"/>
    <m/>
    <n v="753883.63199999998"/>
    <n v="2553883.6320000002"/>
  </r>
  <r>
    <n v="2025"/>
    <n v="8"/>
    <d v="2025-08-21T00:00:00"/>
    <s v="SM000003458"/>
    <s v="Жонибек ака (Анд)"/>
    <s v="&lt;Объект не найден&gt; (12090:95b918c04d74957511eeb48624412fc6)"/>
    <s v="SM"/>
    <s v="&quot;Mumiyo Dorixonalari Tarmog`I&quot; Mchj"/>
    <x v="0"/>
    <n v="60"/>
    <n v="36955.08"/>
    <n v="2217304.7999999998"/>
    <n v="900000"/>
    <m/>
    <n v="376941.81599999999"/>
    <n v="1276941.8160000001"/>
  </r>
  <r>
    <n v="2025"/>
    <n v="9"/>
    <d v="2025-09-09T00:00:00"/>
    <s v="SM000003697"/>
    <s v="Жонибек ака (Анд)"/>
    <s v="Андижон_Жонибек ака"/>
    <s v="SM"/>
    <s v="&quot;Diyora Trade Pharm&quot; Mchj"/>
    <x v="0"/>
    <n v="355"/>
    <n v="36955.08"/>
    <n v="13119053.4"/>
    <n v="5325000"/>
    <m/>
    <n v="2230239.0780000002"/>
    <n v="7555239.0779999997"/>
  </r>
  <r>
    <n v="2025"/>
    <n v="9"/>
    <d v="2025-09-15T00:00:00"/>
    <s v="SM000003798"/>
    <s v="Жонибек ака (Анд)"/>
    <s v="Андижон_Жонибек ака"/>
    <s v="SM"/>
    <s v="&quot;Diyora Trade Pharm&quot; Mchj"/>
    <x v="0"/>
    <n v="111"/>
    <n v="40621"/>
    <n v="4508931"/>
    <n v="1665000"/>
    <m/>
    <n v="766518.27"/>
    <n v="2431518.27"/>
  </r>
  <r>
    <n v="2025"/>
    <n v="10"/>
    <d v="2025-10-07T00:00:00"/>
    <s v="SM000004125"/>
    <s v="Жонибек ака (Анд)"/>
    <s v="Андижон_Жонибек ака"/>
    <s v="SM"/>
    <s v="&quot;Apteka Centr&quot; Mchj"/>
    <x v="0"/>
    <n v="200"/>
    <n v="40621"/>
    <n v="8124200"/>
    <n v="3000000"/>
    <m/>
    <n v="1381114"/>
    <n v="4381114"/>
  </r>
  <r>
    <n v="2025"/>
    <n v="10"/>
    <d v="2025-10-13T00:00:00"/>
    <s v="SM000004221"/>
    <s v="Жонибек ака (Анд)"/>
    <s v="Андижон_Жонибек ака"/>
    <s v="SM"/>
    <s v="&quot;Diyora Trade Pharm&quot; Mchj"/>
    <x v="0"/>
    <n v="360"/>
    <n v="40621"/>
    <n v="14623560"/>
    <n v="5400000"/>
    <m/>
    <n v="2486005.2000000002"/>
    <n v="7886005.2000000002"/>
  </r>
  <r>
    <n v="2025"/>
    <n v="10"/>
    <d v="2025-10-22T00:00:00"/>
    <s v="SM000004372"/>
    <s v="Зулайхо опа (Нам)"/>
    <s v="Наманган_Зулайхо опа"/>
    <s v="SM"/>
    <s v="&quot;Bilolhon Med Farm Servis&quot; Mchj"/>
    <x v="0"/>
    <n v="100"/>
    <n v="40621"/>
    <n v="4062100"/>
    <n v="1500000"/>
    <m/>
    <n v="690557"/>
    <n v="2190557"/>
  </r>
  <r>
    <n v="2025"/>
    <n v="11"/>
    <d v="2025-11-03T00:00:00"/>
    <s v="SM000004579"/>
    <s v="Зулайхо опа (Нам)"/>
    <s v="Наманган_Зулайхо опа"/>
    <s v="SM"/>
    <s v="&quot;Bilolhon Med Farm Servis&quot; Mchj"/>
    <x v="0"/>
    <n v="200"/>
    <n v="40621"/>
    <n v="8124200"/>
    <n v="3000000"/>
    <m/>
    <n v="1381114"/>
    <n v="4381114"/>
  </r>
  <r>
    <n v="2025"/>
    <n v="11"/>
    <d v="2025-11-03T00:00:00"/>
    <s v="SM000004579"/>
    <s v="Зулайхо опа (Нам)"/>
    <s v="Наманган_Зулайхо опа"/>
    <s v="SM"/>
    <s v="&quot;Bilolhon Med Farm Servis&quot; Mchj"/>
    <x v="0"/>
    <n v="4"/>
    <n v="36955.08"/>
    <n v="147820.32"/>
    <n v="60000"/>
    <m/>
    <n v="25129.454400000002"/>
    <n v="85129.454400000002"/>
  </r>
  <r>
    <n v="2025"/>
    <n v="11"/>
    <d v="2025-11-03T00:00:00"/>
    <s v="SM000004586"/>
    <s v="Ахроржон ака (Фр)"/>
    <s v="Фаргона_Ахроржон Ака"/>
    <s v="SM"/>
    <s v="&quot;Imbex Farm&quot; Mchj"/>
    <x v="1"/>
    <n v="8"/>
    <n v="120000"/>
    <n v="960000"/>
    <n v="280000"/>
    <m/>
    <n v="163200"/>
    <n v="443200"/>
  </r>
  <r>
    <n v="2025"/>
    <n v="11"/>
    <d v="2025-11-07T00:00:00"/>
    <s v="SM000004654"/>
    <s v="Ахроржон ака (Фр)"/>
    <s v="Фаргона_Ахроржон Ака"/>
    <s v="SM"/>
    <s v="&quot;Pharm Gate Group&quot; Mchj"/>
    <x v="1"/>
    <n v="20"/>
    <n v="120000"/>
    <n v="2400000"/>
    <n v="700000"/>
    <m/>
    <n v="408000.00000000006"/>
    <n v="1108000"/>
  </r>
  <r>
    <n v="2025"/>
    <n v="11"/>
    <d v="2025-11-12T00:00:00"/>
    <s v="SM000004731"/>
    <s v="Ахроржон ака (Фр)"/>
    <s v="Фаргона_Ахроржон Ака"/>
    <s v="SM"/>
    <s v="&quot;Rish Farm Medikal&quot; Mchj"/>
    <x v="1"/>
    <n v="2"/>
    <n v="120000"/>
    <n v="240000"/>
    <n v="70000"/>
    <m/>
    <n v="40800"/>
    <n v="110800"/>
  </r>
  <r>
    <n v="2025"/>
    <n v="11"/>
    <d v="2025-11-13T00:00:00"/>
    <s v="SM000004769"/>
    <s v="Ахроржон ака (Фр)"/>
    <s v="Фаргона_Ахроржон Ака"/>
    <s v="SM"/>
    <s v="&quot;Anor Davo Farm&quot; Mchj"/>
    <x v="1"/>
    <n v="10"/>
    <n v="120000"/>
    <n v="1200000"/>
    <n v="350000"/>
    <m/>
    <n v="204000.00000000003"/>
    <n v="554000"/>
  </r>
  <r>
    <n v="2025"/>
    <n v="11"/>
    <d v="2025-11-14T00:00:00"/>
    <s v="SM000004786"/>
    <s v="Зулайхо опа (Нам)"/>
    <s v="Наманган_Зулайхо опа"/>
    <s v="SM"/>
    <s v="MCHJ Unf Innovation Farm"/>
    <x v="0"/>
    <n v="48"/>
    <n v="40621"/>
    <n v="1949808"/>
    <n v="720000"/>
    <m/>
    <n v="331467.36000000004"/>
    <n v="1051467.3600000001"/>
  </r>
  <r>
    <n v="2025"/>
    <n v="11"/>
    <d v="2025-11-14T00:00:00"/>
    <s v="SM000004797"/>
    <s v="Абдурашид ака (Нам)"/>
    <s v="Наманган_Зулайхо опа"/>
    <s v="SM"/>
    <s v="&quot;Zinnur Farm Medical&quot; Mchj"/>
    <x v="0"/>
    <n v="20"/>
    <n v="40621"/>
    <n v="812420"/>
    <n v="300000"/>
    <m/>
    <n v="138111.40000000002"/>
    <n v="438111.4"/>
  </r>
  <r>
    <n v="2025"/>
    <n v="11"/>
    <d v="2025-11-17T00:00:00"/>
    <s v="SM000004818"/>
    <s v="Ахроржон ака (Фр)"/>
    <s v="Фаргона_Ахроржон Ака"/>
    <s v="SM"/>
    <s v="&quot;Turon Pharm Industry&quot; Mchj"/>
    <x v="1"/>
    <n v="15"/>
    <n v="120000"/>
    <n v="1800000"/>
    <n v="525000"/>
    <m/>
    <n v="306000"/>
    <n v="831000"/>
  </r>
  <r>
    <n v="2025"/>
    <n v="11"/>
    <d v="2025-11-17T00:00:00"/>
    <s v="SM000004822"/>
    <s v="Ахроржон ака (Фр)"/>
    <s v="Фаргона_Ахроржон Ака"/>
    <s v="SM"/>
    <s v="&quot;Grand Pharm Fergana&quot; Mchj"/>
    <x v="1"/>
    <n v="25"/>
    <n v="120000"/>
    <n v="3000000"/>
    <n v="875000"/>
    <m/>
    <n v="510000.00000000006"/>
    <n v="1385000"/>
  </r>
  <r>
    <n v="2025"/>
    <n v="11"/>
    <d v="2025-11-17T00:00:00"/>
    <s v="SM000004827"/>
    <s v="Ахроржон ака (Фр)"/>
    <s v="Фаргона_Ахроржон Ака"/>
    <s v="SM"/>
    <s v="&quot;Jidda Pharm&quot; Mchj"/>
    <x v="1"/>
    <n v="50"/>
    <n v="120000"/>
    <n v="6000000"/>
    <n v="1750000"/>
    <m/>
    <n v="1020000.0000000001"/>
    <n v="2770000"/>
  </r>
  <r>
    <n v="2025"/>
    <n v="11"/>
    <d v="2025-11-24T00:00:00"/>
    <s v="SM000004942"/>
    <s v="Зулайхо опа (Нам)"/>
    <s v="Наманган_Зулайхо опа"/>
    <s v="SM"/>
    <s v="&quot;Everest Peak&quot; Mchj"/>
    <x v="0"/>
    <n v="50"/>
    <n v="40621"/>
    <n v="2031050"/>
    <n v="750000"/>
    <m/>
    <n v="345278.5"/>
    <n v="1095278.5"/>
  </r>
  <r>
    <n v="2025"/>
    <n v="11"/>
    <d v="2025-11-25T00:00:00"/>
    <s v="SM000004969"/>
    <s v="Абдурашид ака (Нам)"/>
    <s v="Наманган_Зулайхо опа"/>
    <s v="SM"/>
    <s v="&quot;Dilshodaxon Abrorbek Sardorbek&quot; Mchj"/>
    <x v="0"/>
    <n v="15"/>
    <n v="40621"/>
    <n v="609315"/>
    <n v="225000"/>
    <m/>
    <n v="103583.55"/>
    <n v="328583.55"/>
  </r>
  <r>
    <n v="2025"/>
    <n v="11"/>
    <d v="2025-11-25T00:00:00"/>
    <s v="SM000004984"/>
    <s v="Ахроржон ака (Фр)"/>
    <s v="Фаргона_Ахроржон Ака"/>
    <s v="SM"/>
    <s v="&quot;Dildora Pylus Farm&quot; Xk"/>
    <x v="1"/>
    <n v="10"/>
    <n v="120000"/>
    <n v="1200000"/>
    <n v="350000"/>
    <m/>
    <n v="204000.00000000003"/>
    <n v="554000"/>
  </r>
  <r>
    <n v="2025"/>
    <n v="11"/>
    <d v="2025-11-26T00:00:00"/>
    <s v="SM000005003"/>
    <s v="Жонибек ака (Анд)"/>
    <s v="Андижон_Жонибек ака"/>
    <s v="SM"/>
    <s v="&quot;Iqbol Farm Servis&quot; Mchj"/>
    <x v="0"/>
    <n v="100"/>
    <n v="40621"/>
    <n v="4062100"/>
    <n v="1500000"/>
    <m/>
    <n v="690557"/>
    <n v="2190557"/>
  </r>
  <r>
    <n v="2025"/>
    <n v="11"/>
    <d v="2025-11-27T00:00:00"/>
    <s v="SM000005024"/>
    <s v="Жонибек ака (Анд)"/>
    <s v="Андижон_Жонибек ака"/>
    <s v="SM"/>
    <s v="&quot;Zayniddin-Muazzam Farm&quot; Mchj"/>
    <x v="0"/>
    <n v="30"/>
    <n v="40621"/>
    <n v="1218630"/>
    <n v="450000"/>
    <m/>
    <n v="207167.1"/>
    <n v="657167.1"/>
  </r>
  <r>
    <n v="2025"/>
    <n v="11"/>
    <d v="2025-11-28T00:00:00"/>
    <s v="SM000005053"/>
    <s v="Ахроржон ака (Фр)"/>
    <s v="Фаргона_Ахроржон Ака"/>
    <s v="SM"/>
    <s v="&quot;Jidda Pharm&quot; Mchj"/>
    <x v="1"/>
    <n v="50"/>
    <n v="120000"/>
    <n v="6000000"/>
    <n v="1750000"/>
    <m/>
    <n v="1020000.0000000001"/>
    <n v="2770000"/>
  </r>
  <r>
    <n v="2025"/>
    <n v="12"/>
    <d v="2025-12-09T00:00:00"/>
    <s v="SM000005157"/>
    <s v="Ахроржон ака (Фр)"/>
    <s v="Фаргона_Ахроржон Ака"/>
    <s v="SM"/>
    <s v="&quot;Jidda Pharm&quot; Mchj"/>
    <x v="1"/>
    <n v="50"/>
    <n v="120000"/>
    <n v="6000000"/>
    <n v="1750000"/>
    <m/>
    <n v="1020000.0000000001"/>
    <n v="2770000"/>
  </r>
  <r>
    <n v="2025"/>
    <n v="12"/>
    <d v="2025-12-10T00:00:00"/>
    <s v="SM000005168"/>
    <s v="Ахроржон ака (Фр)"/>
    <s v="Фаргона_Ахроржон Ака"/>
    <s v="SM"/>
    <s v="&quot;Ferghana Burj Extra&quot; Mchj"/>
    <x v="1"/>
    <n v="5"/>
    <n v="120000"/>
    <n v="600000"/>
    <n v="175000"/>
    <m/>
    <n v="102000.00000000001"/>
    <n v="277000"/>
  </r>
  <r>
    <n v="2025"/>
    <n v="12"/>
    <d v="2025-12-10T00:00:00"/>
    <s v="SM000005171"/>
    <s v="Ахроржон ака (Фр)"/>
    <s v="Фаргона_Ахроржон Ака"/>
    <s v="SM"/>
    <s v="&quot;Dildora Pylus Farm&quot; Xk"/>
    <x v="1"/>
    <n v="5"/>
    <n v="120000"/>
    <n v="600000"/>
    <n v="175000"/>
    <m/>
    <n v="102000.00000000001"/>
    <n v="277000"/>
  </r>
  <r>
    <n v="2025"/>
    <n v="12"/>
    <d v="2025-12-11T00:00:00"/>
    <s v="SM000005194"/>
    <s v="Ахроржон ака (Фр)"/>
    <s v="Фаргона_Ахроржон Ака"/>
    <s v="SM"/>
    <s v="&quot;Pharm Gate Group&quot; Mchj"/>
    <x v="1"/>
    <n v="20"/>
    <n v="120000"/>
    <n v="2400000"/>
    <n v="700000"/>
    <m/>
    <n v="408000.00000000006"/>
    <n v="1108000"/>
  </r>
  <r>
    <n v="2025"/>
    <n v="12"/>
    <d v="2025-12-12T00:00:00"/>
    <s v="SM000005215"/>
    <s v="Дилшода опа (Нам)"/>
    <s v="Фаргона_Ахроржон Ака"/>
    <s v="SM"/>
    <s v="&quot;Toshloq Universal Trade&quot; Mchj"/>
    <x v="1"/>
    <n v="20"/>
    <n v="120000"/>
    <n v="2400000"/>
    <n v="700000"/>
    <m/>
    <n v="408000.00000000006"/>
    <n v="1108000"/>
  </r>
  <r>
    <n v="2025"/>
    <n v="12"/>
    <d v="2025-12-17T00:00:00"/>
    <s v="SM000005249"/>
    <s v="Абдуллох ака (Анд)"/>
    <s v="Андижон_Жонибек ака"/>
    <s v="SM"/>
    <s v="&quot;Apteka Centr&quot; Mchj"/>
    <x v="0"/>
    <n v="60"/>
    <n v="40621"/>
    <n v="2437260"/>
    <n v="900000"/>
    <m/>
    <n v="414334.2"/>
    <n v="1314334.2"/>
  </r>
  <r>
    <n v="2025"/>
    <n v="12"/>
    <d v="2025-12-25T00:00:00"/>
    <s v="SM000005316"/>
    <s v="Зулайхо опа (Нам)"/>
    <s v="Наманган_Зулайхо опа"/>
    <s v="SM"/>
    <s v="&quot;Oxotnik Farm&quot; Mchj"/>
    <x v="0"/>
    <n v="86"/>
    <n v="40621"/>
    <n v="3493406"/>
    <n v="1290000"/>
    <m/>
    <n v="593879.02"/>
    <n v="1883879.02"/>
  </r>
  <r>
    <n v="2026"/>
    <n v="1"/>
    <d v="2026-01-06T00:00:00"/>
    <s v="SM000000048"/>
    <s v="Абдурашид ака (Нам)"/>
    <s v="Наманган_Зулайхо опа"/>
    <s v="SM"/>
    <s v="&quot;Dardga Darmon Servis&quot; Xk"/>
    <x v="0"/>
    <n v="50"/>
    <n v="40621"/>
    <n v="2031050"/>
    <n v="750000"/>
    <m/>
    <n v="345278.5"/>
    <n v="1095278.5"/>
  </r>
  <r>
    <n v="2026"/>
    <n v="1"/>
    <d v="2026-01-06T00:00:00"/>
    <s v="SM000000074"/>
    <s v="Ахроржон ака (Фр)"/>
    <s v="Фаргона_Ахроржон Ака"/>
    <s v="SM"/>
    <s v="&quot;Jidda Pharm&quot; Mchj"/>
    <x v="1"/>
    <n v="100"/>
    <n v="120000"/>
    <n v="12000000"/>
    <n v="3500000"/>
    <m/>
    <n v="2040000.0000000002"/>
    <n v="5540000"/>
  </r>
  <r>
    <n v="2026"/>
    <n v="1"/>
    <d v="2026-01-08T00:00:00"/>
    <s v="SM000000112"/>
    <s v="Абдуолим ака (Фр)"/>
    <s v="Фаргона_Ахроржон Ака"/>
    <s v="SM"/>
    <s v="&quot;Med Farm Servis Fargona &quot; Mchj"/>
    <x v="1"/>
    <n v="10"/>
    <n v="120000"/>
    <n v="1200000"/>
    <n v="350000"/>
    <m/>
    <n v="204000.00000000003"/>
    <n v="554000"/>
  </r>
  <r>
    <n v="2026"/>
    <n v="1"/>
    <d v="2026-01-09T00:00:00"/>
    <s v="SM000000155"/>
    <s v="Жонибек ака (Анд)"/>
    <s v="Андижон_Жонибек ака"/>
    <s v="SM"/>
    <s v="&quot;Sherzodbek Pharmacy&quot; Mchj"/>
    <x v="0"/>
    <n v="100"/>
    <n v="40621"/>
    <n v="4062100"/>
    <n v="1500000"/>
    <m/>
    <n v="690557"/>
    <n v="2190557"/>
  </r>
  <r>
    <n v="2026"/>
    <n v="1"/>
    <d v="2026-01-12T00:00:00"/>
    <s v="SM000000398"/>
    <s v="Ахроржон ака (Фр)"/>
    <s v="Фаргона_Ахроржон Ака"/>
    <s v="SM"/>
    <s v="&quot;Pharm Gate Group&quot; Mchj"/>
    <x v="1"/>
    <n v="20"/>
    <n v="120000"/>
    <n v="2400000"/>
    <n v="700000"/>
    <m/>
    <n v="408000.00000000006"/>
    <n v="1108000"/>
  </r>
  <r>
    <n v="2026"/>
    <n v="1"/>
    <d v="2026-01-12T00:00:00"/>
    <s v="SM000000201"/>
    <s v="Ахроржон ака (Фр)"/>
    <s v="Фаргона_Ахроржон Ака"/>
    <s v="SM"/>
    <s v="&quot;Imbex Farm&quot; Mchj"/>
    <x v="1"/>
    <n v="10"/>
    <n v="120000"/>
    <n v="1200000"/>
    <n v="350000"/>
    <m/>
    <n v="204000.00000000003"/>
    <n v="554000"/>
  </r>
  <r>
    <n v="2026"/>
    <n v="1"/>
    <d v="2026-01-15T00:00:00"/>
    <s v="SM000000477"/>
    <s v="Ахроржон ака (Фр)"/>
    <s v="Фаргона_Ахроржон Ака"/>
    <s v="SM"/>
    <s v="&quot;Pharm Gate Group&quot; Mchj"/>
    <x v="1"/>
    <n v="20"/>
    <n v="120000"/>
    <n v="2400000"/>
    <n v="700000"/>
    <m/>
    <n v="408000.00000000006"/>
    <n v="1108000"/>
  </r>
  <r>
    <n v="2026"/>
    <n v="1"/>
    <d v="2026-01-16T00:00:00"/>
    <s v="SM000000499"/>
    <s v="Ахроржон ака (Фр)"/>
    <s v="Фаргона_Ахроржон Ака"/>
    <s v="SM"/>
    <s v="&quot;Turon Pharm Industry&quot; Mchj"/>
    <x v="1"/>
    <n v="10"/>
    <n v="120000"/>
    <n v="1200000"/>
    <n v="350000"/>
    <m/>
    <n v="204000.00000000003"/>
    <n v="554000"/>
  </r>
  <r>
    <n v="2026"/>
    <n v="1"/>
    <d v="2026-01-16T00:00:00"/>
    <s v="SM000000504"/>
    <s v="Ахроржон ака (Фр)"/>
    <s v="Фаргона_Ахроржон Ака"/>
    <s v="SM"/>
    <s v="&quot;Mustafo Feruz Farm&quot; Xk"/>
    <x v="1"/>
    <n v="10"/>
    <n v="120000"/>
    <n v="1200000"/>
    <n v="350000"/>
    <m/>
    <n v="204000.00000000003"/>
    <n v="554000"/>
  </r>
  <r>
    <n v="2026"/>
    <n v="1"/>
    <d v="2026-01-19T00:00:00"/>
    <s v="SM000000539"/>
    <s v="Жонибек ака (Анд)"/>
    <s v="Андижон_Жонибек ака"/>
    <s v="SM"/>
    <s v="&quot;Sherzodbek Pharmacy&quot; Mchj"/>
    <x v="0"/>
    <n v="200"/>
    <n v="40621"/>
    <n v="8124200"/>
    <n v="3000000"/>
    <m/>
    <n v="1381114"/>
    <n v="4381114"/>
  </r>
  <r>
    <n v="2026"/>
    <n v="1"/>
    <d v="2026-01-20T00:00:00"/>
    <s v="SM000000559"/>
    <s v="Жонибек ака (Анд)"/>
    <s v="Андижон_Жонибек ака"/>
    <s v="SM"/>
    <s v="ЧП &quot;Besh Yulduz - M M P&quot;"/>
    <x v="0"/>
    <n v="50"/>
    <n v="40621"/>
    <n v="2031050"/>
    <n v="750000"/>
    <m/>
    <n v="345278.5"/>
    <n v="1095278.5"/>
  </r>
  <r>
    <n v="2026"/>
    <n v="1"/>
    <d v="2026-01-21T00:00:00"/>
    <s v="SM000000582"/>
    <s v="Абдурашид ака (Нам)"/>
    <s v="Наманган_Зулайхо опа"/>
    <s v="SM"/>
    <s v="&quot;Insof Baraka Farm&quot; Mchj"/>
    <x v="0"/>
    <n v="10"/>
    <n v="40621"/>
    <n v="406210"/>
    <n v="150000"/>
    <m/>
    <n v="69055.700000000012"/>
    <n v="219055.7"/>
  </r>
  <r>
    <n v="2026"/>
    <n v="1"/>
    <d v="2026-01-22T00:00:00"/>
    <s v="SM000000587"/>
    <s v="Ахроржон ака (Фр)"/>
    <s v="Фаргона_Ахроржон Ака"/>
    <s v="SM"/>
    <s v="&quot;Pharm Gate Group&quot; Mchj"/>
    <x v="1"/>
    <n v="30"/>
    <n v="120000"/>
    <n v="3600000"/>
    <n v="1050000"/>
    <m/>
    <n v="612000"/>
    <n v="1662000"/>
  </r>
  <r>
    <n v="2026"/>
    <n v="1"/>
    <d v="2026-01-29T00:00:00"/>
    <s v="SM000000683"/>
    <s v="Ахроржон ака (Фр)"/>
    <s v="Фаргона_Ахроржон Ака"/>
    <s v="SM"/>
    <s v="&quot;Pharm Gate Group&quot; Mchj"/>
    <x v="1"/>
    <n v="5"/>
    <n v="120000"/>
    <n v="600000"/>
    <n v="175000"/>
    <m/>
    <n v="102000.00000000001"/>
    <n v="277000"/>
  </r>
  <r>
    <n v="2026"/>
    <n v="1"/>
    <d v="2026-01-29T00:00:00"/>
    <s v="SM000000683"/>
    <s v="Ахроржон ака (Фр)"/>
    <s v="Фаргона_Ахроржон Ака"/>
    <s v="SM"/>
    <s v="&quot;Pharm Gate Group&quot; Mchj"/>
    <x v="1"/>
    <n v="31"/>
    <n v="120000"/>
    <n v="3720000"/>
    <n v="1085000"/>
    <m/>
    <n v="632400"/>
    <n v="1717400"/>
  </r>
  <r>
    <n v="2026"/>
    <n v="1"/>
    <d v="2026-01-30T00:00:00"/>
    <s v="SM000000716"/>
    <s v="Ахроржон ака (Фр)"/>
    <s v="Фаргона_Ахроржон Ака"/>
    <s v="SM"/>
    <s v="&quot;Turon Pharm Industry&quot; Mchj"/>
    <x v="1"/>
    <n v="30"/>
    <n v="120000"/>
    <n v="3600000"/>
    <n v="1050000"/>
    <m/>
    <n v="612000"/>
    <n v="1662000"/>
  </r>
  <r>
    <n v="2026"/>
    <n v="2"/>
    <d v="2026-02-03T00:00:00"/>
    <s v="SM000000732"/>
    <s v="Зулайхо опа (Нам)"/>
    <s v="Наманган_Зулайхо опа"/>
    <s v="SM"/>
    <s v="&quot;Everest Peak&quot; Mchj"/>
    <x v="0"/>
    <n v="50"/>
    <n v="40621"/>
    <n v="2031050"/>
    <n v="750000"/>
    <m/>
    <n v="345278.5"/>
    <n v="1095278.5"/>
  </r>
  <r>
    <n v="2026"/>
    <n v="2"/>
    <d v="2026-02-04T00:00:00"/>
    <s v="SM000000769"/>
    <s v="Жонибек ака (Анд)"/>
    <s v="Андижон_Жонибек ака"/>
    <s v="SM"/>
    <s v="ЧП &quot;Besh Yulduz - M M P&quot;"/>
    <x v="0"/>
    <n v="50"/>
    <n v="40621"/>
    <n v="2031050"/>
    <n v="750000"/>
    <m/>
    <n v="345278.5"/>
    <n v="1095278.5"/>
  </r>
  <r>
    <n v="2026"/>
    <n v="2"/>
    <d v="2026-02-05T00:00:00"/>
    <s v="SM000000782"/>
    <s v="Ахроржон ака (Фр)"/>
    <s v="Фаргона_Ахроржон Ака"/>
    <s v="SM"/>
    <s v="&quot;Dildora Pylus Farm&quot; Xk"/>
    <x v="1"/>
    <n v="15"/>
    <n v="120000"/>
    <n v="1800000"/>
    <n v="525000"/>
    <m/>
    <n v="306000"/>
    <n v="831000"/>
  </r>
  <r>
    <n v="2026"/>
    <n v="2"/>
    <d v="2026-02-05T00:00:00"/>
    <s v="SM000000795"/>
    <s v="Ахроржон ака (Фр)"/>
    <s v="Фаргона_Ахроржон Ака"/>
    <s v="SM"/>
    <s v="&quot;Pharm Gate Group&quot; Mchj"/>
    <x v="1"/>
    <n v="26"/>
    <n v="120000"/>
    <n v="3120000"/>
    <n v="910000"/>
    <m/>
    <n v="530400"/>
    <n v="1440400"/>
  </r>
  <r>
    <n v="2026"/>
    <n v="2"/>
    <d v="2026-02-09T00:00:00"/>
    <s v="SM000000838"/>
    <s v="Абдуолим ака (Фр)"/>
    <s v="Фаргона_Ахроржон Ака"/>
    <s v="SM"/>
    <s v="Ahmadjon Farm Biznes Мчж"/>
    <x v="1"/>
    <n v="10"/>
    <n v="120000"/>
    <n v="1200000"/>
    <n v="350000"/>
    <m/>
    <n v="204000.00000000003"/>
    <n v="554000"/>
  </r>
  <r>
    <n v="2026"/>
    <n v="2"/>
    <d v="2026-02-16T00:00:00"/>
    <s v="SM000000934"/>
    <s v="Зулайхо опа (Нам)"/>
    <s v="Наманган_Зулайхо опа"/>
    <s v="SM"/>
    <s v="MCHJ Unf Innovation Farm"/>
    <x v="0"/>
    <n v="48"/>
    <n v="40621"/>
    <n v="1949808"/>
    <n v="720000"/>
    <m/>
    <n v="331467.36000000004"/>
    <n v="1051467.3600000001"/>
  </r>
  <r>
    <n v="2026"/>
    <n v="2"/>
    <d v="2026-02-16T00:00:00"/>
    <s v="SM000000935"/>
    <s v="Ахроржон ака (Фр)"/>
    <s v="Фаргона_Ахроржон Ака"/>
    <s v="SM"/>
    <s v="&quot;Anor Davo Farm&quot; Mchj"/>
    <x v="1"/>
    <n v="10"/>
    <n v="120000"/>
    <n v="1200000"/>
    <n v="350000"/>
    <m/>
    <n v="204000.00000000003"/>
    <n v="554000"/>
  </r>
  <r>
    <n v="2026"/>
    <n v="2"/>
    <d v="2026-02-20T00:00:00"/>
    <s v="SM000001031"/>
    <s v="Ахроржон ака (Фр)"/>
    <s v="Фаргона_Ахроржон Ака"/>
    <s v="SM"/>
    <s v="&quot;Turon Pharm Industry&quot; Mchj"/>
    <x v="1"/>
    <n v="20"/>
    <n v="120000"/>
    <n v="2400000"/>
    <n v="700000"/>
    <m/>
    <n v="408000.00000000006"/>
    <n v="1108000"/>
  </r>
  <r>
    <n v="2026"/>
    <n v="3"/>
    <d v="2026-03-12T00:00:00"/>
    <s v="SM000001249"/>
    <s v="Ахроржон ака (Фр)"/>
    <s v="Фаргона_Ахроржон Ака"/>
    <s v="SM"/>
    <s v="&quot;Turon Pharm Industry&quot; Mchj"/>
    <x v="1"/>
    <n v="10"/>
    <n v="120000"/>
    <n v="1200000"/>
    <n v="350000"/>
    <m/>
    <n v="204000.00000000003"/>
    <n v="554000"/>
  </r>
  <r>
    <n v="2026"/>
    <n v="3"/>
    <d v="2026-03-12T00:00:00"/>
    <s v="SM000001253"/>
    <s v="Ахроржон ака (Фр)"/>
    <s v="Фаргона_Ахроржон Ака"/>
    <s v="SM"/>
    <s v="&quot;Pharm Gate Group&quot; Mchj"/>
    <x v="1"/>
    <n v="8"/>
    <n v="120000"/>
    <n v="960000"/>
    <n v="280000"/>
    <m/>
    <n v="163200"/>
    <n v="443200"/>
  </r>
  <r>
    <n v="2026"/>
    <n v="3"/>
    <d v="2026-03-26T00:00:00"/>
    <s v="SM000001407"/>
    <s v="Ахроржон ака (Фр)"/>
    <s v="Фаргона_Ахроржон Ака"/>
    <s v="SM"/>
    <s v="&quot;Pharm Gate Group&quot; Mchj"/>
    <x v="1"/>
    <n v="20"/>
    <n v="120000"/>
    <n v="2400000"/>
    <n v="700000"/>
    <m/>
    <n v="408000.00000000006"/>
    <n v="1108000"/>
  </r>
  <r>
    <n v="2026"/>
    <n v="4"/>
    <d v="2026-04-01T00:00:00"/>
    <s v="SM000001487"/>
    <s v="Ахроржон ака (Фр)"/>
    <s v="Фаргона_Ахроржон Ака"/>
    <s v="SM"/>
    <s v="&quot;Grand Pharm Fergana&quot; Mchj"/>
    <x v="1"/>
    <n v="25"/>
    <n v="120000"/>
    <n v="3000000"/>
    <n v="875000"/>
    <m/>
    <n v="510000.00000000006"/>
    <n v="1385000"/>
  </r>
  <r>
    <n v="2026"/>
    <n v="4"/>
    <d v="2026-04-02T00:00:00"/>
    <s v="SM000001510"/>
    <s v="Ахроржон ака (Фр)"/>
    <s v="Фаргона_Ахроржон Ака"/>
    <s v="SM"/>
    <s v="&quot;Pharm Gate Group&quot; Mchj"/>
    <x v="1"/>
    <n v="20"/>
    <n v="120000"/>
    <n v="2400000"/>
    <n v="700000"/>
    <m/>
    <n v="408000.00000000006"/>
    <n v="1108000"/>
  </r>
  <r>
    <n v="2026"/>
    <n v="4"/>
    <d v="2026-04-02T00:00:00"/>
    <s v="SM000001512"/>
    <s v="Зулайхо опа (Нам)"/>
    <s v="Наманган_Зулайхо опа"/>
    <s v="SM"/>
    <s v="&quot;Grand Pharm Namangan&quot; Mchj"/>
    <x v="0"/>
    <n v="15"/>
    <n v="40621"/>
    <n v="609315"/>
    <n v="225000"/>
    <m/>
    <n v="103583.55"/>
    <n v="328583.55"/>
  </r>
  <r>
    <n v="2026"/>
    <n v="4"/>
    <d v="2026-04-03T00:00:00"/>
    <s v="SM000001540"/>
    <s v="Жонибек ака (Анд)"/>
    <s v="Андижон_Жонибек ака"/>
    <s v="SM"/>
    <s v="&quot;Temur Med Farm Shifo&quot; Mchj"/>
    <x v="0"/>
    <n v="50"/>
    <n v="40621"/>
    <n v="2031050"/>
    <n v="750000"/>
    <m/>
    <n v="345278.5"/>
    <n v="1095278.5"/>
  </r>
  <r>
    <n v="2026"/>
    <n v="4"/>
    <d v="2026-04-03T00:00:00"/>
    <s v="SM000001557"/>
    <s v="Абдурашид ака (Нам)"/>
    <s v="Наманган_Зулайхо опа"/>
    <s v="SM"/>
    <s v="&quot;Davr Farma&quot; Xk"/>
    <x v="0"/>
    <n v="20"/>
    <n v="40621"/>
    <n v="812420"/>
    <n v="300000"/>
    <m/>
    <n v="138111.40000000002"/>
    <n v="438111.4"/>
  </r>
  <r>
    <n v="2026"/>
    <n v="4"/>
    <d v="2026-04-07T00:00:00"/>
    <s v="SM000001600"/>
    <s v="Абдуолим ака (Фр)"/>
    <s v="Фаргона_Ахроржон Ака"/>
    <s v="SM"/>
    <s v="Ahmadjon Farm Biznes Мчж"/>
    <x v="1"/>
    <n v="10"/>
    <n v="120000"/>
    <n v="1200000"/>
    <n v="350000"/>
    <m/>
    <n v="204000.00000000003"/>
    <n v="554000"/>
  </r>
  <r>
    <n v="2026"/>
    <n v="4"/>
    <d v="2026-04-09T00:00:00"/>
    <s v="SM000001638"/>
    <s v="Ахроржон ака (Фр)"/>
    <s v="Фаргона_Ахроржон Ака"/>
    <s v="SM"/>
    <s v="&quot;Pharm Gate Group&quot; Mchj"/>
    <x v="1"/>
    <n v="60"/>
    <n v="120000"/>
    <n v="7200000"/>
    <n v="2100000"/>
    <m/>
    <n v="1224000"/>
    <n v="3324000"/>
  </r>
  <r>
    <n v="2026"/>
    <n v="4"/>
    <d v="2026-04-10T00:00:00"/>
    <s v="SM000001663"/>
    <s v="Абдурашид ака (Нам)"/>
    <s v="Наманган_Зулайхо опа"/>
    <s v="SM"/>
    <s v="&quot;Insof Baraka Farm&quot; Mchj"/>
    <x v="0"/>
    <n v="10"/>
    <n v="40621"/>
    <n v="406210"/>
    <n v="150000"/>
    <m/>
    <n v="69055.700000000012"/>
    <n v="219055.7"/>
  </r>
  <r>
    <n v="2026"/>
    <n v="4"/>
    <d v="2026-04-13T00:00:00"/>
    <s v="SM000001711"/>
    <s v="Ахроржон ака (Фр)"/>
    <s v="Фаргона_Ахроржон Ака"/>
    <s v="SM"/>
    <s v="&quot;Turon Pharm Industry&quot; Mchj"/>
    <x v="1"/>
    <n v="20"/>
    <n v="120000"/>
    <n v="2400000"/>
    <n v="700000"/>
    <m/>
    <n v="408000.00000000006"/>
    <n v="1108000"/>
  </r>
  <r>
    <n v="2026"/>
    <n v="4"/>
    <d v="2026-04-13T00:00:00"/>
    <s v="SM000001713"/>
    <s v="Баходирхон ака"/>
    <s v="Кукон_Баходирхон ака"/>
    <s v="SM"/>
    <s v="Al-Xikmat Shifo Хусусий Фирма"/>
    <x v="2"/>
    <n v="15"/>
    <n v="65000"/>
    <n v="975000"/>
    <n v="300000"/>
    <m/>
    <n v="165750"/>
    <n v="465750"/>
  </r>
  <r>
    <n v="2026"/>
    <n v="4"/>
    <d v="2026-04-13T00:00:00"/>
    <s v="SM000001728"/>
    <s v="Жонибек ака (Анд)"/>
    <s v="Андижон_Жонибек ака"/>
    <s v="SM"/>
    <s v="ООО &quot;Zilol Farm Andijon&quot;"/>
    <x v="0"/>
    <n v="17"/>
    <n v="40621"/>
    <n v="690557"/>
    <n v="255000"/>
    <m/>
    <n v="117394.69"/>
    <n v="372394.69"/>
  </r>
  <r>
    <n v="2026"/>
    <n v="4"/>
    <d v="2026-04-13T00:00:00"/>
    <s v="SM000001728"/>
    <s v="Жонибек ака (Анд)"/>
    <s v="Андижон_Жонибек ака"/>
    <s v="SM"/>
    <s v="ООО &quot;Zilol Farm Andijon&quot;"/>
    <x v="0"/>
    <n v="103"/>
    <n v="40621"/>
    <n v="4183963"/>
    <n v="1545000"/>
    <m/>
    <n v="711273.71000000008"/>
    <n v="2256273.71"/>
  </r>
  <r>
    <n v="2026"/>
    <n v="4"/>
    <d v="2026-04-13T00:00:00"/>
    <s v="SM000001731"/>
    <s v="Ахроржон ака (Фр)"/>
    <s v="Фаргона_Ахроржон Ака"/>
    <s v="SM"/>
    <s v="&quot;Jidda Pharm&quot; Mchj"/>
    <x v="1"/>
    <n v="50"/>
    <n v="120000"/>
    <n v="6000000"/>
    <n v="1750000"/>
    <m/>
    <n v="1020000.0000000001"/>
    <n v="2770000"/>
  </r>
  <r>
    <n v="2026"/>
    <n v="4"/>
    <d v="2026-04-14T00:00:00"/>
    <s v="SM000001757"/>
    <s v="Абдурашид ака (Нам)"/>
    <s v="Наманган_Зулайхо опа"/>
    <s v="SM"/>
    <s v="&quot;Dardga Darmon Servis&quot; Xk"/>
    <x v="0"/>
    <n v="50"/>
    <n v="40621"/>
    <n v="2031050"/>
    <n v="750000"/>
    <m/>
    <n v="345278.5"/>
    <n v="1095278.5"/>
  </r>
  <r>
    <n v="2026"/>
    <n v="4"/>
    <d v="2026-04-21T00:00:00"/>
    <s v="SM000001900"/>
    <s v="Умар ака (Фр)"/>
    <s v="Фаргона_Умар ака Сух"/>
    <s v="SM"/>
    <s v="&quot;Sux Farm Medikal&quot; Mchj"/>
    <x v="1"/>
    <n v="10"/>
    <n v="120000"/>
    <n v="1200000"/>
    <n v="350000"/>
    <m/>
    <n v="204000.00000000003"/>
    <n v="554000"/>
  </r>
  <r>
    <n v="2026"/>
    <n v="4"/>
    <d v="2026-04-21T00:00:00"/>
    <s v="SM000001931"/>
    <s v="Мусабек ака"/>
    <s v="Кукон_Баходирхон ака"/>
    <s v="SM"/>
    <s v="&quot;Grand Pharm Fergana&quot; Mchj"/>
    <x v="3"/>
    <n v="10"/>
    <n v="64700"/>
    <n v="647000"/>
    <n v="200000"/>
    <m/>
    <n v="109990.00000000001"/>
    <n v="309990"/>
  </r>
  <r>
    <n v="2026"/>
    <n v="4"/>
    <d v="2026-04-23T00:00:00"/>
    <s v="SM000001974"/>
    <s v="Ахроржон ака (Фр)"/>
    <s v="Фаргона_Ахроржон Ака"/>
    <s v="SM"/>
    <s v="&quot;Pharm Gate Group&quot; Mchj"/>
    <x v="1"/>
    <n v="20"/>
    <n v="120000"/>
    <n v="2400000"/>
    <n v="700000"/>
    <m/>
    <n v="408000.00000000006"/>
    <n v="1108000"/>
  </r>
  <r>
    <n v="2026"/>
    <n v="4"/>
    <d v="2026-04-27T00:00:00"/>
    <s v="SM000002045"/>
    <s v="Ахроржон ака (Фр)"/>
    <s v="Фаргона_Ахроржон Ака"/>
    <s v="SM"/>
    <s v="&quot;Pharm Gate Group&quot; Mchj"/>
    <x v="1"/>
    <n v="10"/>
    <n v="120000"/>
    <n v="1200000"/>
    <n v="350000"/>
    <m/>
    <n v="204000.00000000003"/>
    <n v="554000"/>
  </r>
  <r>
    <n v="2026"/>
    <n v="4"/>
    <d v="2026-04-28T00:00:00"/>
    <s v="SM000002088"/>
    <s v="Абдуллох ака (S)"/>
    <s v="Андижон_Жонибек ака (S)"/>
    <s v="SM"/>
    <s v="&quot;Nodir&quot; Mchj"/>
    <x v="2"/>
    <n v="10"/>
    <n v="65000"/>
    <n v="650000"/>
    <n v="200000"/>
    <m/>
    <n v="110500.00000000001"/>
    <n v="310500"/>
  </r>
  <r>
    <n v="2026"/>
    <n v="4"/>
    <d v="2026-04-30T00:00:00"/>
    <s v="SM000002131"/>
    <s v="Мусабек ака"/>
    <s v="Кукон_Баходирхон ака"/>
    <s v="SM"/>
    <s v="&quot;Niyozbek Farm&quot; Mchj"/>
    <x v="2"/>
    <n v="10"/>
    <n v="65000"/>
    <n v="650000"/>
    <n v="200000"/>
    <m/>
    <n v="110500.00000000001"/>
    <n v="310500"/>
  </r>
  <r>
    <n v="2026"/>
    <n v="4"/>
    <d v="2026-04-30T00:00:00"/>
    <s v="SM000002145"/>
    <s v="Абдуллох ака (S)"/>
    <s v="Андижон_Жонибек ака (S)"/>
    <s v="SM"/>
    <s v="Gulnora Med Farm Mchj"/>
    <x v="1"/>
    <n v="10"/>
    <n v="120000"/>
    <n v="1200000"/>
    <n v="350000"/>
    <m/>
    <n v="204000.00000000003"/>
    <n v="554000"/>
  </r>
  <r>
    <n v="2026"/>
    <n v="5"/>
    <d v="2026-05-01T00:00:00"/>
    <s v="SM000002163"/>
    <s v="Ахроржон ака (Фр)"/>
    <s v="Фаргона_Ахроржон Ака"/>
    <s v="SM"/>
    <s v="&quot;Grand Pharm Fergana&quot; Mchj"/>
    <x v="1"/>
    <n v="40"/>
    <n v="122400"/>
    <n v="4896000"/>
    <n v="1400000"/>
    <m/>
    <n v="832320.00000000012"/>
    <n v="2232320"/>
  </r>
  <r>
    <n v="2026"/>
    <n v="5"/>
    <d v="2026-05-05T00:00:00"/>
    <s v="SM000002245"/>
    <s v="Ахроржон ака (Фр)"/>
    <s v="Фаргона_Ахроржон Ака"/>
    <s v="SM"/>
    <s v="&quot;Anor Davo Farm&quot; Mchj"/>
    <x v="1"/>
    <n v="5"/>
    <n v="122400"/>
    <n v="612000"/>
    <n v="175000"/>
    <m/>
    <n v="104040.00000000001"/>
    <n v="279040"/>
  </r>
  <r>
    <n v="2026"/>
    <n v="5"/>
    <d v="2026-05-07T00:00:00"/>
    <s v="SM000002298"/>
    <s v="Баходирхон ака"/>
    <s v="Кукон_Баходирхон ака"/>
    <s v="SM"/>
    <s v="Al-Xikmat Shifo Хусусий Фирма"/>
    <x v="2"/>
    <n v="30"/>
    <n v="65000"/>
    <n v="1950000"/>
    <n v="600000"/>
    <m/>
    <n v="331500"/>
    <n v="931500"/>
  </r>
  <r>
    <n v="2026"/>
    <n v="5"/>
    <d v="2026-05-07T00:00:00"/>
    <s v="SM000002314"/>
    <s v="Зафархон ака (Фр)"/>
    <s v="Фаргона_Зафаржон ака"/>
    <s v="SM"/>
    <s v="&quot;Fartuna Yur&quot; Xk"/>
    <x v="4"/>
    <n v="80"/>
    <n v="90000"/>
    <n v="7200000"/>
    <n v="2000000"/>
    <m/>
    <n v="1224000"/>
    <n v="3224000"/>
  </r>
  <r>
    <n v="2026"/>
    <n v="5"/>
    <d v="2026-05-08T00:00:00"/>
    <s v="SM000002322"/>
    <s v="Абдуллох ака (S)"/>
    <s v="Андижон_Жонибек ака (S)"/>
    <s v="SM"/>
    <s v="&quot;Andijon Viloyat Ko`P Tarmoqli Tibbiyot Markazi&quot; Dm"/>
    <x v="1"/>
    <n v="10"/>
    <n v="120000"/>
    <n v="1200000"/>
    <n v="350000"/>
    <m/>
    <n v="204000.00000000003"/>
    <n v="554000"/>
  </r>
  <r>
    <n v="2026"/>
    <n v="5"/>
    <d v="2026-05-13T00:00:00"/>
    <s v="SM000002424"/>
    <s v="Абдуллох ака (S)"/>
    <s v="Андижон_Жонибек ака (S)"/>
    <s v="SM"/>
    <s v="&quot;Makro Pharmaseuitical&quot; Mchj"/>
    <x v="2"/>
    <n v="100"/>
    <n v="65000"/>
    <n v="6500000"/>
    <n v="2000000"/>
    <m/>
    <n v="1105000"/>
    <n v="3105000"/>
  </r>
  <r>
    <n v="2026"/>
    <n v="5"/>
    <d v="2026-05-14T00:00:00"/>
    <s v="SM000002459"/>
    <s v="Умар ака (Фр)"/>
    <s v="Фаргона_Умар ака Сух"/>
    <s v="SM"/>
    <s v="&quot;Mulki Amenjon&quot; Xk"/>
    <x v="1"/>
    <n v="20"/>
    <n v="120000"/>
    <n v="2400000"/>
    <n v="700000"/>
    <m/>
    <n v="408000.00000000006"/>
    <n v="1108000"/>
  </r>
  <r>
    <n v="2026"/>
    <n v="5"/>
    <d v="2026-05-14T00:00:00"/>
    <s v="SM000002460"/>
    <s v="Ахроржон ака (Фр)"/>
    <s v="Фаргона_Ахроржон Ака"/>
    <s v="SM"/>
    <s v="&quot;Grand Pharm Fergana&quot; Mchj"/>
    <x v="1"/>
    <n v="100"/>
    <n v="120000"/>
    <n v="12000000"/>
    <n v="3500000"/>
    <m/>
    <n v="2040000.0000000002"/>
    <n v="5540000"/>
  </r>
  <r>
    <n v="2026"/>
    <n v="5"/>
    <d v="2026-05-15T00:00:00"/>
    <s v="SM000002468"/>
    <s v="Мусабек ака"/>
    <s v="Кукон_Баходирхон ака"/>
    <s v="SM"/>
    <s v="&quot;Grand Pharm Fergana&quot; Mchj"/>
    <x v="3"/>
    <n v="40"/>
    <n v="64700"/>
    <n v="2588000"/>
    <n v="800000"/>
    <m/>
    <n v="439960.00000000006"/>
    <n v="1239960"/>
  </r>
  <r>
    <n v="2025"/>
    <n v="1"/>
    <d v="2025-01-31T00:00:00"/>
    <s v="P2000000100"/>
    <s v="Хуршед ака"/>
    <s v="Самарканд_Хуршид ака"/>
    <s v="P2"/>
    <s v="Хуршид ака"/>
    <x v="0"/>
    <n v="7800"/>
    <n v="16300"/>
    <n v="127140000"/>
    <m/>
    <m/>
    <m/>
    <n v="0"/>
  </r>
  <r>
    <n v="2025"/>
    <n v="1"/>
    <d v="2025-01-31T00:00:00"/>
    <s v="P2000000101"/>
    <s v="Жонибек ака"/>
    <s v="Андижон_Жонибек ака"/>
    <s v="P2"/>
    <s v="Жонибек ака Андижон"/>
    <x v="0"/>
    <n v="5000"/>
    <m/>
    <m/>
    <m/>
    <m/>
    <m/>
    <n v="0"/>
  </r>
  <r>
    <n v="2025"/>
    <n v="2"/>
    <d v="2025-02-04T00:00:00"/>
    <s v="P2000000115"/>
    <s v="Жонибек ака"/>
    <s v="Андижон_Жонибек ака"/>
    <s v="P2"/>
    <s v="Жонибек ака Андижон"/>
    <x v="0"/>
    <n v="3000"/>
    <m/>
    <m/>
    <m/>
    <m/>
    <m/>
    <n v="0"/>
  </r>
  <r>
    <n v="2025"/>
    <n v="2"/>
    <d v="2025-02-10T00:00:00"/>
    <s v="P2000000139"/>
    <s v="Рустам ака"/>
    <s v="Б2Б-Бухоро_Рустам ака"/>
    <s v="P2"/>
    <s v="Б2Б-Бухоро_Рустам ака"/>
    <x v="0"/>
    <n v="5000"/>
    <m/>
    <m/>
    <m/>
    <m/>
    <m/>
    <n v="0"/>
  </r>
  <r>
    <n v="2025"/>
    <n v="2"/>
    <d v="2025-02-26T00:00:00"/>
    <s v="P2000000194"/>
    <s v="Розия опа"/>
    <s v="Б2Б - Наманган_Розия опа"/>
    <s v="P2"/>
    <s v="Розия опа"/>
    <x v="0"/>
    <n v="480"/>
    <m/>
    <m/>
    <m/>
    <m/>
    <m/>
    <n v="0"/>
  </r>
  <r>
    <n v="2025"/>
    <n v="2"/>
    <d v="2025-02-26T00:00:00"/>
    <s v="P2000000195"/>
    <s v="Рустам ака"/>
    <s v="Таш.Обл_Рустам ака"/>
    <s v="P2"/>
    <s v="Рустам ака Таш обл"/>
    <x v="0"/>
    <n v="1200"/>
    <m/>
    <m/>
    <m/>
    <m/>
    <m/>
    <n v="0"/>
  </r>
  <r>
    <n v="2025"/>
    <n v="2"/>
    <d v="2025-02-26T00:00:00"/>
    <s v="P2000000196"/>
    <s v="Фотима опа"/>
    <s v="Сирдарьё_Фотима опа"/>
    <s v="P2"/>
    <s v="Фотима опа"/>
    <x v="0"/>
    <n v="480"/>
    <m/>
    <m/>
    <m/>
    <m/>
    <m/>
    <n v="0"/>
  </r>
  <r>
    <n v="2025"/>
    <n v="3"/>
    <d v="2025-03-07T00:00:00"/>
    <s v="P2000000243"/>
    <s v="Сарвар ака"/>
    <s v="Сурхондарьё_Сарвар ака"/>
    <s v="P2"/>
    <s v="Сарвар ака"/>
    <x v="0"/>
    <n v="500"/>
    <m/>
    <m/>
    <m/>
    <m/>
    <m/>
    <n v="0"/>
  </r>
  <r>
    <n v="2025"/>
    <n v="4"/>
    <d v="2025-04-21T00:00:00"/>
    <s v="P2000000380"/>
    <s v="Б2Б - Навоий_Гулшода опа"/>
    <s v="Б2Б - Навоий_Гулшода опа"/>
    <s v="P2"/>
    <s v="Б2Б - Навоий_Гулшода опа"/>
    <x v="0"/>
    <n v="240"/>
    <m/>
    <m/>
    <m/>
    <m/>
    <m/>
    <n v="0"/>
  </r>
  <r>
    <n v="2025"/>
    <n v="4"/>
    <d v="2025-04-21T00:00:00"/>
    <s v="P2000000381"/>
    <s v="Б2Б - Наманган_Розия опа"/>
    <s v="Б2Б - Наманган_Розия опа"/>
    <s v="P2"/>
    <s v="Б2Б - Наманган_Розия опа"/>
    <x v="0"/>
    <n v="500"/>
    <m/>
    <m/>
    <m/>
    <m/>
    <m/>
    <n v="0"/>
  </r>
  <r>
    <n v="2025"/>
    <n v="4"/>
    <d v="2025-04-21T00:00:00"/>
    <s v="P2000000395"/>
    <s v="Сарвар ака"/>
    <s v="Сурхондарьё_Сарвар ака"/>
    <s v="P2"/>
    <s v="Сарвар ака"/>
    <x v="0"/>
    <n v="600"/>
    <n v="19000"/>
    <n v="11400000"/>
    <m/>
    <m/>
    <m/>
    <n v="0"/>
  </r>
  <r>
    <n v="2025"/>
    <n v="4"/>
    <d v="2025-04-22T00:00:00"/>
    <s v="P2000000399"/>
    <s v="Б2Б - Хоразм_Саййора опа"/>
    <s v="Б2Б - Хоразм_Саййора опа"/>
    <s v="P2"/>
    <s v="Б2Б - Хоразм_Саййора опа"/>
    <x v="0"/>
    <n v="1200"/>
    <n v="16300"/>
    <n v="19560000"/>
    <m/>
    <m/>
    <m/>
    <n v="0"/>
  </r>
  <r>
    <n v="2025"/>
    <n v="4"/>
    <d v="2025-04-23T00:00:00"/>
    <s v="P2000000408"/>
    <s v="Жонибек ака"/>
    <s v="Б2Б - Андижон Жонибек"/>
    <s v="P2"/>
    <s v="Жонибек ака Андижон"/>
    <x v="0"/>
    <n v="1200"/>
    <m/>
    <m/>
    <m/>
    <m/>
    <m/>
    <n v="0"/>
  </r>
  <r>
    <n v="2025"/>
    <n v="4"/>
    <d v="2025-04-23T00:00:00"/>
    <s v="P2000000409"/>
    <s v="Жонибек ака"/>
    <s v="Б2Б - Андижон Жонибек"/>
    <s v="P2"/>
    <s v="Жонибек ака Андижон"/>
    <x v="0"/>
    <n v="1200"/>
    <m/>
    <m/>
    <m/>
    <m/>
    <m/>
    <n v="0"/>
  </r>
  <r>
    <n v="2025"/>
    <n v="5"/>
    <d v="2025-05-12T00:00:00"/>
    <s v="P2000000517"/>
    <s v="Нилюфар опа"/>
    <s v="Кашкадарьё_Нилуфар опа"/>
    <s v="P2"/>
    <s v="Нилюфар опа Карши"/>
    <x v="0"/>
    <n v="480"/>
    <m/>
    <m/>
    <m/>
    <m/>
    <m/>
    <n v="0"/>
  </r>
  <r>
    <n v="2025"/>
    <n v="5"/>
    <d v="2025-05-19T00:00:00"/>
    <s v="P2000000559"/>
    <s v="Рустам ака"/>
    <s v="Б2Б - Тош обл Рустам ока"/>
    <s v="P2"/>
    <s v="Б2Б - Тош обл Рустам ока"/>
    <x v="0"/>
    <n v="480"/>
    <m/>
    <m/>
    <m/>
    <m/>
    <m/>
    <n v="0"/>
  </r>
  <r>
    <n v="2025"/>
    <n v="5"/>
    <d v="2025-05-22T00:00:00"/>
    <s v="P2000000587"/>
    <s v="Б2Б - Навоий_Гулшода опа"/>
    <s v="Б2Б - Навоий_Гулшода опа"/>
    <s v="P2"/>
    <s v="Б2Б - Навоий_Гулшода опа"/>
    <x v="0"/>
    <n v="240"/>
    <m/>
    <m/>
    <m/>
    <m/>
    <m/>
    <n v="0"/>
  </r>
  <r>
    <n v="2025"/>
    <n v="6"/>
    <d v="2025-06-05T00:00:00"/>
    <s v="P2000000667"/>
    <s v="Рустам ака"/>
    <s v="Б2Б - Тош обл Рустам ока"/>
    <s v="P2"/>
    <s v="Б2Б - Тош обл Рустам ока"/>
    <x v="0"/>
    <n v="480"/>
    <m/>
    <m/>
    <m/>
    <m/>
    <m/>
    <n v="0"/>
  </r>
  <r>
    <n v="2025"/>
    <n v="6"/>
    <d v="2025-06-10T00:00:00"/>
    <s v="P2000000683"/>
    <s v="Жонибек ака"/>
    <s v="Андижон_Жонибек ака"/>
    <s v="P2"/>
    <s v="Жонибек ака Андижон"/>
    <x v="0"/>
    <n v="1200"/>
    <m/>
    <m/>
    <m/>
    <m/>
    <m/>
    <n v="0"/>
  </r>
  <r>
    <n v="2025"/>
    <n v="6"/>
    <d v="2025-06-17T00:00:00"/>
    <s v="P2000000728"/>
    <s v="Рустам ака"/>
    <s v="Б2Б - Тош обл Рустам ока"/>
    <s v="P2"/>
    <s v="Б2Б - Тош обл Рустам ока"/>
    <x v="0"/>
    <n v="480"/>
    <m/>
    <m/>
    <m/>
    <m/>
    <m/>
    <n v="0"/>
  </r>
  <r>
    <n v="2025"/>
    <n v="6"/>
    <d v="2025-06-19T00:00:00"/>
    <s v="P2000000748"/>
    <s v="Фотима опа"/>
    <s v="Сирдарьё_Фотима опа"/>
    <s v="P2"/>
    <s v="Фотима опа"/>
    <x v="0"/>
    <n v="100"/>
    <m/>
    <m/>
    <m/>
    <m/>
    <m/>
    <n v="0"/>
  </r>
  <r>
    <n v="2025"/>
    <n v="6"/>
    <d v="2025-06-20T00:00:00"/>
    <s v="P2000000762"/>
    <s v="Нилюфар опа"/>
    <s v="Кашкадарьё_Нилуфар опа"/>
    <s v="P2"/>
    <s v="Нилюфар опа Карши"/>
    <x v="0"/>
    <n v="1000"/>
    <m/>
    <m/>
    <m/>
    <m/>
    <m/>
    <n v="0"/>
  </r>
  <r>
    <n v="2025"/>
    <n v="7"/>
    <d v="2025-07-07T00:00:00"/>
    <s v="P2000000839"/>
    <s v="Рустам ака"/>
    <s v="Таш.Обл_Рустам ака"/>
    <s v="P2"/>
    <s v="Рустам ака Таш обл"/>
    <x v="0"/>
    <n v="480"/>
    <m/>
    <m/>
    <m/>
    <m/>
    <m/>
    <n v="0"/>
  </r>
  <r>
    <n v="2025"/>
    <n v="7"/>
    <d v="2025-07-07T00:00:00"/>
    <s v="P2000000840"/>
    <s v="Жонибек ака"/>
    <s v="Андижон_Жонибек ака"/>
    <s v="P2"/>
    <s v="Жонибек ака Андижон"/>
    <x v="0"/>
    <n v="1200"/>
    <m/>
    <m/>
    <m/>
    <m/>
    <m/>
    <n v="0"/>
  </r>
  <r>
    <n v="2025"/>
    <n v="7"/>
    <d v="2025-07-08T00:00:00"/>
    <s v="P2000000859"/>
    <s v="Б2Б - Хоразм_Саййора опа"/>
    <s v="Б2Б - Хоразм_Саййора опа"/>
    <s v="P2"/>
    <s v="Б2Б - Хоразм_Саййора опа"/>
    <x v="0"/>
    <n v="1500"/>
    <n v="16300"/>
    <n v="24450000"/>
    <m/>
    <m/>
    <m/>
    <n v="0"/>
  </r>
  <r>
    <n v="2025"/>
    <n v="7"/>
    <d v="2025-07-10T00:00:00"/>
    <s v="P2000000874"/>
    <s v="Сарвар ака"/>
    <s v="Сурхондарьё_Сарвар ака"/>
    <s v="P2"/>
    <s v="Сарвар ака"/>
    <x v="0"/>
    <n v="500"/>
    <n v="19000"/>
    <n v="9500000"/>
    <m/>
    <m/>
    <m/>
    <n v="0"/>
  </r>
  <r>
    <n v="2025"/>
    <n v="7"/>
    <d v="2025-07-11T00:00:00"/>
    <s v="P2000000886"/>
    <s v="Фотима опа"/>
    <s v="Сирдарьё_Фотима опа"/>
    <s v="P2"/>
    <s v="Фотима опа"/>
    <x v="0"/>
    <n v="300"/>
    <m/>
    <m/>
    <m/>
    <m/>
    <m/>
    <n v="0"/>
  </r>
  <r>
    <n v="2025"/>
    <n v="7"/>
    <d v="2025-07-11T00:00:00"/>
    <s v="P2000000887"/>
    <s v="Фотима опа"/>
    <s v="Сирдарьё_Фотима опа"/>
    <s v="P2"/>
    <s v="Фотима опа"/>
    <x v="0"/>
    <n v="200"/>
    <m/>
    <m/>
    <m/>
    <m/>
    <m/>
    <n v="0"/>
  </r>
  <r>
    <n v="2025"/>
    <n v="7"/>
    <d v="2025-07-14T00:00:00"/>
    <s v="P2000000890"/>
    <s v="Нилюфар опа"/>
    <s v="Кашкадарьё_Нилуфар опа"/>
    <s v="P2"/>
    <s v="Нилюфар опа Карши"/>
    <x v="0"/>
    <n v="1000"/>
    <m/>
    <m/>
    <m/>
    <m/>
    <m/>
    <n v="0"/>
  </r>
  <r>
    <n v="2025"/>
    <n v="7"/>
    <d v="2025-07-15T00:00:00"/>
    <s v="P2000000904"/>
    <s v="Жонибек ака"/>
    <s v="Андижон_Жонибек ака"/>
    <s v="P2"/>
    <s v="Жонибек ака Андижон"/>
    <x v="0"/>
    <n v="2400"/>
    <m/>
    <m/>
    <m/>
    <m/>
    <m/>
    <n v="0"/>
  </r>
  <r>
    <n v="2025"/>
    <n v="7"/>
    <d v="2025-07-16T00:00:00"/>
    <s v="P2000000911"/>
    <s v="Рустам ака"/>
    <s v="Бухоро_Рустам ака"/>
    <s v="P2"/>
    <s v="Рустам ака"/>
    <x v="0"/>
    <n v="2000"/>
    <m/>
    <m/>
    <m/>
    <m/>
    <m/>
    <n v="0"/>
  </r>
  <r>
    <n v="2025"/>
    <n v="7"/>
    <d v="2025-07-17T00:00:00"/>
    <s v="P2000000926"/>
    <s v="Рустам ака"/>
    <s v="Б2Б-Бухоро_Рустам ака"/>
    <s v="P2"/>
    <s v="Б2Б-Бухоро_Рустам ака"/>
    <x v="0"/>
    <n v="480"/>
    <m/>
    <m/>
    <m/>
    <m/>
    <m/>
    <n v="0"/>
  </r>
  <r>
    <n v="2025"/>
    <n v="8"/>
    <d v="2025-08-06T00:00:00"/>
    <s v="P2000001027"/>
    <s v="Рустам ака"/>
    <s v="Б2Б - Тош обл Рустам ока"/>
    <s v="P2"/>
    <s v="Б2Б - Тош обл Рустам ока"/>
    <x v="0"/>
    <n v="480"/>
    <m/>
    <m/>
    <m/>
    <m/>
    <m/>
    <n v="0"/>
  </r>
  <r>
    <n v="2025"/>
    <n v="8"/>
    <d v="2025-08-08T00:00:00"/>
    <s v="P2000001035"/>
    <s v="Нилюфар опа"/>
    <s v="Кашкадарьё_Нилуфар опа"/>
    <s v="P2"/>
    <s v="Нилюфар опа Карши"/>
    <x v="0"/>
    <n v="1000"/>
    <m/>
    <m/>
    <m/>
    <m/>
    <m/>
    <n v="0"/>
  </r>
  <r>
    <n v="2025"/>
    <n v="8"/>
    <d v="2025-08-15T00:00:00"/>
    <s v="P2000001063"/>
    <s v="Жонибек ака"/>
    <s v="Б2Б - Андижон Жонибек"/>
    <s v="P2"/>
    <s v="Жонибек ака Андижон"/>
    <x v="0"/>
    <n v="720"/>
    <m/>
    <m/>
    <m/>
    <m/>
    <m/>
    <n v="0"/>
  </r>
  <r>
    <n v="2025"/>
    <n v="8"/>
    <d v="2025-08-19T00:00:00"/>
    <s v="P2000001071"/>
    <s v="Фотима опа"/>
    <s v="Б2Б - Сирдаре Фотима опа"/>
    <s v="P2"/>
    <s v="Фотима опа"/>
    <x v="0"/>
    <n v="100"/>
    <m/>
    <m/>
    <m/>
    <m/>
    <m/>
    <n v="0"/>
  </r>
  <r>
    <n v="2025"/>
    <n v="8"/>
    <d v="2025-08-20T00:00:00"/>
    <s v="P2000001077"/>
    <s v="Людмила опа"/>
    <s v="Сурхондарьё_Людмила опа"/>
    <s v="P2"/>
    <s v="Людмила опа"/>
    <x v="0"/>
    <n v="1000"/>
    <n v="18300"/>
    <n v="18300000"/>
    <m/>
    <m/>
    <m/>
    <n v="0"/>
  </r>
  <r>
    <n v="2025"/>
    <n v="8"/>
    <d v="2025-08-20T00:00:00"/>
    <s v="P2000001085"/>
    <s v="Фотима опа"/>
    <s v="Б2Б - Сирдаре Фотима опа"/>
    <s v="P2"/>
    <s v="Фотима опа"/>
    <x v="0"/>
    <n v="100"/>
    <m/>
    <m/>
    <m/>
    <m/>
    <m/>
    <n v="0"/>
  </r>
  <r>
    <n v="2025"/>
    <n v="8"/>
    <d v="2025-08-22T00:00:00"/>
    <s v="P2000001107"/>
    <s v="Рустам ака"/>
    <s v="Б2Б - Тош обл Рустам ока"/>
    <s v="P2"/>
    <s v="Б2Б - Тош обл Рустам ока"/>
    <x v="0"/>
    <n v="480"/>
    <m/>
    <m/>
    <m/>
    <m/>
    <m/>
    <n v="0"/>
  </r>
  <r>
    <n v="2025"/>
    <n v="8"/>
    <d v="2025-08-25T00:00:00"/>
    <s v="P2000001110"/>
    <s v="Жонибек ака"/>
    <s v="Б2Б - Андижон Жонибек"/>
    <s v="P2"/>
    <s v="Жонибек ака Андижон"/>
    <x v="0"/>
    <n v="1200"/>
    <m/>
    <m/>
    <m/>
    <m/>
    <m/>
    <n v="0"/>
  </r>
  <r>
    <n v="2025"/>
    <n v="8"/>
    <d v="2025-08-25T00:00:00"/>
    <s v="P2000001112"/>
    <s v="Фотима опа"/>
    <s v="Б2Б - Сирдаре Фотима опа"/>
    <s v="P2"/>
    <s v="Фотима опа"/>
    <x v="0"/>
    <n v="120"/>
    <m/>
    <m/>
    <m/>
    <m/>
    <m/>
    <n v="0"/>
  </r>
  <r>
    <n v="2025"/>
    <n v="9"/>
    <d v="2025-09-04T00:00:00"/>
    <s v="P2000001145"/>
    <s v="Фотима опа"/>
    <s v="Б2Б - Сирдаре Фотима опа"/>
    <s v="P2"/>
    <s v="Фотима опа"/>
    <x v="0"/>
    <n v="120"/>
    <m/>
    <m/>
    <m/>
    <m/>
    <m/>
    <n v="0"/>
  </r>
  <r>
    <n v="2025"/>
    <n v="9"/>
    <d v="2025-09-08T00:00:00"/>
    <s v="P2000001151"/>
    <s v="Мохира опа"/>
    <s v="Тошкент_Мохира опа"/>
    <s v="P2"/>
    <s v="Мохира опа"/>
    <x v="0"/>
    <n v="240"/>
    <n v="18300"/>
    <n v="4392000"/>
    <m/>
    <m/>
    <m/>
    <n v="0"/>
  </r>
  <r>
    <n v="2025"/>
    <n v="9"/>
    <d v="2025-09-09T00:00:00"/>
    <s v="P2000001160"/>
    <s v="Хуршида опа"/>
    <s v="Самарканд_Хуршид ака"/>
    <s v="P2"/>
    <s v="Хуршид ака"/>
    <x v="0"/>
    <n v="1440"/>
    <n v="16300"/>
    <n v="23472000"/>
    <m/>
    <m/>
    <m/>
    <n v="0"/>
  </r>
  <r>
    <n v="2025"/>
    <n v="9"/>
    <d v="2025-09-16T00:00:00"/>
    <s v="P2000001191"/>
    <s v="Жонибек ака"/>
    <s v="Андижон_Жонибек ака"/>
    <s v="P2"/>
    <s v="Жонибек ака Андижон"/>
    <x v="0"/>
    <n v="1200"/>
    <m/>
    <m/>
    <m/>
    <m/>
    <m/>
    <n v="0"/>
  </r>
  <r>
    <n v="2025"/>
    <n v="9"/>
    <d v="2025-09-16T00:00:00"/>
    <s v="P2000001196"/>
    <s v="Нилюфар опа"/>
    <s v="Кашкадарьё_Нилуфар опа"/>
    <s v="P2"/>
    <s v="Нилюфар опа Карши"/>
    <x v="0"/>
    <n v="1200"/>
    <m/>
    <m/>
    <m/>
    <m/>
    <m/>
    <n v="0"/>
  </r>
  <r>
    <n v="2025"/>
    <n v="9"/>
    <d v="2025-09-22T00:00:00"/>
    <s v="P2000001217"/>
    <s v="Рустам ака"/>
    <s v="Таш.Обл_Рустам ака"/>
    <s v="P2"/>
    <s v="Б2Б - Тош обл Рустам ока"/>
    <x v="0"/>
    <n v="480"/>
    <m/>
    <m/>
    <m/>
    <m/>
    <m/>
    <n v="0"/>
  </r>
  <r>
    <n v="2025"/>
    <n v="9"/>
    <d v="2025-09-29T00:00:00"/>
    <s v="P2000001253"/>
    <s v="Жонибек ака"/>
    <s v="Андижон_Жонибек ака"/>
    <s v="P2"/>
    <s v="Жонибек ака Андижон"/>
    <x v="0"/>
    <n v="480"/>
    <m/>
    <m/>
    <m/>
    <m/>
    <m/>
    <n v="0"/>
  </r>
  <r>
    <n v="2025"/>
    <n v="9"/>
    <d v="2025-09-29T00:00:00"/>
    <s v="P2000001254"/>
    <s v="Фотима опа"/>
    <s v="Сирдарьё_Фотима опа"/>
    <s v="P2"/>
    <s v="Фотима опа"/>
    <x v="0"/>
    <n v="300"/>
    <m/>
    <m/>
    <m/>
    <m/>
    <m/>
    <n v="0"/>
  </r>
  <r>
    <n v="2025"/>
    <n v="10"/>
    <d v="2025-10-03T00:00:00"/>
    <s v="P2000001269"/>
    <s v="Рустам ака"/>
    <s v="Таш.Обл_Рустам ака"/>
    <s v="P2"/>
    <s v="Б2Б - Тош обл Рустам ока"/>
    <x v="0"/>
    <n v="480"/>
    <m/>
    <m/>
    <m/>
    <m/>
    <m/>
    <n v="0"/>
  </r>
  <r>
    <n v="2025"/>
    <n v="10"/>
    <d v="2025-10-08T00:00:00"/>
    <s v="P2000001279"/>
    <s v="Шахло опа 2"/>
    <s v="Таш.Обл_Шахло опа"/>
    <s v="P2"/>
    <s v="Шахло опа2"/>
    <x v="1"/>
    <n v="500"/>
    <n v="55000"/>
    <n v="27500000"/>
    <m/>
    <m/>
    <m/>
    <n v="0"/>
  </r>
  <r>
    <n v="2025"/>
    <n v="10"/>
    <d v="2025-10-10T00:00:00"/>
    <s v="P2000001292"/>
    <s v="Жонибек ака"/>
    <s v="Андижон_Жонибек ака"/>
    <s v="P2"/>
    <s v="Жонибек ака Андижон"/>
    <x v="0"/>
    <n v="480"/>
    <m/>
    <m/>
    <m/>
    <m/>
    <m/>
    <n v="0"/>
  </r>
  <r>
    <n v="2025"/>
    <n v="10"/>
    <d v="2025-10-17T00:00:00"/>
    <s v="P2000001331"/>
    <s v="Саййора опа"/>
    <s v="Хоразм_Саййора опа"/>
    <s v="P2"/>
    <s v="Саййора опа"/>
    <x v="0"/>
    <n v="400"/>
    <m/>
    <m/>
    <m/>
    <m/>
    <m/>
    <n v="0"/>
  </r>
  <r>
    <n v="2025"/>
    <n v="10"/>
    <d v="2025-10-23T00:00:00"/>
    <s v="P2000001352"/>
    <s v="Амангул опа"/>
    <s v="Нукус_Амангуль опа"/>
    <s v="P2"/>
    <s v="Амангул опа "/>
    <x v="1"/>
    <n v="400"/>
    <n v="50000"/>
    <n v="20000000"/>
    <m/>
    <m/>
    <m/>
    <n v="0"/>
  </r>
  <r>
    <n v="2025"/>
    <n v="10"/>
    <d v="2025-10-23T00:00:00"/>
    <s v="P2000001354"/>
    <s v="Нилюфар опа"/>
    <s v="Кашкадарьё_Нилуфар опа"/>
    <s v="P2"/>
    <s v="Нилюфар опа Карши"/>
    <x v="0"/>
    <n v="1000"/>
    <m/>
    <m/>
    <m/>
    <m/>
    <m/>
    <n v="0"/>
  </r>
  <r>
    <n v="2025"/>
    <n v="10"/>
    <d v="2025-10-23T00:00:00"/>
    <s v="P2000001354"/>
    <s v="Нилюфар опа"/>
    <s v="Кашкадарьё_Нилуфар опа"/>
    <s v="P2"/>
    <s v="Нилюфар опа Карши"/>
    <x v="1"/>
    <n v="200"/>
    <n v="55000"/>
    <n v="11000000"/>
    <m/>
    <m/>
    <m/>
    <n v="0"/>
  </r>
  <r>
    <n v="2025"/>
    <n v="10"/>
    <d v="2025-10-27T00:00:00"/>
    <s v="P2000001380"/>
    <s v="Жонибек ака"/>
    <s v="Андижон_Жонибек ака"/>
    <s v="P2"/>
    <s v="Жонибек ака Андижон"/>
    <x v="0"/>
    <n v="720"/>
    <m/>
    <m/>
    <m/>
    <m/>
    <m/>
    <n v="0"/>
  </r>
  <r>
    <n v="2025"/>
    <n v="10"/>
    <d v="2025-10-28T00:00:00"/>
    <s v="P2000001392"/>
    <s v="Хуршед ака"/>
    <s v="Самарканд_Хуршид ака"/>
    <s v="P2"/>
    <s v="Хуршид ака"/>
    <x v="0"/>
    <n v="480"/>
    <m/>
    <n v="7824000"/>
    <m/>
    <m/>
    <m/>
    <n v="0"/>
  </r>
  <r>
    <n v="2025"/>
    <n v="11"/>
    <d v="2025-11-03T00:00:00"/>
    <s v="P2000001420"/>
    <s v="Рустам ака"/>
    <s v="Таш.Обл_Рустам ака"/>
    <s v="P2"/>
    <s v="Б2Б - Тош обл Рустам ока"/>
    <x v="0"/>
    <n v="480"/>
    <m/>
    <m/>
    <m/>
    <m/>
    <m/>
    <n v="0"/>
  </r>
  <r>
    <n v="2025"/>
    <n v="11"/>
    <d v="2025-11-03T00:00:00"/>
    <s v="P2000001422"/>
    <s v="Мафтуна опа "/>
    <s v="Шахрисабз_Мафтуна опа "/>
    <s v="P2"/>
    <s v="Мафтуна опа "/>
    <x v="1"/>
    <n v="80"/>
    <n v="55000"/>
    <n v="4400000"/>
    <m/>
    <m/>
    <m/>
    <n v="0"/>
  </r>
  <r>
    <n v="2025"/>
    <n v="11"/>
    <d v="2025-11-06T00:00:00"/>
    <s v="P2000001433"/>
    <s v="Рустам ака"/>
    <s v="Таш.Обл_Рустам ака"/>
    <s v="P2"/>
    <s v="Рустам ака Таш обл"/>
    <x v="0"/>
    <n v="480"/>
    <m/>
    <m/>
    <m/>
    <m/>
    <m/>
    <n v="0"/>
  </r>
  <r>
    <n v="2025"/>
    <n v="11"/>
    <d v="2025-11-06T00:00:00"/>
    <s v="P2000001434"/>
    <s v="Жонибек ака"/>
    <s v="Андижон_Жонибек ака"/>
    <s v="P2"/>
    <s v="Жонибек ака Андижон"/>
    <x v="0"/>
    <n v="840"/>
    <m/>
    <m/>
    <m/>
    <m/>
    <m/>
    <n v="0"/>
  </r>
  <r>
    <n v="2025"/>
    <n v="11"/>
    <d v="2025-11-10T00:00:00"/>
    <s v="P2000001457"/>
    <s v="Людмила опа"/>
    <s v="Сурхондарьё_Людмила опа"/>
    <s v="P2"/>
    <s v="Людмила опа"/>
    <x v="0"/>
    <n v="240"/>
    <n v="18300"/>
    <n v="4392000"/>
    <m/>
    <m/>
    <m/>
    <n v="0"/>
  </r>
  <r>
    <n v="2025"/>
    <n v="11"/>
    <d v="2025-11-12T00:00:00"/>
    <s v="P2000001473"/>
    <s v="Фотима опа"/>
    <s v="Сирдарьё_Фотима опа"/>
    <s v="P2"/>
    <s v="Фотима опа"/>
    <x v="0"/>
    <n v="100"/>
    <m/>
    <m/>
    <m/>
    <m/>
    <m/>
    <n v="0"/>
  </r>
  <r>
    <n v="2025"/>
    <n v="11"/>
    <d v="2025-11-12T00:00:00"/>
    <s v="P2000001480"/>
    <s v="Шахло опа 2"/>
    <s v="Таш.Обл_Шахло опа"/>
    <s v="P2"/>
    <s v="Шахло опа2"/>
    <x v="3"/>
    <n v="1000"/>
    <n v="31000"/>
    <n v="31000000"/>
    <m/>
    <m/>
    <m/>
    <n v="0"/>
  </r>
  <r>
    <n v="2025"/>
    <n v="11"/>
    <d v="2025-11-13T00:00:00"/>
    <s v="P2000001486"/>
    <s v="Жонибек ака"/>
    <s v="Андижон_Жонибек ака"/>
    <s v="P2"/>
    <s v="Жонибек ака Андижон"/>
    <x v="0"/>
    <n v="600"/>
    <m/>
    <m/>
    <m/>
    <m/>
    <m/>
    <n v="0"/>
  </r>
  <r>
    <n v="2025"/>
    <n v="11"/>
    <d v="2025-11-19T00:00:00"/>
    <s v="P2000001503"/>
    <s v="Жонибек ака"/>
    <s v="Андижон_Жонибек ака"/>
    <s v="P2"/>
    <s v="Жонибек ака Андижон"/>
    <x v="0"/>
    <n v="600"/>
    <m/>
    <m/>
    <m/>
    <m/>
    <m/>
    <n v="0"/>
  </r>
  <r>
    <n v="2025"/>
    <n v="11"/>
    <d v="2025-11-20T00:00:00"/>
    <s v="P2000001524"/>
    <s v="Амангул опа"/>
    <s v="Нукус_Амангуль опа"/>
    <s v="P2"/>
    <s v="Амангул опа "/>
    <x v="3"/>
    <n v="500"/>
    <n v="31000"/>
    <n v="15500000"/>
    <m/>
    <m/>
    <m/>
    <n v="0"/>
  </r>
  <r>
    <n v="2025"/>
    <n v="11"/>
    <d v="2025-11-20T00:00:00"/>
    <s v="P2000001524"/>
    <s v="Амангул опа"/>
    <s v="Нукус_Амангуль опа"/>
    <s v="P2"/>
    <s v="Амангул опа "/>
    <x v="1"/>
    <n v="300"/>
    <n v="50000"/>
    <n v="15000000"/>
    <m/>
    <m/>
    <m/>
    <n v="0"/>
  </r>
  <r>
    <n v="2025"/>
    <n v="11"/>
    <d v="2025-11-20T00:00:00"/>
    <s v="P2000001524"/>
    <s v="Амангул опа"/>
    <s v="Нукус_Амангуль опа"/>
    <s v="P2"/>
    <s v="Амангул опа "/>
    <x v="2"/>
    <n v="300"/>
    <n v="33000"/>
    <n v="9900000"/>
    <m/>
    <m/>
    <m/>
    <n v="0"/>
  </r>
  <r>
    <n v="2025"/>
    <n v="11"/>
    <d v="2025-11-21T00:00:00"/>
    <s v="P2000001535"/>
    <s v="Ахрор ака"/>
    <s v="Фаргона_Ахроржон Ака"/>
    <s v="P2"/>
    <s v="Ахроржон ака"/>
    <x v="1"/>
    <n v="250"/>
    <n v="50000"/>
    <n v="12500000"/>
    <m/>
    <m/>
    <m/>
    <n v="0"/>
  </r>
  <r>
    <n v="2025"/>
    <n v="11"/>
    <d v="2025-11-24T00:00:00"/>
    <s v="P2000001541"/>
    <s v="Шахло опа 2"/>
    <s v="Таш.Обл_Шахло опа"/>
    <s v="P2"/>
    <s v="Шахло опа2"/>
    <x v="1"/>
    <n v="400"/>
    <n v="55000"/>
    <n v="22000000"/>
    <m/>
    <m/>
    <m/>
    <n v="0"/>
  </r>
  <r>
    <n v="2025"/>
    <n v="11"/>
    <d v="2025-11-25T00:00:00"/>
    <s v="P2000001559"/>
    <s v="Жонибек ака"/>
    <s v="Андижон_Жонибек ака"/>
    <s v="P2"/>
    <s v="Жонибек ака Андижон"/>
    <x v="0"/>
    <n v="600"/>
    <m/>
    <m/>
    <m/>
    <m/>
    <m/>
    <n v="0"/>
  </r>
  <r>
    <n v="2025"/>
    <n v="11"/>
    <d v="2025-11-28T00:00:00"/>
    <s v="P2000001575"/>
    <s v="Жонибек ака"/>
    <s v="Андижон_Жонибек ака"/>
    <s v="P2"/>
    <s v="Жонибек ака Андижон"/>
    <x v="0"/>
    <n v="600"/>
    <m/>
    <m/>
    <m/>
    <m/>
    <m/>
    <n v="0"/>
  </r>
  <r>
    <n v="2025"/>
    <n v="11"/>
    <d v="2025-11-28T00:00:00"/>
    <s v="P2000001596"/>
    <s v="Амангул опа"/>
    <s v="Нукус_Амангуль опа"/>
    <s v="P2"/>
    <s v="Амангул опа "/>
    <x v="1"/>
    <n v="50"/>
    <n v="50000"/>
    <n v="2500000"/>
    <m/>
    <m/>
    <m/>
    <n v="0"/>
  </r>
  <r>
    <n v="2025"/>
    <n v="11"/>
    <d v="2025-11-28T00:00:00"/>
    <s v="P2000001596"/>
    <s v="Амангул опа"/>
    <s v="Нукус_Амангуль опа"/>
    <s v="P2"/>
    <s v="Амангул опа "/>
    <x v="2"/>
    <n v="300"/>
    <n v="33000"/>
    <n v="9900000"/>
    <m/>
    <m/>
    <m/>
    <n v="0"/>
  </r>
  <r>
    <n v="2025"/>
    <n v="12"/>
    <d v="2025-12-10T00:00:00"/>
    <s v="P2000001641"/>
    <s v="Жонибек ака"/>
    <s v="Андижон_Жонибек ака"/>
    <s v="P2"/>
    <s v="Жонибек ака Андижон"/>
    <x v="0"/>
    <n v="600"/>
    <m/>
    <m/>
    <m/>
    <m/>
    <m/>
    <n v="0"/>
  </r>
  <r>
    <n v="2025"/>
    <n v="12"/>
    <d v="2025-12-10T00:00:00"/>
    <s v="P2000001644"/>
    <s v="Ахрор ака"/>
    <s v="Фаргона_Ахроржон Ака"/>
    <s v="P2"/>
    <s v="Ахроржон ака"/>
    <x v="1"/>
    <n v="300"/>
    <n v="55000"/>
    <n v="16500000"/>
    <m/>
    <m/>
    <m/>
    <n v="0"/>
  </r>
  <r>
    <n v="2025"/>
    <n v="12"/>
    <d v="2025-12-12T00:00:00"/>
    <s v="P2000001662"/>
    <s v="Нилюфар опа"/>
    <s v="Кашкадарьё_Нилуфар опа"/>
    <s v="P2"/>
    <s v="Нилюфар опа Карши"/>
    <x v="0"/>
    <n v="1000"/>
    <m/>
    <m/>
    <m/>
    <m/>
    <m/>
    <n v="0"/>
  </r>
  <r>
    <n v="2025"/>
    <n v="12"/>
    <d v="2025-12-16T00:00:00"/>
    <s v="P2000001681"/>
    <s v="Мафтуна опа "/>
    <s v="Шахрисабз_Мафтуна опа "/>
    <s v="P2"/>
    <s v="Мафтуна опа "/>
    <x v="1"/>
    <n v="100"/>
    <n v="55000"/>
    <n v="5500000"/>
    <m/>
    <m/>
    <m/>
    <n v="0"/>
  </r>
  <r>
    <n v="2025"/>
    <n v="12"/>
    <d v="2025-12-16T00:00:00"/>
    <s v="P2000001682"/>
    <s v="Шахло опа 2"/>
    <s v="Таш.Обл_Шахло опа"/>
    <s v="P2"/>
    <s v="Шахло опа2"/>
    <x v="1"/>
    <n v="400"/>
    <n v="55000"/>
    <n v="22000000"/>
    <m/>
    <m/>
    <m/>
    <n v="0"/>
  </r>
  <r>
    <n v="2025"/>
    <n v="12"/>
    <d v="2025-12-16T00:00:00"/>
    <s v="P2000001683"/>
    <s v="Жонибек ака"/>
    <s v="Андижон_Жонибек ака"/>
    <s v="P2"/>
    <s v="Жонибек ака Андижон"/>
    <x v="0"/>
    <n v="600"/>
    <n v="16300"/>
    <n v="9780000"/>
    <m/>
    <m/>
    <m/>
    <n v="0"/>
  </r>
  <r>
    <n v="2025"/>
    <n v="12"/>
    <d v="2025-12-17T00:00:00"/>
    <s v="P2000001687"/>
    <s v="Саййора опа"/>
    <s v="Хоразм_Саййора опа"/>
    <s v="P2"/>
    <s v="Саййора опа"/>
    <x v="0"/>
    <n v="1500"/>
    <m/>
    <m/>
    <m/>
    <m/>
    <m/>
    <n v="0"/>
  </r>
  <r>
    <n v="2025"/>
    <n v="12"/>
    <d v="2025-12-25T00:00:00"/>
    <s v="P2000001728"/>
    <s v="Амангул опа"/>
    <s v="Нукус_Амангуль опа"/>
    <s v="P2"/>
    <s v="Амангул опа "/>
    <x v="1"/>
    <n v="385"/>
    <n v="55000"/>
    <n v="21175000"/>
    <m/>
    <m/>
    <m/>
    <n v="0"/>
  </r>
  <r>
    <n v="2025"/>
    <n v="12"/>
    <d v="2025-12-25T00:00:00"/>
    <s v="P2000001728"/>
    <s v="Амангул опа"/>
    <s v="Нукус_Амангуль опа"/>
    <s v="P2"/>
    <s v="Амангул опа "/>
    <x v="2"/>
    <n v="600"/>
    <n v="33000"/>
    <n v="19800000"/>
    <m/>
    <m/>
    <m/>
    <n v="0"/>
  </r>
  <r>
    <n v="2025"/>
    <n v="12"/>
    <d v="2025-12-26T00:00:00"/>
    <s v="P2000001733"/>
    <s v="Амангул опа"/>
    <s v="Бухоро_Рустам ака"/>
    <s v="P2"/>
    <s v="Рустам ака"/>
    <x v="0"/>
    <n v="80"/>
    <m/>
    <m/>
    <m/>
    <m/>
    <m/>
    <n v="0"/>
  </r>
  <r>
    <n v="2026"/>
    <n v="1"/>
    <d v="2026-01-19T00:00:00"/>
    <s v="P2000000013"/>
    <s v="Жонибек ака"/>
    <s v="Андижон_Жонибек ака"/>
    <s v="P2"/>
    <s v="Жонибек ака Андижон"/>
    <x v="0"/>
    <n v="600"/>
    <n v="16300"/>
    <n v="9780000"/>
    <m/>
    <m/>
    <m/>
    <n v="0"/>
  </r>
  <r>
    <n v="2026"/>
    <n v="1"/>
    <d v="2026-01-21T00:00:00"/>
    <s v="P2000000039"/>
    <s v="Ахрор ака"/>
    <s v="Фаргона_Ахроржон Ака"/>
    <s v="P2"/>
    <s v="Ахроржон ака"/>
    <x v="1"/>
    <n v="300"/>
    <n v="55000"/>
    <n v="16500000"/>
    <m/>
    <m/>
    <m/>
    <n v="0"/>
  </r>
  <r>
    <n v="2026"/>
    <n v="1"/>
    <d v="2026-01-22T00:00:00"/>
    <s v="P2000000043"/>
    <s v="Жонибек ака"/>
    <s v="Андижон_Жонибек ака"/>
    <s v="P2"/>
    <s v="Жонибек ака Андижон"/>
    <x v="0"/>
    <n v="600"/>
    <n v="16300"/>
    <n v="9780000"/>
    <m/>
    <m/>
    <m/>
    <n v="0"/>
  </r>
  <r>
    <n v="2026"/>
    <n v="1"/>
    <d v="2026-01-23T00:00:00"/>
    <s v="P2000000047"/>
    <s v="Людмила опа"/>
    <s v="Сурхондарьё_Людмила опа"/>
    <s v="P2"/>
    <s v="Людмила опа"/>
    <x v="0"/>
    <n v="300"/>
    <n v="18300"/>
    <n v="5490000"/>
    <m/>
    <m/>
    <m/>
    <n v="0"/>
  </r>
  <r>
    <n v="2026"/>
    <n v="1"/>
    <d v="2026-01-23T00:00:00"/>
    <s v="P2000000050"/>
    <s v="Нилюфар опа"/>
    <s v="Кашкадарьё_Нилуфар опа"/>
    <s v="P2"/>
    <s v="Нилюфар опа Карши"/>
    <x v="0"/>
    <n v="687"/>
    <m/>
    <m/>
    <m/>
    <m/>
    <m/>
    <n v="0"/>
  </r>
  <r>
    <n v="2026"/>
    <n v="1"/>
    <d v="2026-01-26T00:00:00"/>
    <s v="P2000000061"/>
    <s v="Амангул опа"/>
    <s v="Нукус_Амангуль опа"/>
    <s v="P2"/>
    <s v="Амангул опа "/>
    <x v="1"/>
    <n v="400"/>
    <n v="55000"/>
    <n v="22000000"/>
    <m/>
    <m/>
    <m/>
    <n v="0"/>
  </r>
  <r>
    <n v="2026"/>
    <n v="1"/>
    <d v="2026-01-26T00:00:00"/>
    <s v="P2000000065"/>
    <s v="Людмила опа"/>
    <s v="Сурхондарьё_Людмила опа"/>
    <s v="P2"/>
    <s v="Людмила опа"/>
    <x v="0"/>
    <n v="400"/>
    <n v="18300"/>
    <n v="7320000"/>
    <m/>
    <m/>
    <m/>
    <n v="0"/>
  </r>
  <r>
    <n v="2026"/>
    <n v="1"/>
    <d v="2026-01-26T00:00:00"/>
    <s v="P2000000066"/>
    <s v="Нилюфар опа"/>
    <s v="Кашкадарьё_Нилуфар опа"/>
    <s v="P2"/>
    <s v="Нилюфар опа Карши"/>
    <x v="0"/>
    <n v="1000"/>
    <m/>
    <m/>
    <m/>
    <m/>
    <m/>
    <n v="0"/>
  </r>
  <r>
    <n v="2026"/>
    <n v="1"/>
    <d v="2026-01-29T00:00:00"/>
    <s v="P2000000087"/>
    <s v="Шахло опа 2"/>
    <s v="Таш.Обл_Шахло опа"/>
    <s v="P2"/>
    <s v="Шахло опа2"/>
    <x v="3"/>
    <n v="1200"/>
    <n v="31000"/>
    <n v="37200000"/>
    <m/>
    <m/>
    <m/>
    <n v="0"/>
  </r>
  <r>
    <n v="2026"/>
    <n v="1"/>
    <d v="2026-01-29T00:00:00"/>
    <s v="P2000000089"/>
    <s v="Людмила опа"/>
    <s v="Сурхондарьё_Людмила опа"/>
    <s v="P2"/>
    <s v="Людмила опа"/>
    <x v="0"/>
    <n v="500"/>
    <n v="18300"/>
    <n v="9150000"/>
    <m/>
    <m/>
    <m/>
    <n v="0"/>
  </r>
  <r>
    <n v="2026"/>
    <n v="2"/>
    <d v="2026-02-05T00:00:00"/>
    <s v="P2000000130"/>
    <s v="Зикрулло ака"/>
    <s v="Фарм фемили бизнес"/>
    <s v="P2"/>
    <s v="Фарм фемили бизнес"/>
    <x v="1"/>
    <n v="5"/>
    <m/>
    <m/>
    <m/>
    <m/>
    <m/>
    <n v="0"/>
  </r>
  <r>
    <n v="2026"/>
    <n v="2"/>
    <d v="2026-02-11T00:00:00"/>
    <s v="P2000000158"/>
    <s v="Нилюфар опа"/>
    <s v="Кашкадарьё_Нилуфар опа"/>
    <s v="P2"/>
    <s v="Нилюфар опа Карши"/>
    <x v="1"/>
    <n v="200"/>
    <n v="55000"/>
    <n v="11000000"/>
    <m/>
    <m/>
    <m/>
    <n v="0"/>
  </r>
  <r>
    <n v="2026"/>
    <n v="2"/>
    <d v="2026-02-13T00:00:00"/>
    <s v="P2000000170"/>
    <s v="Ахрор ака"/>
    <s v="Фаргона_Ахроржон Ака"/>
    <s v="P2"/>
    <s v="Ахроржон ака"/>
    <x v="1"/>
    <n v="300"/>
    <n v="55000"/>
    <n v="16500000"/>
    <m/>
    <m/>
    <m/>
    <n v="0"/>
  </r>
  <r>
    <n v="2026"/>
    <n v="2"/>
    <d v="2026-02-20T00:00:00"/>
    <s v="P2000000204"/>
    <s v="Людмила опа"/>
    <s v="Сурхондарьё_Людмила опа"/>
    <s v="P2"/>
    <s v="Людмила опа"/>
    <x v="0"/>
    <n v="240"/>
    <n v="18300"/>
    <n v="4392000"/>
    <m/>
    <m/>
    <m/>
    <n v="0"/>
  </r>
  <r>
    <n v="2026"/>
    <n v="3"/>
    <d v="2026-03-10T00:00:00"/>
    <s v="P2000000238"/>
    <s v="Шахло опа 2"/>
    <s v="Таш.Обл_Шахло опа"/>
    <s v="P2"/>
    <s v="Шахло опа2"/>
    <x v="1"/>
    <n v="300"/>
    <n v="55000"/>
    <n v="16500000"/>
    <m/>
    <m/>
    <m/>
    <n v="0"/>
  </r>
  <r>
    <n v="2026"/>
    <n v="3"/>
    <d v="2026-03-13T00:00:00"/>
    <s v="P2000000251"/>
    <s v="Амангул опа"/>
    <s v="Нукус_Амангуль опа"/>
    <s v="P2"/>
    <s v="Амангул опа "/>
    <x v="1"/>
    <n v="300"/>
    <n v="55000"/>
    <n v="16500000"/>
    <m/>
    <m/>
    <m/>
    <n v="0"/>
  </r>
  <r>
    <n v="2026"/>
    <n v="4"/>
    <d v="2026-04-08T00:00:00"/>
    <s v="P2000000378"/>
    <s v="Шахло опа 2"/>
    <s v="Таш.Обл_Шахло опа"/>
    <s v="P2"/>
    <s v="Шахло опа2"/>
    <x v="3"/>
    <n v="500"/>
    <n v="31000"/>
    <n v="15500000"/>
    <m/>
    <m/>
    <m/>
    <n v="0"/>
  </r>
  <r>
    <n v="2026"/>
    <n v="4"/>
    <d v="2026-04-08T00:00:00"/>
    <s v="P2000000378"/>
    <s v="Шахло опа 2"/>
    <s v="Таш.Обл_Шахло опа"/>
    <s v="P2"/>
    <s v="Шахло опа2"/>
    <x v="1"/>
    <n v="500"/>
    <n v="55000"/>
    <n v="27500000"/>
    <m/>
    <m/>
    <m/>
    <n v="0"/>
  </r>
  <r>
    <n v="2026"/>
    <n v="4"/>
    <d v="2026-04-17T00:00:00"/>
    <s v="P2000000431"/>
    <s v="Зилола опа"/>
    <s v="Сирдарьё_Зилола Опа"/>
    <s v="P2"/>
    <s v="Зилола опа Сирдаре"/>
    <x v="1"/>
    <n v="20"/>
    <n v="50000"/>
    <n v="1000000"/>
    <m/>
    <m/>
    <m/>
    <n v="0"/>
  </r>
  <r>
    <n v="2026"/>
    <n v="4"/>
    <d v="2026-04-20T00:00:00"/>
    <s v="P2000000441"/>
    <s v="Ахрор ака"/>
    <s v="Фаргона_Ахроржон Ака"/>
    <s v="P2"/>
    <s v="Ахроржон ака"/>
    <x v="1"/>
    <n v="250"/>
    <n v="55000"/>
    <n v="13750000"/>
    <m/>
    <m/>
    <m/>
    <n v="0"/>
  </r>
  <r>
    <n v="2026"/>
    <n v="4"/>
    <d v="2026-04-27T00:00:00"/>
    <s v="P2000000480"/>
    <s v="Амангул опа"/>
    <s v="Нукус_Амангуль опа"/>
    <s v="P2"/>
    <s v="Амангул опа "/>
    <x v="3"/>
    <n v="400"/>
    <n v="31000"/>
    <n v="12400000"/>
    <m/>
    <m/>
    <m/>
    <n v="0"/>
  </r>
  <r>
    <n v="2026"/>
    <n v="4"/>
    <d v="2026-04-27T00:00:00"/>
    <s v="P2000000480"/>
    <s v="Амангул опа"/>
    <s v="Нукус_Амангуль опа"/>
    <s v="P2"/>
    <s v="Амангул опа "/>
    <x v="1"/>
    <n v="300"/>
    <n v="55000"/>
    <n v="16500000"/>
    <m/>
    <m/>
    <m/>
    <n v="0"/>
  </r>
  <r>
    <n v="2026"/>
    <n v="4"/>
    <d v="2026-04-27T00:00:00"/>
    <s v="P2000000480"/>
    <s v="Амангул опа"/>
    <s v="Нукус_Амангуль опа"/>
    <s v="P2"/>
    <s v="Амангул опа "/>
    <x v="2"/>
    <n v="200"/>
    <n v="33000"/>
    <n v="6600000"/>
    <m/>
    <m/>
    <m/>
    <n v="0"/>
  </r>
  <r>
    <n v="2026"/>
    <n v="5"/>
    <d v="2026-05-08T00:00:00"/>
    <s v="P2000000545"/>
    <s v="Шахло опа 2"/>
    <s v="Таш.Обл_Шахло опа"/>
    <s v="P2"/>
    <s v="Шахло опа2"/>
    <x v="3"/>
    <n v="600"/>
    <n v="31000"/>
    <n v="18600000"/>
    <m/>
    <m/>
    <m/>
    <n v="0"/>
  </r>
  <r>
    <n v="2025"/>
    <n v="2"/>
    <d v="2025-02-10T00:00:00"/>
    <s v="IP200000071"/>
    <s v="Фотима"/>
    <s v="Сирдарьё_Фотима опа"/>
    <s v="IP2"/>
    <s v="Фотима опа"/>
    <x v="0"/>
    <n v="500"/>
    <m/>
    <m/>
    <m/>
    <m/>
    <m/>
    <n v="0"/>
  </r>
  <r>
    <n v="2025"/>
    <n v="12"/>
    <d v="2025-12-03T00:00:00"/>
    <s v="IP200000622"/>
    <s v="Элдор ака"/>
    <s v="Ташкент_Дилнавоз опа"/>
    <s v="IP2"/>
    <s v="Элдор ака"/>
    <x v="3"/>
    <n v="40"/>
    <m/>
    <m/>
    <m/>
    <m/>
    <m/>
    <n v="0"/>
  </r>
  <r>
    <n v="2025"/>
    <n v="12"/>
    <d v="2025-12-03T00:00:00"/>
    <s v="IP200000622"/>
    <s v="Элдор ака"/>
    <s v="Ташкент_Дилнавоз опа"/>
    <s v="IP2"/>
    <s v="Элдор ака"/>
    <x v="4"/>
    <n v="80"/>
    <n v="20000"/>
    <n v="1600000"/>
    <m/>
    <m/>
    <m/>
    <n v="0"/>
  </r>
  <r>
    <n v="2025"/>
    <n v="12"/>
    <d v="2025-12-03T00:00:00"/>
    <s v="IP200000622"/>
    <s v="Элдор ака"/>
    <s v="Ташкент_Дилнавоз опа"/>
    <s v="IP2"/>
    <s v="Элдор ака"/>
    <x v="2"/>
    <n v="80"/>
    <n v="16500"/>
    <n v="1320000"/>
    <m/>
    <m/>
    <m/>
    <n v="0"/>
  </r>
  <r>
    <n v="2026"/>
    <n v="1"/>
    <d v="2026-01-06T00:00:00"/>
    <s v="IP200000003"/>
    <s v="Мехриддин ака"/>
    <s v="Навоий_Мехриддин ака"/>
    <s v="IP2"/>
    <s v="Мехриддин ака"/>
    <x v="3"/>
    <n v="20"/>
    <m/>
    <m/>
    <m/>
    <m/>
    <m/>
    <n v="0"/>
  </r>
  <r>
    <n v="2026"/>
    <n v="1"/>
    <d v="2026-01-23T00:00:00"/>
    <s v="IP200000025"/>
    <s v="Элдор ака"/>
    <s v="Ташкент_Дилнавоз опа"/>
    <s v="IP2"/>
    <s v="Элдор ака"/>
    <x v="4"/>
    <n v="30"/>
    <n v="40000"/>
    <n v="1200000"/>
    <m/>
    <m/>
    <m/>
    <n v="0"/>
  </r>
  <r>
    <n v="2026"/>
    <n v="1"/>
    <d v="2026-01-23T00:00:00"/>
    <s v="IP200000025"/>
    <s v="Элдор ака"/>
    <s v="Ташкент_Дилнавоз опа"/>
    <s v="IP2"/>
    <s v="Элдор ака"/>
    <x v="2"/>
    <n v="20"/>
    <n v="33000"/>
    <n v="660000"/>
    <m/>
    <m/>
    <m/>
    <n v="0"/>
  </r>
  <r>
    <n v="2026"/>
    <n v="1"/>
    <d v="2026-01-30T00:00:00"/>
    <s v="IP200000041"/>
    <s v="Элдор ака"/>
    <s v="Ташкент_Дилнавоз опа"/>
    <s v="IP2"/>
    <s v="Элдор ака"/>
    <x v="4"/>
    <n v="20"/>
    <n v="40000"/>
    <n v="800000"/>
    <m/>
    <m/>
    <m/>
    <n v="0"/>
  </r>
  <r>
    <n v="2026"/>
    <n v="2"/>
    <d v="2026-02-18T00:00:00"/>
    <s v="IP200000093"/>
    <s v="Элдор ака"/>
    <s v="Ташкент_Дилнавоз опа"/>
    <s v="IP2"/>
    <s v="Элдор ака"/>
    <x v="2"/>
    <n v="40"/>
    <n v="33000"/>
    <n v="1320000"/>
    <m/>
    <m/>
    <m/>
    <n v="0"/>
  </r>
  <r>
    <n v="2026"/>
    <n v="3"/>
    <d v="2026-03-13T00:00:00"/>
    <s v="IP200000123"/>
    <s v="Элдор ака"/>
    <s v="Ташкент_Дилнавоз опа"/>
    <s v="IP2"/>
    <s v="Элдор ака"/>
    <x v="4"/>
    <n v="40"/>
    <n v="40000"/>
    <n v="1600000"/>
    <m/>
    <m/>
    <m/>
    <n v="0"/>
  </r>
  <r>
    <n v="2026"/>
    <n v="3"/>
    <d v="2026-03-16T00:00:00"/>
    <s v="IP200000132"/>
    <s v="Элдор ака"/>
    <s v="Ташкент_Дилнавоз опа"/>
    <s v="IP2"/>
    <s v="Элдор ака"/>
    <x v="4"/>
    <n v="20"/>
    <n v="40000"/>
    <n v="800000"/>
    <m/>
    <m/>
    <m/>
    <n v="0"/>
  </r>
  <r>
    <n v="2026"/>
    <n v="4"/>
    <d v="2026-04-03T00:00:00"/>
    <s v="IP200000167"/>
    <s v="Элдор ака"/>
    <s v="Ташкент_Дилнавоз опа"/>
    <s v="IP2"/>
    <s v="Элдор ака"/>
    <x v="4"/>
    <n v="20"/>
    <n v="40000"/>
    <n v="800000"/>
    <m/>
    <m/>
    <m/>
    <n v="0"/>
  </r>
  <r>
    <n v="2026"/>
    <n v="4"/>
    <d v="2026-04-15T00:00:00"/>
    <s v="IP200000195"/>
    <s v="Элдор ака"/>
    <s v="Ташкент_Дилнавоз опа"/>
    <s v="IP2"/>
    <s v="Элдор ака"/>
    <x v="4"/>
    <n v="10"/>
    <n v="40000"/>
    <n v="400000"/>
    <m/>
    <m/>
    <m/>
    <n v="0"/>
  </r>
  <r>
    <n v="2026"/>
    <n v="4"/>
    <d v="2026-04-15T00:00:00"/>
    <s v="IP200000195"/>
    <s v="Элдор ака"/>
    <s v="Ташкент_Дилнавоз опа"/>
    <s v="IP2"/>
    <s v="Элдор ака"/>
    <x v="2"/>
    <n v="10"/>
    <n v="33000"/>
    <n v="330000"/>
    <m/>
    <m/>
    <m/>
    <n v="0"/>
  </r>
  <r>
    <n v="2026"/>
    <n v="5"/>
    <d v="2026-05-12T00:00:00"/>
    <s v="IP200000233"/>
    <s v="Элдор ака"/>
    <s v="Ташкент_Дилнавоз опа"/>
    <s v="IP2"/>
    <s v="Элдор ака"/>
    <x v="3"/>
    <n v="40"/>
    <n v="31000"/>
    <n v="1240000"/>
    <m/>
    <m/>
    <m/>
    <n v="0"/>
  </r>
  <r>
    <n v="2025"/>
    <n v="10"/>
    <d v="2025-10-10T00:00:00"/>
    <s v="R2000000374"/>
    <s v="Фотима опа"/>
    <s v="Сирдарё_Фотима опа"/>
    <s v="R2"/>
    <s v="Сирдарё_Фотима опа"/>
    <x v="1"/>
    <n v="50"/>
    <n v="50000"/>
    <n v="2500000"/>
    <m/>
    <m/>
    <m/>
    <n v="0"/>
  </r>
  <r>
    <n v="2025"/>
    <n v="10"/>
    <d v="2025-10-10T00:00:00"/>
    <s v="R2000000374"/>
    <s v="Фотима опа"/>
    <s v="Сирдарё_Фотима опа"/>
    <s v="R2"/>
    <s v="Сирдарё_Фотима опа"/>
    <x v="2"/>
    <n v="50"/>
    <n v="33000"/>
    <n v="1650000"/>
    <m/>
    <m/>
    <m/>
    <n v="0"/>
  </r>
  <r>
    <n v="2025"/>
    <n v="10"/>
    <d v="2025-10-13T00:00:00"/>
    <s v="R2000000382"/>
    <s v="Улугбек ака"/>
    <s v="Хоразм_Улугбек ака"/>
    <s v="R2"/>
    <s v="Хоразм_Улугбек ака"/>
    <x v="4"/>
    <n v="300"/>
    <n v="38000"/>
    <n v="11400000"/>
    <m/>
    <m/>
    <m/>
    <n v="0"/>
  </r>
  <r>
    <n v="2025"/>
    <n v="10"/>
    <d v="2025-10-13T00:00:00"/>
    <s v="R2000000382"/>
    <s v="Улугбек ака"/>
    <s v="Хоразм_Улугбек ака"/>
    <s v="R2"/>
    <s v="Хоразм_Улугбек ака"/>
    <x v="1"/>
    <n v="300"/>
    <n v="48000"/>
    <n v="14400000"/>
    <m/>
    <m/>
    <m/>
    <n v="0"/>
  </r>
  <r>
    <n v="2025"/>
    <n v="10"/>
    <d v="2025-10-14T00:00:00"/>
    <s v="R2000000386"/>
    <s v=" Андижон_Жонибек ака (S)"/>
    <s v="Андижон_Жонибек ака (S)"/>
    <s v="R2"/>
    <s v="Андижон_Жонибек ака (S)"/>
    <x v="1"/>
    <n v="50"/>
    <n v="50000"/>
    <n v="2500000"/>
    <m/>
    <m/>
    <m/>
    <n v="0"/>
  </r>
  <r>
    <n v="2025"/>
    <n v="10"/>
    <d v="2025-10-14T00:00:00"/>
    <s v="R2000000387"/>
    <s v="Анвар ака"/>
    <s v="Сурхондарьё_Анвар ака"/>
    <s v="R2"/>
    <s v="Сурхондарьё_Анвар ака"/>
    <x v="1"/>
    <n v="80"/>
    <n v="50000"/>
    <n v="4000000"/>
    <m/>
    <m/>
    <m/>
    <n v="0"/>
  </r>
  <r>
    <n v="2025"/>
    <n v="10"/>
    <d v="2025-10-14T00:00:00"/>
    <s v="R2000000387"/>
    <s v="Анвар ака"/>
    <s v="Сурхондарьё_Анвар ака"/>
    <s v="R2"/>
    <s v="Сурхондарьё_Анвар ака"/>
    <x v="2"/>
    <n v="100"/>
    <n v="33000"/>
    <n v="3300000"/>
    <m/>
    <m/>
    <m/>
    <n v="0"/>
  </r>
  <r>
    <n v="2025"/>
    <n v="10"/>
    <d v="2025-10-17T00:00:00"/>
    <s v="R2000000402"/>
    <s v="Умар "/>
    <s v="Фаргона_Умар ака Сух"/>
    <s v="R2"/>
    <s v="Фаргона_Умар ака Сух"/>
    <x v="2"/>
    <n v="40"/>
    <n v="33000"/>
    <n v="1320000"/>
    <m/>
    <m/>
    <m/>
    <n v="0"/>
  </r>
  <r>
    <n v="2025"/>
    <n v="10"/>
    <d v="2025-10-17T00:00:00"/>
    <s v="R2000000402"/>
    <s v="Умар "/>
    <s v="Фаргона_Умар ака Сух"/>
    <s v="R2"/>
    <s v="Фаргона_Умар ака Сух"/>
    <x v="4"/>
    <n v="40"/>
    <n v="40000"/>
    <n v="1600000"/>
    <m/>
    <m/>
    <m/>
    <n v="0"/>
  </r>
  <r>
    <n v="2025"/>
    <n v="10"/>
    <d v="2025-10-21T00:00:00"/>
    <s v="R2000000420"/>
    <s v="Фотима опа"/>
    <s v="Сирдарё_Фотима опа"/>
    <s v="R2"/>
    <s v="Сирдарё_Фотима опа"/>
    <x v="4"/>
    <n v="50"/>
    <n v="40000"/>
    <n v="2000000"/>
    <m/>
    <m/>
    <m/>
    <n v="0"/>
  </r>
  <r>
    <n v="2025"/>
    <n v="10"/>
    <d v="2025-10-21T00:00:00"/>
    <s v="R2000000422"/>
    <s v="Улугбек ака"/>
    <s v="Хоразм_Улугбек ака"/>
    <s v="R2"/>
    <s v="Хоразм_Улугбек ака"/>
    <x v="4"/>
    <n v="200"/>
    <n v="38000"/>
    <n v="7600000"/>
    <m/>
    <m/>
    <m/>
    <n v="0"/>
  </r>
  <r>
    <n v="2025"/>
    <n v="10"/>
    <d v="2025-10-21T00:00:00"/>
    <s v="R2000000422"/>
    <s v="Улугбек ака"/>
    <s v="Хоразм_Улугбек ака"/>
    <s v="R2"/>
    <s v="Хоразм_Улугбек ака"/>
    <x v="1"/>
    <n v="20"/>
    <n v="48000"/>
    <n v="960000"/>
    <m/>
    <m/>
    <m/>
    <n v="0"/>
  </r>
  <r>
    <n v="2025"/>
    <n v="10"/>
    <d v="2025-10-21T00:00:00"/>
    <s v="R2000000427"/>
    <s v="Улугбек ака"/>
    <s v="Хоразм_Улугбек ака"/>
    <s v="R2"/>
    <s v="Хоразм_Улугбек ака"/>
    <x v="2"/>
    <n v="200"/>
    <n v="31000"/>
    <n v="6200000"/>
    <m/>
    <m/>
    <m/>
    <n v="0"/>
  </r>
  <r>
    <n v="2025"/>
    <n v="10"/>
    <d v="2025-10-23T00:00:00"/>
    <s v="R2000000433"/>
    <s v="Улугбек ака"/>
    <s v="Хоразм_Улугбек ака"/>
    <s v="R2"/>
    <s v="Хоразм_Улугбек ака"/>
    <x v="1"/>
    <n v="180"/>
    <n v="48000"/>
    <n v="8640000"/>
    <m/>
    <m/>
    <m/>
    <n v="0"/>
  </r>
  <r>
    <n v="2025"/>
    <n v="10"/>
    <d v="2025-10-24T00:00:00"/>
    <s v="R2000000437"/>
    <s v="Фотима опа"/>
    <s v="Сирдарё_Фотима опа"/>
    <s v="R2"/>
    <s v="Сирдарё_Фотима опа"/>
    <x v="1"/>
    <n v="30"/>
    <n v="50000"/>
    <n v="1500000"/>
    <m/>
    <m/>
    <m/>
    <n v="0"/>
  </r>
  <r>
    <n v="2025"/>
    <n v="10"/>
    <d v="2025-10-27T00:00:00"/>
    <s v="R2000000438"/>
    <s v="Бахром ака"/>
    <s v="Кукон_Бахромжон ака"/>
    <s v="R2"/>
    <s v="Кукон_Бахромжон ака"/>
    <x v="4"/>
    <n v="400"/>
    <n v="40000"/>
    <n v="16000000"/>
    <m/>
    <m/>
    <m/>
    <n v="0"/>
  </r>
  <r>
    <n v="2025"/>
    <n v="10"/>
    <d v="2025-10-27T00:00:00"/>
    <s v="R2000000438"/>
    <s v="Бахром ака"/>
    <s v="Кукон_Бахромжон ака"/>
    <s v="R2"/>
    <s v="Кукон_Бахромжон ака"/>
    <x v="1"/>
    <n v="400"/>
    <n v="50000"/>
    <n v="20000000"/>
    <m/>
    <m/>
    <m/>
    <n v="0"/>
  </r>
  <r>
    <n v="2025"/>
    <n v="11"/>
    <d v="2025-11-03T00:00:00"/>
    <s v="R2000000458"/>
    <s v="Нукус_Мехрибон опа"/>
    <s v="Нукус_Мехрибон опа"/>
    <s v="R2"/>
    <s v="Нукус_Мехрибон опа"/>
    <x v="4"/>
    <n v="100"/>
    <n v="40000"/>
    <n v="4000000"/>
    <m/>
    <m/>
    <m/>
    <n v="0"/>
  </r>
  <r>
    <n v="2025"/>
    <n v="11"/>
    <d v="2025-11-07T00:00:00"/>
    <s v="R2000000475"/>
    <s v="Хуршид ака"/>
    <s v="Самарканд_Хуршед ака"/>
    <s v="R2"/>
    <s v="Самарканд_Хуршед ака"/>
    <x v="4"/>
    <n v="200"/>
    <n v="40000"/>
    <n v="8000000"/>
    <m/>
    <m/>
    <m/>
    <n v="0"/>
  </r>
  <r>
    <n v="2025"/>
    <n v="11"/>
    <d v="2025-11-10T00:00:00"/>
    <s v="R2000000482"/>
    <s v="Улугбек ака"/>
    <s v="Хоразм_Улугбек ака"/>
    <s v="R2"/>
    <s v="Хоразм_Улугбек ака"/>
    <x v="3"/>
    <n v="600"/>
    <n v="31000"/>
    <n v="18600000"/>
    <m/>
    <m/>
    <m/>
    <n v="0"/>
  </r>
  <r>
    <n v="2025"/>
    <n v="11"/>
    <d v="2025-11-10T00:00:00"/>
    <s v="R2000000483"/>
    <s v="Гулшода опа"/>
    <s v="Навоий_Гулшода опа"/>
    <s v="R2"/>
    <s v="Навоий_Гулшода опа (S)"/>
    <x v="2"/>
    <n v="50"/>
    <n v="33000"/>
    <n v="1650000"/>
    <m/>
    <m/>
    <m/>
    <n v="0"/>
  </r>
  <r>
    <n v="2025"/>
    <n v="11"/>
    <d v="2025-11-11T00:00:00"/>
    <s v="R2000000485"/>
    <s v=" Андижон_Жонибек ака (S)"/>
    <s v="Андижон_Жонибек ака (S)"/>
    <s v="R2"/>
    <s v="Андижон_Жонибек ака (S)"/>
    <x v="3"/>
    <n v="200"/>
    <n v="31000"/>
    <n v="6200000"/>
    <m/>
    <m/>
    <m/>
    <n v="0"/>
  </r>
  <r>
    <n v="2025"/>
    <n v="11"/>
    <d v="2025-11-11T00:00:00"/>
    <s v="R2000000485"/>
    <s v=" Андижон_Жонибек ака (S)"/>
    <s v="Андижон_Жонибек ака (S)"/>
    <s v="R2"/>
    <s v="Андижон_Жонибек ака (S)"/>
    <x v="2"/>
    <n v="100"/>
    <n v="33000"/>
    <n v="3300000"/>
    <m/>
    <m/>
    <m/>
    <n v="0"/>
  </r>
  <r>
    <n v="2025"/>
    <n v="11"/>
    <d v="2025-11-11T00:00:00"/>
    <s v="R2000000492"/>
    <s v="Хуршид ака"/>
    <s v="Самарканд_Хуршед ака"/>
    <s v="R2"/>
    <s v="Самарканд_Хуршед ака"/>
    <x v="1"/>
    <n v="80"/>
    <n v="50000"/>
    <n v="4000000"/>
    <m/>
    <m/>
    <m/>
    <n v="0"/>
  </r>
  <r>
    <n v="2025"/>
    <n v="11"/>
    <d v="2025-11-11T00:00:00"/>
    <s v="R2000000494"/>
    <s v="Анвар ака"/>
    <s v="Сурхондарьё_Анвар ака"/>
    <s v="R2"/>
    <s v="Сурхондарьё_Анвар ака"/>
    <x v="4"/>
    <n v="50"/>
    <n v="40000"/>
    <n v="2000000"/>
    <m/>
    <m/>
    <m/>
    <n v="0"/>
  </r>
  <r>
    <n v="2025"/>
    <n v="11"/>
    <d v="2025-11-11T00:00:00"/>
    <s v="R2000000494"/>
    <s v="Анвар ака"/>
    <s v="Сурхондарьё_Анвар ака"/>
    <s v="R2"/>
    <s v="Сурхондарьё_Анвар ака"/>
    <x v="2"/>
    <n v="100"/>
    <n v="35000"/>
    <n v="3500000"/>
    <m/>
    <m/>
    <m/>
    <n v="0"/>
  </r>
  <r>
    <n v="2025"/>
    <n v="11"/>
    <d v="2025-11-12T00:00:00"/>
    <s v="R2000000497"/>
    <s v="Рустам ака"/>
    <s v="Таш.Обл_Рустам ака (S)"/>
    <s v="R2"/>
    <s v="Таш.Обл_Рустам ака (S)"/>
    <x v="4"/>
    <n v="400"/>
    <n v="40000"/>
    <n v="16000000"/>
    <m/>
    <m/>
    <m/>
    <n v="0"/>
  </r>
  <r>
    <n v="2025"/>
    <n v="11"/>
    <d v="2025-11-12T00:00:00"/>
    <s v="R2000000497"/>
    <s v="Рустам ака"/>
    <s v="Таш.Обл_Рустам ака (S)"/>
    <s v="R2"/>
    <s v="Таш.Обл_Рустам ака (S)"/>
    <x v="2"/>
    <n v="400"/>
    <n v="33000"/>
    <n v="13200000"/>
    <m/>
    <m/>
    <m/>
    <n v="0"/>
  </r>
  <r>
    <n v="2025"/>
    <n v="11"/>
    <d v="2025-11-13T00:00:00"/>
    <s v="R2000000500"/>
    <s v="Зафаржон ака"/>
    <s v="Фаргона_Зафаржон ака"/>
    <s v="R2"/>
    <s v="Фаргона_Зафаржон ака"/>
    <x v="3"/>
    <n v="500"/>
    <n v="31000"/>
    <n v="15500000"/>
    <m/>
    <m/>
    <m/>
    <n v="0"/>
  </r>
  <r>
    <n v="2025"/>
    <n v="11"/>
    <d v="2025-11-13T00:00:00"/>
    <s v="R2000000500"/>
    <s v="Зафаржон ака"/>
    <s v="Фаргона_Зафаржон ака"/>
    <s v="R2"/>
    <s v="Фаргона_Зафаржон ака"/>
    <x v="4"/>
    <n v="500"/>
    <n v="40000"/>
    <n v="20000000"/>
    <m/>
    <m/>
    <m/>
    <n v="0"/>
  </r>
  <r>
    <n v="2025"/>
    <n v="11"/>
    <d v="2025-11-13T00:00:00"/>
    <s v="R2000000500"/>
    <s v="Зафаржон ака"/>
    <s v="Фаргона_Зафаржон ака"/>
    <s v="R2"/>
    <s v="Фаргона_Зафаржон ака"/>
    <x v="2"/>
    <n v="500"/>
    <n v="33000"/>
    <n v="16500000"/>
    <m/>
    <m/>
    <m/>
    <n v="0"/>
  </r>
  <r>
    <n v="2025"/>
    <n v="11"/>
    <d v="2025-11-13T00:00:00"/>
    <s v="R2000000504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5"/>
    <n v="11"/>
    <d v="2025-11-13T00:00:00"/>
    <s v="R2000000504"/>
    <s v="Хуршид ака"/>
    <s v="Самарканд_Хуршед ака"/>
    <s v="R2"/>
    <s v="Самарканд_Хуршед ака"/>
    <x v="2"/>
    <n v="100"/>
    <n v="33000"/>
    <n v="3300000"/>
    <m/>
    <m/>
    <m/>
    <n v="0"/>
  </r>
  <r>
    <n v="2025"/>
    <n v="11"/>
    <d v="2025-11-13T00:00:00"/>
    <s v="R2000000506"/>
    <s v="Фотима опа"/>
    <s v="Сирдарё_Фотима опа"/>
    <s v="R2"/>
    <s v="Сирдарё_Фотима опа"/>
    <x v="2"/>
    <n v="50"/>
    <n v="33000"/>
    <n v="1650000"/>
    <m/>
    <m/>
    <m/>
    <n v="0"/>
  </r>
  <r>
    <n v="2025"/>
    <n v="11"/>
    <d v="2025-11-18T00:00:00"/>
    <s v="R2000000520"/>
    <s v="Нукус_Мехрибон опа"/>
    <s v="Нукус_Мехрибон опа"/>
    <s v="R2"/>
    <s v="Нукус_Мехрибон опа"/>
    <x v="4"/>
    <n v="200"/>
    <n v="40000"/>
    <n v="8000000"/>
    <m/>
    <m/>
    <m/>
    <n v="0"/>
  </r>
  <r>
    <n v="2025"/>
    <n v="11"/>
    <d v="2025-11-18T00:00:00"/>
    <s v="R2000000524"/>
    <s v="Хуршид ака"/>
    <s v="Самарканд_Хуршед ака"/>
    <s v="R2"/>
    <s v="Самарканд_Хуршед ака"/>
    <x v="1"/>
    <n v="80"/>
    <n v="50000"/>
    <n v="4000000"/>
    <m/>
    <m/>
    <m/>
    <n v="0"/>
  </r>
  <r>
    <n v="2025"/>
    <n v="11"/>
    <d v="2025-11-18T00:00:00"/>
    <s v="R2000000526"/>
    <s v="Фотима опа"/>
    <s v="Сирдарё_Фотима опа"/>
    <s v="R2"/>
    <s v="Сирдарё_Фотима опа"/>
    <x v="1"/>
    <n v="30"/>
    <n v="50000"/>
    <n v="1500000"/>
    <m/>
    <m/>
    <m/>
    <n v="0"/>
  </r>
  <r>
    <n v="2025"/>
    <n v="11"/>
    <d v="2025-11-19T00:00:00"/>
    <s v="R2000000527"/>
    <s v="Нафосат опа "/>
    <s v="Бухоро_Нафосат опа"/>
    <s v="R2"/>
    <s v="Бухоро_Нафосат опа"/>
    <x v="4"/>
    <n v="500"/>
    <n v="40000"/>
    <n v="20000000"/>
    <m/>
    <m/>
    <m/>
    <n v="0"/>
  </r>
  <r>
    <n v="2025"/>
    <n v="11"/>
    <d v="2025-11-20T00:00:00"/>
    <s v="R2000000535"/>
    <s v="Ноила опа"/>
    <s v="Таш.Обл_Ноила опа"/>
    <s v="R2"/>
    <s v="Таш.Обл_Ноила опа"/>
    <x v="2"/>
    <n v="100"/>
    <n v="33000"/>
    <n v="3300000"/>
    <m/>
    <m/>
    <m/>
    <n v="0"/>
  </r>
  <r>
    <n v="2025"/>
    <n v="11"/>
    <d v="2025-11-21T00:00:00"/>
    <s v="R2000000540"/>
    <s v="Хуршид ака"/>
    <s v="Самарканд_Хуршед ака"/>
    <s v="R2"/>
    <s v="Самарканд_Хуршед ака"/>
    <x v="0"/>
    <n v="480"/>
    <n v="16300"/>
    <n v="6650400"/>
    <m/>
    <m/>
    <m/>
    <n v="0"/>
  </r>
  <r>
    <n v="2025"/>
    <n v="11"/>
    <d v="2025-11-24T00:00:00"/>
    <s v="R2000000544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5"/>
    <n v="11"/>
    <d v="2025-11-24T00:00:00"/>
    <s v="R2000000545"/>
    <s v="Фотима опа"/>
    <s v="Сирдарё_Фотима опа"/>
    <s v="R2"/>
    <s v="Сирдарё_Фотима опа"/>
    <x v="0"/>
    <n v="300"/>
    <n v="16300"/>
    <n v="4890000"/>
    <m/>
    <m/>
    <m/>
    <n v="0"/>
  </r>
  <r>
    <n v="2025"/>
    <n v="11"/>
    <d v="2025-11-24T00:00:00"/>
    <s v="R2000000546"/>
    <s v="Рустам ака"/>
    <s v="Таш.Обл_Рустам ака (S)"/>
    <s v="R2"/>
    <s v="Таш.Обл_Рустам ака (S)"/>
    <x v="0"/>
    <n v="480"/>
    <n v="16300"/>
    <n v="7824000"/>
    <m/>
    <m/>
    <m/>
    <n v="0"/>
  </r>
  <r>
    <n v="2025"/>
    <n v="11"/>
    <d v="2025-11-24T00:00:00"/>
    <s v="R2000000547"/>
    <s v="Нукус_Мехрибон опа"/>
    <s v="Нукус_Мехрибон опа"/>
    <s v="R2"/>
    <s v="Нукус_Мехрибон опа"/>
    <x v="4"/>
    <n v="100"/>
    <n v="40000"/>
    <n v="4000000"/>
    <m/>
    <m/>
    <m/>
    <n v="0"/>
  </r>
  <r>
    <n v="2025"/>
    <n v="11"/>
    <d v="2025-11-24T00:00:00"/>
    <s v="R2000000549"/>
    <s v="Анвар ака"/>
    <s v="Сурхондарьё_Анвар ака"/>
    <s v="R2"/>
    <s v="Сурхондарьё_Анвар ака"/>
    <x v="4"/>
    <n v="50"/>
    <n v="40000"/>
    <n v="2000000"/>
    <m/>
    <m/>
    <m/>
    <n v="0"/>
  </r>
  <r>
    <n v="2025"/>
    <n v="11"/>
    <d v="2025-11-24T00:00:00"/>
    <s v="R2000000551"/>
    <s v="Нафосат опа "/>
    <s v="Бухоро_Нафосат опа"/>
    <s v="R2"/>
    <s v="Бухоро_Нафосат опа"/>
    <x v="4"/>
    <n v="500"/>
    <n v="40000"/>
    <n v="20000000"/>
    <m/>
    <m/>
    <m/>
    <n v="0"/>
  </r>
  <r>
    <n v="2025"/>
    <n v="11"/>
    <d v="2025-11-25T00:00:00"/>
    <s v="R2000000552"/>
    <s v="Бахром ака"/>
    <s v="Кукон_Бахромжон ака"/>
    <s v="R2"/>
    <s v="Кукон_Бахромжон ака"/>
    <x v="1"/>
    <n v="220"/>
    <n v="50000"/>
    <n v="11000000"/>
    <m/>
    <m/>
    <m/>
    <n v="0"/>
  </r>
  <r>
    <n v="2025"/>
    <n v="11"/>
    <d v="2025-11-25T00:00:00"/>
    <s v="R2000000552"/>
    <s v="Бахром ака"/>
    <s v="Кукон_Бахромжон ака"/>
    <s v="R2"/>
    <s v="Кукон_Бахромжон ака"/>
    <x v="1"/>
    <n v="180"/>
    <n v="50000"/>
    <n v="9000000"/>
    <m/>
    <m/>
    <m/>
    <n v="0"/>
  </r>
  <r>
    <n v="2025"/>
    <n v="11"/>
    <d v="2025-11-25T00:00:00"/>
    <s v="R2000000553"/>
    <s v="Бахром ака"/>
    <s v="Кукон_Бахромжон ака"/>
    <s v="R2"/>
    <s v="Кукон_Бахромжон ака"/>
    <x v="4"/>
    <n v="600"/>
    <n v="40000"/>
    <n v="24000000"/>
    <m/>
    <m/>
    <m/>
    <n v="0"/>
  </r>
  <r>
    <n v="2025"/>
    <n v="11"/>
    <d v="2025-11-25T00:00:00"/>
    <s v="R2000000561"/>
    <s v="Зафаржон ака"/>
    <s v="Фаргона_Зафаржон ака"/>
    <s v="R2"/>
    <s v="Фаргона_Зафаржон ака"/>
    <x v="2"/>
    <n v="300"/>
    <n v="33000"/>
    <n v="9900000"/>
    <m/>
    <m/>
    <m/>
    <n v="0"/>
  </r>
  <r>
    <n v="2025"/>
    <n v="11"/>
    <d v="2025-11-25T00:00:00"/>
    <s v="R2000000562"/>
    <s v="Зафаржон ака"/>
    <s v="Фаргона_Зафаржон ака"/>
    <s v="R2"/>
    <s v="Фаргона_Зафаржон ака"/>
    <x v="2"/>
    <n v="200"/>
    <n v="33000"/>
    <n v="6600000"/>
    <m/>
    <m/>
    <m/>
    <n v="0"/>
  </r>
  <r>
    <n v="2025"/>
    <n v="11"/>
    <d v="2025-11-25T00:00:00"/>
    <s v="R2000000563"/>
    <s v="Хуршид ака"/>
    <s v="Самарканд_Хуршед ака"/>
    <s v="R2"/>
    <s v="Самарканд_Хуршед ака"/>
    <x v="0"/>
    <n v="240"/>
    <n v="16300"/>
    <n v="3912000"/>
    <m/>
    <m/>
    <m/>
    <n v="0"/>
  </r>
  <r>
    <n v="2025"/>
    <n v="11"/>
    <d v="2025-11-27T00:00:00"/>
    <s v="R2000000567"/>
    <s v="Фотима опа"/>
    <s v="Сирдарё_Фотима опа"/>
    <s v="R2"/>
    <s v="Сирдарё_Фотима опа"/>
    <x v="0"/>
    <n v="100"/>
    <n v="16300"/>
    <n v="1630000"/>
    <m/>
    <m/>
    <m/>
    <n v="0"/>
  </r>
  <r>
    <n v="2025"/>
    <n v="11"/>
    <d v="2025-11-28T00:00:00"/>
    <s v="R2000000571"/>
    <s v="Нукус_Мехрибон опа"/>
    <s v="Нукус_Мехрибон опа"/>
    <s v="R2"/>
    <s v="Нукус_Мехрибон опа"/>
    <x v="4"/>
    <n v="200"/>
    <n v="40000"/>
    <n v="8000000"/>
    <m/>
    <m/>
    <m/>
    <n v="0"/>
  </r>
  <r>
    <n v="2025"/>
    <n v="11"/>
    <d v="2025-11-28T00:00:00"/>
    <s v="R2000000572"/>
    <s v="Нукус_Мехрибон опа"/>
    <s v="Нукус_Мехрибон опа"/>
    <s v="R2"/>
    <s v="Нукус_Мехрибон опа"/>
    <x v="4"/>
    <n v="110"/>
    <n v="40000"/>
    <n v="4400000"/>
    <m/>
    <m/>
    <m/>
    <n v="0"/>
  </r>
  <r>
    <n v="2025"/>
    <n v="11"/>
    <d v="2025-11-28T00:00:00"/>
    <s v="R2000000572"/>
    <s v="Нукус_Мехрибон опа"/>
    <s v="Нукус_Мехрибон опа"/>
    <s v="R2"/>
    <s v="Нукус_Мехрибон опа"/>
    <x v="4"/>
    <n v="190"/>
    <n v="40000"/>
    <n v="7600000"/>
    <m/>
    <m/>
    <m/>
    <n v="0"/>
  </r>
  <r>
    <n v="2025"/>
    <n v="12"/>
    <d v="2025-12-01T00:00:00"/>
    <s v="R2000000579"/>
    <s v="Гулшода опа"/>
    <s v="Навоий_Гулшода опа"/>
    <s v="R2"/>
    <s v="Навоий_Гулшода опа (S)"/>
    <x v="2"/>
    <n v="100"/>
    <n v="33000"/>
    <n v="3300000"/>
    <m/>
    <m/>
    <m/>
    <n v="0"/>
  </r>
  <r>
    <n v="2025"/>
    <n v="12"/>
    <d v="2025-12-02T00:00:00"/>
    <s v="R2000000583"/>
    <s v=" Андижон_Жонибек ака (S)"/>
    <s v="Андижон_Жонибек ака (S)"/>
    <s v="R2"/>
    <s v="Андижон_Жонибек ака (S)"/>
    <x v="3"/>
    <n v="200"/>
    <n v="31000"/>
    <n v="6200000"/>
    <m/>
    <m/>
    <m/>
    <n v="0"/>
  </r>
  <r>
    <n v="2025"/>
    <n v="12"/>
    <d v="2025-12-03T00:00:00"/>
    <s v="R2000000588"/>
    <s v=" Андижон_Жонибек ака (S)"/>
    <s v="Андижон_Жонибек ака (S)"/>
    <s v="R2"/>
    <s v="Андижон_Жонибек ака (S)"/>
    <x v="1"/>
    <n v="80"/>
    <n v="50000"/>
    <n v="4000000"/>
    <m/>
    <m/>
    <m/>
    <n v="0"/>
  </r>
  <r>
    <n v="2025"/>
    <n v="12"/>
    <d v="2025-12-03T00:00:00"/>
    <s v="R2000000588"/>
    <s v=" Андижон_Жонибек ака (S)"/>
    <s v="Андижон_Жонибек ака (S)"/>
    <s v="R2"/>
    <s v="Андижон_Жонибек ака (S)"/>
    <x v="2"/>
    <n v="200"/>
    <n v="33000"/>
    <n v="6600000"/>
    <m/>
    <m/>
    <m/>
    <n v="0"/>
  </r>
  <r>
    <n v="2025"/>
    <n v="12"/>
    <d v="2025-12-03T00:00:00"/>
    <s v="R2000000591"/>
    <s v="Улугбек ака"/>
    <s v="Хоразм_Улугбек ака"/>
    <s v="R2"/>
    <s v="Хоразм_Улугбек ака"/>
    <x v="4"/>
    <n v="100"/>
    <n v="40000"/>
    <n v="4000000"/>
    <m/>
    <m/>
    <m/>
    <n v="0"/>
  </r>
  <r>
    <n v="2025"/>
    <n v="12"/>
    <d v="2025-12-04T00:00:00"/>
    <s v="R2000000597"/>
    <s v="Фотима опа"/>
    <s v="Сирдарё_Фотима опа"/>
    <s v="R2"/>
    <s v="Сирдарё_Фотима опа"/>
    <x v="0"/>
    <n v="200"/>
    <n v="16300"/>
    <n v="3260000"/>
    <m/>
    <m/>
    <m/>
    <n v="0"/>
  </r>
  <r>
    <n v="2025"/>
    <n v="12"/>
    <d v="2025-12-05T00:00:00"/>
    <s v="R2000000602"/>
    <s v="Фотима опа"/>
    <s v="Сирдарё_Фотима опа"/>
    <s v="R2"/>
    <s v="Сирдарё_Фотима опа"/>
    <x v="1"/>
    <n v="50"/>
    <n v="50000"/>
    <n v="2500000"/>
    <m/>
    <m/>
    <m/>
    <n v="0"/>
  </r>
  <r>
    <n v="2025"/>
    <n v="12"/>
    <d v="2025-12-09T00:00:00"/>
    <s v="R2000000610"/>
    <s v="Хуршид ака"/>
    <s v="Самарканд_Хуршед ака"/>
    <s v="R2"/>
    <s v="Самарканд_Хуршед ака"/>
    <x v="1"/>
    <n v="120"/>
    <n v="50000"/>
    <n v="6000000"/>
    <m/>
    <m/>
    <m/>
    <n v="0"/>
  </r>
  <r>
    <n v="2025"/>
    <n v="12"/>
    <d v="2025-12-15T00:00:00"/>
    <s v="R2000000628"/>
    <s v="Фотима опа"/>
    <s v="Сирдарё_Фотима опа"/>
    <s v="R2"/>
    <s v="Сирдарё_Фотима опа"/>
    <x v="0"/>
    <n v="50"/>
    <n v="16300"/>
    <n v="815000"/>
    <m/>
    <m/>
    <m/>
    <n v="0"/>
  </r>
  <r>
    <n v="2025"/>
    <n v="12"/>
    <d v="2025-12-15T00:00:00"/>
    <s v="R2000000631"/>
    <s v="Солихон ака"/>
    <s v="Наманган_Солихон ака"/>
    <s v="R2"/>
    <s v="Наманган_Солихон ака"/>
    <x v="3"/>
    <n v="200"/>
    <n v="31000"/>
    <n v="6200000"/>
    <m/>
    <m/>
    <m/>
    <n v="0"/>
  </r>
  <r>
    <n v="2025"/>
    <n v="12"/>
    <d v="2025-12-15T00:00:00"/>
    <s v="R2000000632"/>
    <s v="Анвар ака"/>
    <s v="Сурхондарьё_Анвар ака"/>
    <s v="R2"/>
    <s v="Сурхондарьё_Анвар ака"/>
    <x v="4"/>
    <n v="50"/>
    <n v="40000"/>
    <n v="2000000"/>
    <m/>
    <m/>
    <m/>
    <n v="0"/>
  </r>
  <r>
    <n v="2025"/>
    <n v="12"/>
    <d v="2025-12-17T00:00:00"/>
    <s v="R2000000641"/>
    <s v="Улугбек ака"/>
    <s v="Хоразм_Улугбек ака"/>
    <s v="R2"/>
    <s v="Хоразм_Улугбек ака"/>
    <x v="2"/>
    <n v="200"/>
    <n v="33000"/>
    <n v="6600000"/>
    <m/>
    <m/>
    <m/>
    <n v="0"/>
  </r>
  <r>
    <n v="2025"/>
    <n v="12"/>
    <d v="2025-12-17T00:00:00"/>
    <s v="R2000000642"/>
    <s v="Хуршид ака"/>
    <s v="Самарканд_Хуршед ака"/>
    <s v="R2"/>
    <s v="Самарканд_Хуршед ака"/>
    <x v="0"/>
    <n v="30"/>
    <n v="16300"/>
    <n v="489000"/>
    <m/>
    <m/>
    <m/>
    <n v="0"/>
  </r>
  <r>
    <n v="2025"/>
    <n v="12"/>
    <d v="2025-12-17T00:00:00"/>
    <s v="R2000000642"/>
    <s v="Хуршид ака"/>
    <s v="Самарканд_Хуршед ака"/>
    <s v="R2"/>
    <s v="Самарканд_Хуршед ака"/>
    <x v="0"/>
    <n v="90"/>
    <n v="16300"/>
    <n v="1467000"/>
    <m/>
    <m/>
    <m/>
    <n v="0"/>
  </r>
  <r>
    <n v="2025"/>
    <n v="12"/>
    <d v="2025-12-22T00:00:00"/>
    <s v="R2000000648"/>
    <s v="ALIYEV KOZIMALI NOSIRALIYEVICH"/>
    <s v="списание"/>
    <s v="R2"/>
    <s v="Списать"/>
    <x v="4"/>
    <n v="50"/>
    <m/>
    <m/>
    <m/>
    <m/>
    <m/>
    <n v="0"/>
  </r>
  <r>
    <n v="2025"/>
    <n v="12"/>
    <d v="2025-12-22T00:00:00"/>
    <s v="R2000000649"/>
    <s v="Гулшода опа"/>
    <s v="Навоий_Гулшода опа"/>
    <s v="R2"/>
    <s v="Навоий_Гулшода опа (S)"/>
    <x v="1"/>
    <n v="100"/>
    <n v="50000"/>
    <n v="5000000"/>
    <m/>
    <m/>
    <m/>
    <n v="0"/>
  </r>
  <r>
    <n v="2025"/>
    <n v="12"/>
    <d v="2025-12-23T00:00:00"/>
    <s v="R2000000651"/>
    <s v=" Андижон_Жонибек ака (S)"/>
    <s v="Андижон_Жонибек ака (S)"/>
    <s v="R2"/>
    <s v="Андижон_Жонибек ака (S)"/>
    <x v="3"/>
    <n v="40"/>
    <n v="31000"/>
    <n v="1240000"/>
    <m/>
    <m/>
    <m/>
    <n v="0"/>
  </r>
  <r>
    <n v="2025"/>
    <n v="12"/>
    <d v="2025-12-24T00:00:00"/>
    <s v="R2000000657"/>
    <s v="Хуршид ака"/>
    <s v="Самарканд_Хуршед ака"/>
    <s v="R2"/>
    <s v="Самарканд_Хуршед ака"/>
    <x v="2"/>
    <n v="50"/>
    <n v="33000"/>
    <n v="1650000"/>
    <m/>
    <m/>
    <m/>
    <n v="0"/>
  </r>
  <r>
    <n v="2026"/>
    <n v="1"/>
    <d v="2026-01-19T00:00:00"/>
    <s v="R2000000008"/>
    <s v="Анвар ака"/>
    <s v="Сурхондарьё_Анвар ака"/>
    <s v="R2"/>
    <s v="Сурхондарьё_Анвар ака"/>
    <x v="4"/>
    <n v="50"/>
    <n v="40000"/>
    <n v="2000000"/>
    <m/>
    <m/>
    <m/>
    <n v="0"/>
  </r>
  <r>
    <n v="2026"/>
    <n v="1"/>
    <d v="2026-01-19T00:00:00"/>
    <s v="R2000000008"/>
    <s v="Анвар ака"/>
    <s v="Сурхондарьё_Анвар ака"/>
    <s v="R2"/>
    <s v="Сурхондарьё_Анвар ака"/>
    <x v="1"/>
    <n v="80"/>
    <n v="50000"/>
    <n v="4000000"/>
    <m/>
    <m/>
    <m/>
    <n v="0"/>
  </r>
  <r>
    <n v="2026"/>
    <n v="1"/>
    <d v="2026-01-19T00:00:00"/>
    <s v="R2000000008"/>
    <s v="Анвар ака"/>
    <s v="Сурхондарьё_Анвар ака"/>
    <s v="R2"/>
    <s v="Сурхондарьё_Анвар ака"/>
    <x v="2"/>
    <n v="300"/>
    <n v="33000"/>
    <n v="9900000"/>
    <m/>
    <m/>
    <m/>
    <n v="0"/>
  </r>
  <r>
    <n v="2026"/>
    <n v="1"/>
    <d v="2026-01-19T00:00:00"/>
    <s v="R2000000009"/>
    <s v="Умар "/>
    <s v="Фаргона_Умар ака Сух"/>
    <s v="R2"/>
    <s v="Фаргона_Умар ака Сух"/>
    <x v="4"/>
    <n v="50"/>
    <n v="40000"/>
    <n v="2000000"/>
    <m/>
    <m/>
    <m/>
    <n v="0"/>
  </r>
  <r>
    <n v="2026"/>
    <n v="1"/>
    <d v="2026-01-19T00:00:00"/>
    <s v="R2000000010"/>
    <s v="Хуршид ака"/>
    <s v="Самарканд_Хуршед ака"/>
    <s v="R2"/>
    <s v="Самарканд_Хуршед ака"/>
    <x v="1"/>
    <n v="100"/>
    <n v="50000"/>
    <n v="5000000"/>
    <m/>
    <m/>
    <m/>
    <n v="0"/>
  </r>
  <r>
    <n v="2026"/>
    <n v="1"/>
    <d v="2026-01-19T00:00:00"/>
    <s v="R2000000010"/>
    <s v="Хуршид ака"/>
    <s v="Самарканд_Хуршед ака"/>
    <s v="R2"/>
    <s v="Самарканд_Хуршед ака"/>
    <x v="0"/>
    <n v="110"/>
    <n v="16300"/>
    <n v="1793000"/>
    <m/>
    <m/>
    <m/>
    <n v="0"/>
  </r>
  <r>
    <n v="2026"/>
    <n v="1"/>
    <d v="2026-01-19T00:00:00"/>
    <s v="R2000000013"/>
    <s v="Фотима опа"/>
    <s v="Сирдарё_Фотима опа"/>
    <s v="R2"/>
    <s v="Сирдарё_Фотима опа"/>
    <x v="0"/>
    <n v="50"/>
    <n v="16300"/>
    <n v="815000"/>
    <m/>
    <m/>
    <m/>
    <n v="0"/>
  </r>
  <r>
    <n v="2026"/>
    <n v="1"/>
    <d v="2026-01-19T00:00:00"/>
    <s v="R2000000013"/>
    <s v="Фотима опа"/>
    <s v="Сирдарё_Фотима опа"/>
    <s v="R2"/>
    <s v="Сирдарё_Фотима опа"/>
    <x v="0"/>
    <n v="250"/>
    <n v="16300"/>
    <n v="4075000"/>
    <m/>
    <m/>
    <m/>
    <n v="0"/>
  </r>
  <r>
    <n v="2026"/>
    <n v="1"/>
    <d v="2026-01-19T00:00:00"/>
    <s v="R2000000014"/>
    <s v=" Андижон_Жонибек ака (S)"/>
    <s v="Андижон_Жонибек ака (S)"/>
    <s v="R2"/>
    <s v="Андижон_Жонибек ака (S)"/>
    <x v="3"/>
    <n v="50"/>
    <n v="31000"/>
    <n v="1550000"/>
    <m/>
    <m/>
    <m/>
    <n v="0"/>
  </r>
  <r>
    <n v="2026"/>
    <n v="1"/>
    <d v="2026-01-19T00:00:00"/>
    <s v="R2000000014"/>
    <s v=" Андижон_Жонибек ака (S)"/>
    <s v="Андижон_Жонибек ака (S)"/>
    <s v="R2"/>
    <s v="Андижон_Жонибек ака (S)"/>
    <x v="3"/>
    <n v="100"/>
    <n v="31000"/>
    <n v="3100000"/>
    <m/>
    <m/>
    <m/>
    <n v="0"/>
  </r>
  <r>
    <n v="2026"/>
    <n v="1"/>
    <d v="2026-01-19T00:00:00"/>
    <s v="R2000000014"/>
    <s v=" Андижон_Жонибек ака (S)"/>
    <s v="Андижон_Жонибек ака (S)"/>
    <s v="R2"/>
    <s v="Андижон_Жонибек ака (S)"/>
    <x v="3"/>
    <n v="50"/>
    <n v="31000"/>
    <n v="1550000"/>
    <m/>
    <m/>
    <m/>
    <n v="0"/>
  </r>
  <r>
    <n v="2026"/>
    <n v="1"/>
    <d v="2026-01-19T00:00:00"/>
    <s v="R2000000014"/>
    <s v=" Андижон_Жонибек ака (S)"/>
    <s v="Андижон_Жонибек ака (S)"/>
    <s v="R2"/>
    <s v="Андижон_Жонибек ака (S)"/>
    <x v="1"/>
    <n v="40"/>
    <n v="50000"/>
    <n v="2000000"/>
    <m/>
    <m/>
    <m/>
    <n v="0"/>
  </r>
  <r>
    <n v="2026"/>
    <n v="1"/>
    <d v="2026-01-19T00:00:00"/>
    <s v="R2000000016"/>
    <s v="Хуршид ака"/>
    <s v="Самарканд_Хуршед ака"/>
    <s v="R2"/>
    <s v="Самарканд_Хуршед ака"/>
    <x v="1"/>
    <n v="120"/>
    <n v="50000"/>
    <n v="6000000"/>
    <m/>
    <m/>
    <m/>
    <n v="0"/>
  </r>
  <r>
    <n v="2026"/>
    <n v="1"/>
    <d v="2026-01-20T00:00:00"/>
    <s v="R2000000018"/>
    <s v="Фотима опа"/>
    <s v="Сирдарё_Фотима опа"/>
    <s v="R2"/>
    <s v="Сирдарё_Фотима опа"/>
    <x v="1"/>
    <n v="50"/>
    <n v="50000"/>
    <n v="2500000"/>
    <m/>
    <m/>
    <m/>
    <n v="0"/>
  </r>
  <r>
    <n v="2026"/>
    <n v="1"/>
    <d v="2026-01-20T00:00:00"/>
    <s v="R2000000019"/>
    <s v="Бахром ака"/>
    <s v="Кукон_Бахромжон ака"/>
    <s v="R2"/>
    <s v="Кукон_Бахромжон ака"/>
    <x v="4"/>
    <n v="400"/>
    <n v="40000"/>
    <n v="16000000"/>
    <m/>
    <m/>
    <m/>
    <n v="0"/>
  </r>
  <r>
    <n v="2026"/>
    <n v="1"/>
    <d v="2026-01-20T00:00:00"/>
    <s v="R2000000019"/>
    <s v="Бахром ака"/>
    <s v="Кукон_Бахромжон ака"/>
    <s v="R2"/>
    <s v="Кукон_Бахромжон ака"/>
    <x v="1"/>
    <n v="500"/>
    <n v="50000"/>
    <n v="25000000"/>
    <m/>
    <m/>
    <m/>
    <n v="0"/>
  </r>
  <r>
    <n v="2026"/>
    <n v="1"/>
    <d v="2026-01-20T00:00:00"/>
    <s v="R2000000021"/>
    <s v="Баходир ака"/>
    <s v="Кукон_Баходирхон ака"/>
    <s v="R2"/>
    <s v="Кукон_Баходирхон ака"/>
    <x v="3"/>
    <n v="80"/>
    <n v="31000"/>
    <n v="2480000"/>
    <m/>
    <m/>
    <m/>
    <n v="0"/>
  </r>
  <r>
    <n v="2026"/>
    <n v="1"/>
    <d v="2026-01-20T00:00:00"/>
    <s v="R2000000021"/>
    <s v="Баходир ака"/>
    <s v="Кукон_Баходирхон ака"/>
    <s v="R2"/>
    <s v="Кукон_Баходирхон ака"/>
    <x v="2"/>
    <n v="100"/>
    <n v="33000"/>
    <n v="3300000"/>
    <m/>
    <m/>
    <m/>
    <n v="0"/>
  </r>
  <r>
    <n v="2026"/>
    <n v="1"/>
    <d v="2026-01-20T00:00:00"/>
    <s v="R2000000028"/>
    <s v="Улугбек ака"/>
    <s v="Хоразм_Улугбек ака"/>
    <s v="R2"/>
    <s v="Хоразм_Улугбек ака"/>
    <x v="3"/>
    <n v="500"/>
    <n v="31000"/>
    <n v="15500000"/>
    <m/>
    <m/>
    <m/>
    <n v="0"/>
  </r>
  <r>
    <n v="2026"/>
    <n v="1"/>
    <d v="2026-01-20T00:00:00"/>
    <s v="R2000000028"/>
    <s v="Улугбек ака"/>
    <s v="Хоразм_Улугбек ака"/>
    <s v="R2"/>
    <s v="Хоразм_Улугбек ака"/>
    <x v="4"/>
    <n v="400"/>
    <n v="40000"/>
    <n v="16000000"/>
    <m/>
    <m/>
    <m/>
    <n v="0"/>
  </r>
  <r>
    <n v="2026"/>
    <n v="1"/>
    <d v="2026-01-20T00:00:00"/>
    <s v="R2000000028"/>
    <s v="Улугбек ака"/>
    <s v="Хоразм_Улугбек ака"/>
    <s v="R2"/>
    <s v="Хоразм_Улугбек ака"/>
    <x v="2"/>
    <n v="400"/>
    <n v="33000"/>
    <n v="13200000"/>
    <m/>
    <m/>
    <m/>
    <n v="0"/>
  </r>
  <r>
    <n v="2026"/>
    <n v="1"/>
    <d v="2026-01-20T00:00:00"/>
    <s v="R2000000029"/>
    <s v="Дилсуз опа"/>
    <s v="Карши_Дилсўз опа"/>
    <s v="R2"/>
    <s v="Карши_Дилсўз опа"/>
    <x v="3"/>
    <n v="50"/>
    <n v="31000"/>
    <n v="1550000"/>
    <m/>
    <m/>
    <m/>
    <n v="0"/>
  </r>
  <r>
    <n v="2026"/>
    <n v="1"/>
    <d v="2026-01-20T00:00:00"/>
    <s v="R2000000029"/>
    <s v="Дилсуз опа"/>
    <s v="Карши_Дилсўз опа"/>
    <s v="R2"/>
    <s v="Карши_Дилсўз опа"/>
    <x v="4"/>
    <n v="50"/>
    <n v="40000"/>
    <n v="2000000"/>
    <m/>
    <m/>
    <m/>
    <n v="0"/>
  </r>
  <r>
    <n v="2026"/>
    <n v="1"/>
    <d v="2026-01-22T00:00:00"/>
    <s v="R2000000043"/>
    <s v="Нафосат опа "/>
    <s v="Бухоро_Нафосат опа"/>
    <s v="R2"/>
    <s v="Бухоро_Нафосат опа"/>
    <x v="2"/>
    <n v="500"/>
    <n v="33000"/>
    <n v="16500000"/>
    <m/>
    <m/>
    <m/>
    <n v="0"/>
  </r>
  <r>
    <n v="2026"/>
    <n v="1"/>
    <d v="2026-01-23T00:00:00"/>
    <s v="R2000000047"/>
    <s v="Рустам ака"/>
    <s v="Таш.Обл_Рустам ака (S)"/>
    <s v="R2"/>
    <s v="Таш.Обл_Рустам ака (S)"/>
    <x v="4"/>
    <n v="400"/>
    <n v="40000"/>
    <n v="16000000"/>
    <m/>
    <m/>
    <m/>
    <n v="0"/>
  </r>
  <r>
    <n v="2026"/>
    <n v="1"/>
    <d v="2026-01-23T00:00:00"/>
    <s v="R2000000047"/>
    <s v="Рустам ака"/>
    <s v="Таш.Обл_Рустам ака (S)"/>
    <s v="R2"/>
    <s v="Таш.Обл_Рустам ака (S)"/>
    <x v="2"/>
    <n v="400"/>
    <n v="33000"/>
    <n v="13200000"/>
    <m/>
    <m/>
    <m/>
    <n v="0"/>
  </r>
  <r>
    <n v="2026"/>
    <n v="1"/>
    <d v="2026-01-23T00:00:00"/>
    <s v="R2000000047"/>
    <s v="Рустам ака"/>
    <s v="Таш.Обл_Рустам ака (S)"/>
    <s v="R2"/>
    <s v="Таш.Обл_Рустам ака (S)"/>
    <x v="0"/>
    <n v="480"/>
    <n v="16300"/>
    <n v="7824000"/>
    <m/>
    <m/>
    <m/>
    <n v="0"/>
  </r>
  <r>
    <n v="2026"/>
    <n v="1"/>
    <d v="2026-01-23T00:00:00"/>
    <s v="R2000000049"/>
    <s v="Фотима опа"/>
    <s v="Сирдарё_Фотима опа"/>
    <s v="R2"/>
    <s v="Сирдарё_Фотима опа"/>
    <x v="0"/>
    <n v="120"/>
    <n v="16300"/>
    <n v="1956000"/>
    <m/>
    <m/>
    <m/>
    <n v="0"/>
  </r>
  <r>
    <n v="2026"/>
    <n v="1"/>
    <d v="2026-01-26T00:00:00"/>
    <s v="R2000000056"/>
    <s v="Хуршид ака"/>
    <s v="Самарканд_Хуршед ака"/>
    <s v="R2"/>
    <s v="Самарканд_Хуршед ака"/>
    <x v="0"/>
    <n v="130"/>
    <n v="16300"/>
    <n v="2119000"/>
    <m/>
    <m/>
    <m/>
    <n v="0"/>
  </r>
  <r>
    <n v="2026"/>
    <n v="1"/>
    <d v="2026-01-26T00:00:00"/>
    <s v="R2000000056"/>
    <s v="Хуршид ака"/>
    <s v="Самарканд_Хуршед ака"/>
    <s v="R2"/>
    <s v="Самарканд_Хуршед ака"/>
    <x v="0"/>
    <n v="110"/>
    <n v="16300"/>
    <n v="1793000"/>
    <m/>
    <m/>
    <m/>
    <n v="0"/>
  </r>
  <r>
    <n v="2026"/>
    <n v="1"/>
    <d v="2026-01-26T00:00:00"/>
    <s v="R2000000057"/>
    <s v=" Андижон_Жонибек ака (S)"/>
    <s v="Андижон_Жонибек ака (S)"/>
    <s v="R2"/>
    <s v="Андижон_Жонибек ака (S)"/>
    <x v="2"/>
    <n v="80"/>
    <n v="33000"/>
    <n v="2640000"/>
    <m/>
    <m/>
    <m/>
    <n v="0"/>
  </r>
  <r>
    <n v="2026"/>
    <n v="1"/>
    <d v="2026-01-26T00:00:00"/>
    <s v="R2000000058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1"/>
    <d v="2026-01-26T00:00:00"/>
    <s v="R2000000059"/>
    <s v="Баходир ака"/>
    <s v="Кукон_Баходирхон ака"/>
    <s v="R2"/>
    <s v="Кукон_Баходирхон ака"/>
    <x v="3"/>
    <n v="160"/>
    <n v="31000"/>
    <n v="4960000"/>
    <m/>
    <m/>
    <m/>
    <n v="0"/>
  </r>
  <r>
    <n v="2026"/>
    <n v="1"/>
    <d v="2026-01-26T00:00:00"/>
    <s v="R2000000061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1"/>
    <d v="2026-01-27T00:00:00"/>
    <s v="R2000000063"/>
    <s v="Гулшода опа"/>
    <s v="Навоий_Гулшода опа"/>
    <s v="R2"/>
    <s v="Навоий_Гулшода опа (S)"/>
    <x v="2"/>
    <n v="100"/>
    <n v="33000"/>
    <n v="3300000"/>
    <m/>
    <m/>
    <m/>
    <n v="0"/>
  </r>
  <r>
    <n v="2026"/>
    <n v="1"/>
    <d v="2026-01-27T00:00:00"/>
    <s v="R2000000065"/>
    <s v=" Андижон_Жонибек ака (S)"/>
    <s v="Андижон_Жонибек ака (S)"/>
    <s v="R2"/>
    <s v="Андижон_Жонибек ака (S)"/>
    <x v="3"/>
    <n v="200"/>
    <n v="31000"/>
    <n v="6200000"/>
    <m/>
    <m/>
    <m/>
    <n v="0"/>
  </r>
  <r>
    <n v="2026"/>
    <n v="1"/>
    <d v="2026-01-28T00:00:00"/>
    <s v="R2000000066"/>
    <s v="Улугбек ака"/>
    <s v="Хоразм_Улугбек ака"/>
    <s v="R2"/>
    <s v="Хоразм_Улугбек ака"/>
    <x v="3"/>
    <n v="1000"/>
    <n v="31000"/>
    <n v="31000000"/>
    <m/>
    <m/>
    <m/>
    <n v="0"/>
  </r>
  <r>
    <n v="2026"/>
    <n v="1"/>
    <d v="2026-01-28T00:00:00"/>
    <s v="R2000000068"/>
    <s v=" Андижон_Жонибек ака (S)"/>
    <s v="Андижон_Жонибек ака (S)"/>
    <s v="R2"/>
    <s v="Андижон_Жонибек ака (S)"/>
    <x v="2"/>
    <n v="80"/>
    <n v="33000"/>
    <n v="2640000"/>
    <m/>
    <m/>
    <m/>
    <n v="0"/>
  </r>
  <r>
    <n v="2026"/>
    <n v="1"/>
    <d v="2026-01-28T00:00:00"/>
    <s v="R2000000069"/>
    <s v=" Андижон_Жонибек ака (S)"/>
    <s v="Андижон_Жонибек ака (S)"/>
    <s v="R2"/>
    <s v="Андижон_Жонибек ака (S)"/>
    <x v="1"/>
    <n v="80"/>
    <n v="50000"/>
    <n v="4000000"/>
    <m/>
    <m/>
    <m/>
    <n v="0"/>
  </r>
  <r>
    <n v="2026"/>
    <n v="2"/>
    <d v="2026-02-02T00:00:00"/>
    <s v="R2000000080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2"/>
    <d v="2026-02-03T00:00:00"/>
    <s v="R2000000081"/>
    <s v="Анвар ака"/>
    <s v="Сурхондарьё_Анвар ака"/>
    <s v="R2"/>
    <s v="Сурхондарьё_Анвар ака"/>
    <x v="4"/>
    <n v="50"/>
    <n v="40000"/>
    <n v="2000000"/>
    <m/>
    <m/>
    <m/>
    <n v="0"/>
  </r>
  <r>
    <n v="2026"/>
    <n v="2"/>
    <d v="2026-02-03T00:00:00"/>
    <s v="R2000000083"/>
    <s v="ALIYEV KOZIMALI NOSIRALIYEVICH"/>
    <s v="списание"/>
    <s v="R2"/>
    <s v="Списать"/>
    <x v="0"/>
    <n v="170"/>
    <m/>
    <m/>
    <m/>
    <m/>
    <m/>
    <n v="0"/>
  </r>
  <r>
    <n v="2026"/>
    <n v="2"/>
    <d v="2026-02-03T00:00:00"/>
    <s v="R2000000084"/>
    <s v="Хуршид ака"/>
    <s v="Самарканд_Хуршед ака"/>
    <s v="R2"/>
    <s v="Самарканд_Хуршед ака"/>
    <x v="0"/>
    <n v="95"/>
    <n v="16300"/>
    <n v="1548500"/>
    <m/>
    <m/>
    <m/>
    <n v="0"/>
  </r>
  <r>
    <n v="2026"/>
    <n v="2"/>
    <d v="2026-02-03T00:00:00"/>
    <s v="R2000000086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2"/>
    <d v="2026-02-05T00:00:00"/>
    <s v="R2000000090"/>
    <s v="Анвар ака"/>
    <s v="Сурхондарьё_Анвар ака"/>
    <s v="R2"/>
    <s v="Сурхондарьё_Анвар ака"/>
    <x v="2"/>
    <n v="800"/>
    <n v="33000"/>
    <n v="26400000"/>
    <m/>
    <m/>
    <m/>
    <n v="0"/>
  </r>
  <r>
    <n v="2026"/>
    <n v="2"/>
    <d v="2026-02-05T00:00:00"/>
    <s v="R2000000092"/>
    <s v="Бахром ака"/>
    <s v="Кукон_Бахромжон ака"/>
    <s v="R2"/>
    <s v="Кукон_Бахромжон ака"/>
    <x v="4"/>
    <n v="200"/>
    <n v="40000"/>
    <n v="8000000"/>
    <m/>
    <m/>
    <m/>
    <n v="0"/>
  </r>
  <r>
    <n v="2026"/>
    <n v="2"/>
    <d v="2026-02-05T00:00:00"/>
    <s v="R2000000092"/>
    <s v="Бахром ака"/>
    <s v="Кукон_Бахромжон ака"/>
    <s v="R2"/>
    <s v="Кукон_Бахромжон ака"/>
    <x v="1"/>
    <n v="200"/>
    <n v="50000"/>
    <n v="10000000"/>
    <m/>
    <m/>
    <m/>
    <n v="0"/>
  </r>
  <r>
    <n v="2026"/>
    <n v="2"/>
    <d v="2026-02-06T00:00:00"/>
    <s v="R2000000098"/>
    <s v=" Андижон_Жонибек ака (S)"/>
    <s v="Андижон_Жонибек ака (S)"/>
    <s v="R2"/>
    <s v="Андижон_Жонибек ака (S)"/>
    <x v="2"/>
    <n v="40"/>
    <n v="33000"/>
    <n v="1320000"/>
    <m/>
    <m/>
    <m/>
    <n v="0"/>
  </r>
  <r>
    <n v="2026"/>
    <n v="2"/>
    <d v="2026-02-06T00:00:00"/>
    <s v="R2000000102"/>
    <s v="Хуршид ака"/>
    <s v="Самарканд_Хуршед ака"/>
    <s v="R2"/>
    <s v="Самарканд_Хуршед ака"/>
    <x v="0"/>
    <n v="240"/>
    <n v="16300"/>
    <n v="3912000"/>
    <m/>
    <m/>
    <m/>
    <n v="0"/>
  </r>
  <r>
    <n v="2026"/>
    <n v="2"/>
    <d v="2026-02-06T00:00:00"/>
    <s v="R2000000103"/>
    <s v="Рустам ака"/>
    <s v="Таш.Обл_Рустам ака (S)"/>
    <s v="R2"/>
    <s v="Таш.Обл_Рустам ака (S)"/>
    <x v="0"/>
    <n v="480"/>
    <n v="16300"/>
    <n v="7824000"/>
    <m/>
    <m/>
    <m/>
    <n v="0"/>
  </r>
  <r>
    <n v="2026"/>
    <n v="2"/>
    <d v="2026-02-06T00:00:00"/>
    <s v="R2000000104"/>
    <s v="Фотима опа"/>
    <s v="Сирдарё_Фотима опа"/>
    <s v="R2"/>
    <s v="Сирдарё_Фотима опа"/>
    <x v="0"/>
    <n v="50"/>
    <n v="16300"/>
    <n v="815000"/>
    <m/>
    <m/>
    <m/>
    <n v="0"/>
  </r>
  <r>
    <n v="2026"/>
    <n v="2"/>
    <d v="2026-02-06T00:00:00"/>
    <s v="R2000000105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2"/>
    <d v="2026-02-10T00:00:00"/>
    <s v="R2000000111"/>
    <s v="Фотима опа"/>
    <s v="Сирдарё_Фотима опа"/>
    <s v="R2"/>
    <s v="Сирдарё_Фотима опа"/>
    <x v="0"/>
    <n v="40"/>
    <n v="16300"/>
    <n v="652000"/>
    <m/>
    <m/>
    <m/>
    <n v="0"/>
  </r>
  <r>
    <n v="2026"/>
    <n v="2"/>
    <d v="2026-02-10T00:00:00"/>
    <s v="R2000000112"/>
    <s v="Хуршид ака"/>
    <s v="Самарканд_Хуршед ака"/>
    <s v="R2"/>
    <s v="Самарканд_Хуршед ака"/>
    <x v="4"/>
    <n v="100"/>
    <n v="40000"/>
    <n v="4000000"/>
    <m/>
    <m/>
    <m/>
    <n v="0"/>
  </r>
  <r>
    <n v="2026"/>
    <n v="2"/>
    <d v="2026-02-10T00:00:00"/>
    <s v="R2000000114"/>
    <s v="Умар "/>
    <s v="Фаргона_Умар ака Сух"/>
    <s v="R2"/>
    <s v="Фаргона_Умар ака Сух"/>
    <x v="4"/>
    <n v="50"/>
    <n v="40000"/>
    <n v="2000000"/>
    <m/>
    <m/>
    <m/>
    <n v="0"/>
  </r>
  <r>
    <n v="2026"/>
    <n v="2"/>
    <d v="2026-02-11T00:00:00"/>
    <s v="R2000000118"/>
    <s v="Нафосат опа "/>
    <s v="Бухоро_Нафосат опа"/>
    <s v="R2"/>
    <s v="Бухоро_Нафосат опа"/>
    <x v="4"/>
    <n v="500"/>
    <n v="40000"/>
    <n v="20000000"/>
    <m/>
    <m/>
    <m/>
    <n v="0"/>
  </r>
  <r>
    <n v="2026"/>
    <n v="2"/>
    <d v="2026-02-11T00:00:00"/>
    <s v="R2000000119"/>
    <s v=" Андижон_Жонибек ака (S)"/>
    <s v="Андижон_Жонибек ака (S)"/>
    <s v="R2"/>
    <s v="Андижон_Жонибек ака (S)"/>
    <x v="2"/>
    <n v="40"/>
    <n v="33000"/>
    <n v="1320000"/>
    <m/>
    <m/>
    <m/>
    <n v="0"/>
  </r>
  <r>
    <n v="2026"/>
    <n v="2"/>
    <d v="2026-02-11T00:00:00"/>
    <s v="R2000000121"/>
    <s v="Фотима опа"/>
    <s v="Сирдарё_Фотима опа"/>
    <s v="R2"/>
    <s v="Сирдарё_Фотима опа"/>
    <x v="0"/>
    <n v="50"/>
    <n v="16300"/>
    <n v="815000"/>
    <m/>
    <m/>
    <m/>
    <n v="0"/>
  </r>
  <r>
    <n v="2026"/>
    <n v="2"/>
    <d v="2026-02-12T00:00:00"/>
    <s v="R2000000124"/>
    <s v="Баходир ака"/>
    <s v="Кукон_Баходирхон ака"/>
    <s v="R2"/>
    <s v="Кукон_Баходирхон ака"/>
    <x v="3"/>
    <n v="80"/>
    <n v="31000"/>
    <n v="2480000"/>
    <m/>
    <m/>
    <m/>
    <n v="0"/>
  </r>
  <r>
    <n v="2026"/>
    <n v="2"/>
    <d v="2026-02-12T00:00:00"/>
    <s v="R2000000127"/>
    <s v=" Андижон_Жонибек ака (S)"/>
    <s v="Андижон_Жонибек ака (S)"/>
    <s v="R2"/>
    <s v="Андижон_Жонибек ака (S)"/>
    <x v="2"/>
    <n v="40"/>
    <n v="33000"/>
    <n v="1320000"/>
    <m/>
    <m/>
    <m/>
    <n v="0"/>
  </r>
  <r>
    <n v="2026"/>
    <n v="2"/>
    <d v="2026-02-13T00:00:00"/>
    <s v="R2000000129"/>
    <s v="Фотима опа"/>
    <s v="Сирдарё_Фотима опа"/>
    <s v="R2"/>
    <s v="Сирдарё_Фотима опа"/>
    <x v="1"/>
    <n v="40"/>
    <n v="50000"/>
    <n v="2000000"/>
    <m/>
    <m/>
    <m/>
    <n v="0"/>
  </r>
  <r>
    <n v="2026"/>
    <n v="2"/>
    <d v="2026-02-13T00:00:00"/>
    <s v="R2000000130"/>
    <s v="Хуршид ака"/>
    <s v="Самарканд_Хуршед ака"/>
    <s v="R2"/>
    <s v="Самарканд_Хуршед ака"/>
    <x v="0"/>
    <n v="240"/>
    <n v="16300"/>
    <n v="3912000"/>
    <m/>
    <m/>
    <m/>
    <n v="0"/>
  </r>
  <r>
    <n v="2026"/>
    <n v="2"/>
    <d v="2026-02-17T00:00:00"/>
    <s v="R2000000138"/>
    <s v=" Андижон_Жонибек ака (S)"/>
    <s v="Андижон_Жонибек ака (S)"/>
    <s v="R2"/>
    <s v="Андижон_Жонибек ака (S)"/>
    <x v="4"/>
    <n v="40"/>
    <n v="40000"/>
    <n v="1600000"/>
    <m/>
    <m/>
    <m/>
    <n v="0"/>
  </r>
  <r>
    <n v="2026"/>
    <n v="2"/>
    <d v="2026-02-18T00:00:00"/>
    <s v="R2000000143"/>
    <s v="Фотима опа"/>
    <s v="Сирдарё_Фотима опа"/>
    <s v="R2"/>
    <s v="Сирдарё_Фотима опа"/>
    <x v="0"/>
    <n v="50"/>
    <n v="16300"/>
    <n v="815000"/>
    <m/>
    <m/>
    <m/>
    <n v="0"/>
  </r>
  <r>
    <n v="2026"/>
    <n v="2"/>
    <d v="2026-02-19T00:00:00"/>
    <s v="R2000000147"/>
    <s v="Зафаржон ака"/>
    <s v="Фаргона_Зафаржон ака"/>
    <s v="R2"/>
    <s v="Фаргона_Зафаржон ака"/>
    <x v="3"/>
    <n v="120"/>
    <n v="31000"/>
    <n v="3720000"/>
    <m/>
    <m/>
    <m/>
    <n v="0"/>
  </r>
  <r>
    <n v="2026"/>
    <n v="2"/>
    <d v="2026-02-19T00:00:00"/>
    <s v="R2000000149"/>
    <s v="Анвар ака"/>
    <s v="Сурхондарьё_Анвар ака"/>
    <s v="R2"/>
    <s v="Сурхондарьё_Анвар ака"/>
    <x v="2"/>
    <n v="50"/>
    <n v="33000"/>
    <n v="1650000"/>
    <m/>
    <m/>
    <m/>
    <n v="0"/>
  </r>
  <r>
    <n v="2026"/>
    <n v="2"/>
    <d v="2026-02-20T00:00:00"/>
    <s v="R2000000150"/>
    <s v=" Андижон_Жонибек ака (S)"/>
    <s v="Андижон_Жонибек ака (S)"/>
    <s v="R2"/>
    <s v="Андижон_Жонибек ака (S)"/>
    <x v="1"/>
    <n v="40"/>
    <n v="50000"/>
    <n v="2000000"/>
    <m/>
    <m/>
    <m/>
    <n v="0"/>
  </r>
  <r>
    <n v="2026"/>
    <n v="2"/>
    <d v="2026-02-20T00:00:00"/>
    <s v="R2000000151"/>
    <s v="Хуршид ака"/>
    <s v="Самарканд_Хуршед ака"/>
    <s v="R2"/>
    <s v="Самарканд_Хуршед ака"/>
    <x v="4"/>
    <n v="40"/>
    <n v="40000"/>
    <n v="1600000"/>
    <m/>
    <m/>
    <m/>
    <n v="0"/>
  </r>
  <r>
    <n v="2026"/>
    <n v="2"/>
    <d v="2026-02-20T00:00:00"/>
    <s v="R2000000151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2"/>
    <d v="2026-02-20T00:00:00"/>
    <s v="R2000000154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2"/>
    <d v="2026-02-20T00:00:00"/>
    <s v="R2000000155"/>
    <s v="Нукус_Мехрибон опа"/>
    <s v="Нукус_Мехрибон опа"/>
    <s v="R2"/>
    <s v="Нукус_Мехрибон опа"/>
    <x v="4"/>
    <n v="100"/>
    <n v="40000"/>
    <n v="4000000"/>
    <m/>
    <m/>
    <m/>
    <n v="0"/>
  </r>
  <r>
    <n v="2026"/>
    <n v="2"/>
    <d v="2026-02-23T00:00:00"/>
    <s v="R2000000157"/>
    <s v="Рустам ака"/>
    <s v="Таш.Обл_Рустам ака (S)"/>
    <s v="R2"/>
    <s v="Таш.Обл_Рустам ака (S)"/>
    <x v="4"/>
    <n v="220"/>
    <n v="40000"/>
    <n v="8800000"/>
    <m/>
    <m/>
    <m/>
    <n v="0"/>
  </r>
  <r>
    <n v="2026"/>
    <n v="2"/>
    <d v="2026-02-23T00:00:00"/>
    <s v="R2000000157"/>
    <s v="Рустам ака"/>
    <s v="Таш.Обл_Рустам ака (S)"/>
    <s v="R2"/>
    <s v="Таш.Обл_Рустам ака (S)"/>
    <x v="4"/>
    <n v="380"/>
    <n v="40000"/>
    <n v="15200000"/>
    <m/>
    <m/>
    <m/>
    <n v="0"/>
  </r>
  <r>
    <n v="2026"/>
    <n v="2"/>
    <d v="2026-02-23T00:00:00"/>
    <s v="R2000000157"/>
    <s v="Рустам ака"/>
    <s v="Таш.Обл_Рустам ака (S)"/>
    <s v="R2"/>
    <s v="Таш.Обл_Рустам ака (S)"/>
    <x v="2"/>
    <n v="200"/>
    <n v="33000"/>
    <n v="6600000"/>
    <m/>
    <m/>
    <m/>
    <n v="0"/>
  </r>
  <r>
    <n v="2026"/>
    <n v="2"/>
    <d v="2026-02-23T00:00:00"/>
    <s v="R2000000158"/>
    <s v=" Андижон_Жонибек ака (S)"/>
    <s v="Андижон_Жонибек ака (S)"/>
    <s v="R2"/>
    <s v="Андижон_Жонибек ака (S)"/>
    <x v="3"/>
    <n v="200"/>
    <n v="31000"/>
    <n v="6200000"/>
    <m/>
    <m/>
    <m/>
    <n v="0"/>
  </r>
  <r>
    <n v="2026"/>
    <n v="2"/>
    <d v="2026-02-23T00:00:00"/>
    <s v="R2000000158"/>
    <s v=" Андижон_Жонибек ака (S)"/>
    <s v="Андижон_Жонибек ака (S)"/>
    <s v="R2"/>
    <s v="Андижон_Жонибек ака (S)"/>
    <x v="2"/>
    <n v="150"/>
    <n v="33000"/>
    <n v="4950000"/>
    <m/>
    <m/>
    <m/>
    <n v="0"/>
  </r>
  <r>
    <n v="2026"/>
    <n v="2"/>
    <d v="2026-02-24T00:00:00"/>
    <s v="R2000000162"/>
    <s v="Фотима опа"/>
    <s v="Сирдарё_Фотима опа"/>
    <s v="R2"/>
    <s v="Сирдарё_Фотима опа"/>
    <x v="1"/>
    <n v="40"/>
    <n v="50000"/>
    <n v="2000000"/>
    <m/>
    <m/>
    <m/>
    <n v="0"/>
  </r>
  <r>
    <n v="2026"/>
    <n v="2"/>
    <d v="2026-02-25T00:00:00"/>
    <s v="R2000000171"/>
    <s v="Фотима опа"/>
    <s v="Сирдарё_Фотима опа"/>
    <s v="R2"/>
    <s v="Сирдарё_Фотима опа"/>
    <x v="0"/>
    <n v="200"/>
    <n v="16300"/>
    <n v="3260000"/>
    <m/>
    <m/>
    <m/>
    <n v="0"/>
  </r>
  <r>
    <n v="2026"/>
    <n v="2"/>
    <d v="2026-02-25T00:00:00"/>
    <s v="R2000000172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2"/>
    <d v="2026-02-25T00:00:00"/>
    <s v="R2000000172"/>
    <s v="Хуршид ака"/>
    <s v="Самарканд_Хуршед ака"/>
    <s v="R2"/>
    <s v="Самарканд_Хуршед ака"/>
    <x v="1"/>
    <n v="50"/>
    <n v="50000"/>
    <n v="2500000"/>
    <m/>
    <m/>
    <m/>
    <n v="0"/>
  </r>
  <r>
    <n v="2026"/>
    <n v="2"/>
    <d v="2026-02-25T00:00:00"/>
    <s v="R2000000172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2"/>
    <d v="2026-02-26T00:00:00"/>
    <s v="R2000000174"/>
    <s v=" Андижон_Жонибек ака (S)"/>
    <s v="Андижон_Жонибек ака (S)"/>
    <s v="R2"/>
    <s v="Андижон_Жонибек ака (S)"/>
    <x v="1"/>
    <n v="40"/>
    <n v="50000"/>
    <n v="2000000"/>
    <m/>
    <m/>
    <m/>
    <n v="0"/>
  </r>
  <r>
    <n v="2026"/>
    <n v="2"/>
    <d v="2026-02-27T00:00:00"/>
    <s v="R2000000185"/>
    <s v="Зафаржон ака"/>
    <s v="Фаргона_Зафаржон ака"/>
    <s v="R2"/>
    <s v="Фаргона_Зафаржон ака"/>
    <x v="3"/>
    <n v="500"/>
    <n v="31000"/>
    <n v="15500000"/>
    <m/>
    <m/>
    <m/>
    <n v="0"/>
  </r>
  <r>
    <n v="2026"/>
    <n v="2"/>
    <d v="2026-02-27T00:00:00"/>
    <s v="R2000000185"/>
    <s v="Зафаржон ака"/>
    <s v="Фаргона_Зафаржон ака"/>
    <s v="R2"/>
    <s v="Фаргона_Зафаржон ака"/>
    <x v="4"/>
    <n v="200"/>
    <n v="40000"/>
    <n v="8000000"/>
    <m/>
    <m/>
    <m/>
    <n v="0"/>
  </r>
  <r>
    <n v="2026"/>
    <n v="3"/>
    <d v="2026-03-02T00:00:00"/>
    <s v="R2000000190"/>
    <s v="Фотима опа"/>
    <s v="Сирдарё_Фотима опа"/>
    <s v="R2"/>
    <s v="Сирдарё_Фотима опа"/>
    <x v="2"/>
    <n v="50"/>
    <n v="33000"/>
    <n v="1650000"/>
    <m/>
    <m/>
    <m/>
    <n v="0"/>
  </r>
  <r>
    <n v="2026"/>
    <n v="3"/>
    <d v="2026-03-02T00:00:00"/>
    <s v="R2000000195"/>
    <s v="Хуршид ака"/>
    <s v="Самарканд_Хуршед ака"/>
    <s v="R2"/>
    <s v="Самарканд_Хуршед ака"/>
    <x v="2"/>
    <n v="50"/>
    <n v="33000"/>
    <n v="1650000"/>
    <m/>
    <m/>
    <m/>
    <n v="0"/>
  </r>
  <r>
    <n v="2026"/>
    <n v="3"/>
    <d v="2026-03-03T00:00:00"/>
    <s v="R2000000198"/>
    <s v="Хуршид ака"/>
    <s v="Самарканд_Хуршед ака"/>
    <s v="R2"/>
    <s v="Самарканд_Хуршед ака"/>
    <x v="0"/>
    <n v="240"/>
    <n v="16300"/>
    <n v="3912000"/>
    <m/>
    <m/>
    <m/>
    <n v="0"/>
  </r>
  <r>
    <n v="2026"/>
    <n v="3"/>
    <d v="2026-03-03T00:00:00"/>
    <s v="R2000000199"/>
    <s v="Рустам ака"/>
    <s v="Таш.Обл_Рустам ака (S)"/>
    <s v="R2"/>
    <s v="Таш.Обл_Рустам ака (S)"/>
    <x v="0"/>
    <n v="480"/>
    <n v="16300"/>
    <n v="7824000"/>
    <m/>
    <m/>
    <m/>
    <n v="0"/>
  </r>
  <r>
    <n v="2026"/>
    <n v="3"/>
    <d v="2026-03-04T00:00:00"/>
    <s v="R2000000203"/>
    <s v=" Андижон_Жонибек ака (S)"/>
    <s v="Андижон_Жонибек ака (S)"/>
    <s v="R2"/>
    <s v="Андижон_Жонибек ака (S)"/>
    <x v="3"/>
    <n v="100"/>
    <n v="31000"/>
    <n v="3100000"/>
    <m/>
    <m/>
    <m/>
    <n v="0"/>
  </r>
  <r>
    <n v="2026"/>
    <n v="3"/>
    <d v="2026-03-05T00:00:00"/>
    <s v="R2000000204"/>
    <s v="Фотима опа"/>
    <s v="Сирдарё_Фотима опа"/>
    <s v="R2"/>
    <s v="Сирдарё_Фотима опа"/>
    <x v="0"/>
    <n v="100"/>
    <n v="16300"/>
    <n v="1630000"/>
    <m/>
    <m/>
    <m/>
    <n v="0"/>
  </r>
  <r>
    <n v="2026"/>
    <n v="3"/>
    <d v="2026-03-10T00:00:00"/>
    <s v="R2000000210"/>
    <s v=" Андижон_Жонибек ака (S)"/>
    <s v="Андижон_Жонибек ака (S)"/>
    <s v="R2"/>
    <s v="Андижон_Жонибек ака (S)"/>
    <x v="1"/>
    <n v="40"/>
    <n v="50000"/>
    <n v="2000000"/>
    <m/>
    <m/>
    <m/>
    <n v="0"/>
  </r>
  <r>
    <n v="2026"/>
    <n v="3"/>
    <d v="2026-03-10T00:00:00"/>
    <s v="R2000000211"/>
    <s v="Анвар ака"/>
    <s v="Сурхондарьё_Анвар ака"/>
    <s v="R2"/>
    <s v="Сурхондарьё_Анвар ака"/>
    <x v="1"/>
    <n v="100"/>
    <n v="50000"/>
    <n v="5000000"/>
    <m/>
    <m/>
    <m/>
    <n v="0"/>
  </r>
  <r>
    <n v="2026"/>
    <n v="3"/>
    <d v="2026-03-11T00:00:00"/>
    <s v="R2000000213"/>
    <s v="ALIYEV KOZIMALI NOSIRALIYEVICH"/>
    <s v="списание"/>
    <s v="R2"/>
    <s v="Списать"/>
    <x v="4"/>
    <n v="819"/>
    <m/>
    <m/>
    <m/>
    <m/>
    <m/>
    <n v="0"/>
  </r>
  <r>
    <n v="2026"/>
    <n v="3"/>
    <d v="2026-03-11T00:00:00"/>
    <s v="R2000000214"/>
    <s v="Дилсуз опа"/>
    <s v="Карши_Дилсўз опа"/>
    <s v="R2"/>
    <s v="Карши_Дилсўз опа"/>
    <x v="4"/>
    <n v="100"/>
    <n v="40000"/>
    <n v="4000000"/>
    <m/>
    <m/>
    <m/>
    <n v="0"/>
  </r>
  <r>
    <n v="2026"/>
    <n v="3"/>
    <d v="2026-03-11T00:00:00"/>
    <s v="R2000000218"/>
    <s v="Бахром ака"/>
    <s v="Кукон_Бахромжон ака"/>
    <s v="R2"/>
    <s v="Кукон_Бахромжон ака"/>
    <x v="4"/>
    <n v="35"/>
    <n v="40000"/>
    <n v="1400000"/>
    <m/>
    <m/>
    <m/>
    <n v="0"/>
  </r>
  <r>
    <n v="2026"/>
    <n v="3"/>
    <d v="2026-03-11T00:00:00"/>
    <s v="R2000000218"/>
    <s v="Бахром ака"/>
    <s v="Кукон_Бахромжон ака"/>
    <s v="R2"/>
    <s v="Кукон_Бахромжон ака"/>
    <x v="4"/>
    <n v="114"/>
    <n v="40000"/>
    <n v="4560000"/>
    <m/>
    <m/>
    <m/>
    <n v="0"/>
  </r>
  <r>
    <n v="2026"/>
    <n v="3"/>
    <d v="2026-03-11T00:00:00"/>
    <s v="R2000000218"/>
    <s v="Бахром ака"/>
    <s v="Кукон_Бахромжон ака"/>
    <s v="R2"/>
    <s v="Кукон_Бахромжон ака"/>
    <x v="4"/>
    <n v="51"/>
    <n v="40000"/>
    <n v="2040000"/>
    <m/>
    <m/>
    <m/>
    <n v="0"/>
  </r>
  <r>
    <n v="2026"/>
    <n v="3"/>
    <d v="2026-03-11T00:00:00"/>
    <s v="R2000000218"/>
    <s v="Бахром ака"/>
    <s v="Кукон_Бахромжон ака"/>
    <s v="R2"/>
    <s v="Кукон_Бахромжон ака"/>
    <x v="1"/>
    <n v="200"/>
    <n v="50000"/>
    <n v="10000000"/>
    <m/>
    <m/>
    <m/>
    <n v="0"/>
  </r>
  <r>
    <n v="2026"/>
    <n v="3"/>
    <d v="2026-03-12T00:00:00"/>
    <s v="R2000000220"/>
    <s v=" Андижон_Жонибек ака (S)"/>
    <s v="Андижон_Жонибек ака (S)"/>
    <s v="R2"/>
    <s v="Андижон_Жонибек ака (S)"/>
    <x v="3"/>
    <n v="120"/>
    <n v="31000"/>
    <n v="3720000"/>
    <m/>
    <m/>
    <m/>
    <n v="0"/>
  </r>
  <r>
    <n v="2026"/>
    <n v="3"/>
    <d v="2026-03-12T00:00:00"/>
    <s v="R2000000223"/>
    <s v="Гулшода опа"/>
    <s v="Навоий_Гулшода опа"/>
    <s v="R2"/>
    <s v="Навоий_Гулшода опа (S)"/>
    <x v="2"/>
    <n v="100"/>
    <n v="33000"/>
    <n v="3300000"/>
    <m/>
    <m/>
    <m/>
    <n v="0"/>
  </r>
  <r>
    <n v="2026"/>
    <n v="3"/>
    <d v="2026-03-16T00:00:00"/>
    <s v="R2000000226"/>
    <s v="Фотима опа"/>
    <s v="Сирдарё_Фотима опа"/>
    <s v="R2"/>
    <s v="Сирдарё_Фотима опа"/>
    <x v="1"/>
    <n v="40"/>
    <n v="50000"/>
    <n v="2000000"/>
    <m/>
    <m/>
    <m/>
    <n v="0"/>
  </r>
  <r>
    <n v="2026"/>
    <n v="3"/>
    <d v="2026-03-17T00:00:00"/>
    <s v="R2000000229"/>
    <s v=" Андижон_Жонибек ака (S)"/>
    <s v="Андижон_Жонибек ака (S)"/>
    <s v="R2"/>
    <s v="Андижон_Жонибек ака (S)"/>
    <x v="2"/>
    <n v="100"/>
    <n v="33000"/>
    <n v="3300000"/>
    <m/>
    <m/>
    <m/>
    <n v="0"/>
  </r>
  <r>
    <n v="2026"/>
    <n v="3"/>
    <d v="2026-03-17T00:00:00"/>
    <s v="R2000000230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3"/>
    <d v="2026-03-17T00:00:00"/>
    <s v="R2000000230"/>
    <s v="Хуршид ака"/>
    <s v="Самарканд_Хуршед ака"/>
    <s v="R2"/>
    <s v="Самарканд_Хуршед ака"/>
    <x v="2"/>
    <n v="50"/>
    <n v="33000"/>
    <n v="1650000"/>
    <m/>
    <m/>
    <m/>
    <n v="0"/>
  </r>
  <r>
    <n v="2026"/>
    <n v="3"/>
    <d v="2026-03-17T00:00:00"/>
    <s v="R2000000231"/>
    <s v="Нафосат опа "/>
    <s v="Бухоро_Нафосат опа"/>
    <s v="R2"/>
    <s v="Бухоро_Нафосат опа"/>
    <x v="4"/>
    <n v="496"/>
    <n v="40000"/>
    <n v="19840000"/>
    <m/>
    <m/>
    <m/>
    <n v="0"/>
  </r>
  <r>
    <n v="2026"/>
    <n v="3"/>
    <d v="2026-03-17T00:00:00"/>
    <s v="R2000000231"/>
    <s v="Нафосат опа "/>
    <s v="Бухоро_Нафосат опа"/>
    <s v="R2"/>
    <s v="Бухоро_Нафосат опа"/>
    <x v="4"/>
    <n v="4"/>
    <n v="40000"/>
    <n v="160000"/>
    <m/>
    <m/>
    <m/>
    <n v="0"/>
  </r>
  <r>
    <n v="2026"/>
    <n v="3"/>
    <d v="2026-03-17T00:00:00"/>
    <s v="R2000000232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3"/>
    <d v="2026-03-17T00:00:00"/>
    <s v="R2000000232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3"/>
    <d v="2026-03-18T00:00:00"/>
    <s v="R2000000239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3"/>
    <d v="2026-03-24T00:00:00"/>
    <s v="R2000000243"/>
    <s v="Дилсуз опа"/>
    <s v="Карши_Дилсўз опа"/>
    <s v="R2"/>
    <s v="Карши_Дилсўз опа"/>
    <x v="3"/>
    <n v="200"/>
    <n v="31000"/>
    <n v="6200000"/>
    <m/>
    <m/>
    <m/>
    <n v="0"/>
  </r>
  <r>
    <n v="2026"/>
    <n v="3"/>
    <d v="2026-03-24T00:00:00"/>
    <s v="R2000000245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3"/>
    <d v="2026-03-25T00:00:00"/>
    <s v="R2000000248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3"/>
    <d v="2026-03-25T00:00:00"/>
    <s v="R2000000248"/>
    <s v="Хуршид ака"/>
    <s v="Самарканд_Хуршед ака"/>
    <s v="R2"/>
    <s v="Самарканд_Хуршед ака"/>
    <x v="0"/>
    <n v="120"/>
    <n v="16300"/>
    <n v="1956000"/>
    <m/>
    <m/>
    <m/>
    <n v="0"/>
  </r>
  <r>
    <n v="2026"/>
    <n v="3"/>
    <d v="2026-03-25T00:00:00"/>
    <s v="R2000000251"/>
    <s v="Хуршид ака"/>
    <s v="Самарканд_Хуршед ака"/>
    <s v="R2"/>
    <s v="Самарканд_Хуршед ака"/>
    <x v="1"/>
    <n v="40"/>
    <n v="50000"/>
    <n v="2000000"/>
    <m/>
    <m/>
    <m/>
    <n v="0"/>
  </r>
  <r>
    <n v="2026"/>
    <n v="3"/>
    <d v="2026-03-25T00:00:00"/>
    <s v="R2000000252"/>
    <s v="Фотима опа"/>
    <s v="Сирдарё_Фотима опа"/>
    <s v="R2"/>
    <s v="Сирдарё_Фотима опа"/>
    <x v="0"/>
    <n v="110"/>
    <n v="16300"/>
    <n v="1793000"/>
    <m/>
    <m/>
    <m/>
    <n v="0"/>
  </r>
  <r>
    <n v="2026"/>
    <n v="3"/>
    <d v="2026-03-26T00:00:00"/>
    <s v="R2000000254"/>
    <s v="Баходир ака"/>
    <s v="Кукон_Баходирхон ака"/>
    <s v="R2"/>
    <s v="Кукон_Баходирхон ака"/>
    <x v="3"/>
    <n v="120"/>
    <n v="31000"/>
    <n v="3720000"/>
    <m/>
    <m/>
    <m/>
    <n v="0"/>
  </r>
  <r>
    <n v="2026"/>
    <n v="3"/>
    <d v="2026-03-27T00:00:00"/>
    <s v="R2000000265"/>
    <s v="Хуршид ака"/>
    <s v="Самарканд_Хуршед ака"/>
    <s v="R2"/>
    <s v="Самарканд_Хуршед ака"/>
    <x v="4"/>
    <n v="65"/>
    <n v="40000"/>
    <n v="2600000"/>
    <m/>
    <m/>
    <m/>
    <n v="0"/>
  </r>
  <r>
    <n v="2026"/>
    <n v="3"/>
    <d v="2026-03-27T00:00:00"/>
    <s v="R2000000265"/>
    <s v="Хуршид ака"/>
    <s v="Самарканд_Хуршед ака"/>
    <s v="R2"/>
    <s v="Самарканд_Хуршед ака"/>
    <x v="4"/>
    <n v="35"/>
    <n v="40000"/>
    <n v="1400000"/>
    <m/>
    <m/>
    <m/>
    <n v="0"/>
  </r>
  <r>
    <n v="2026"/>
    <n v="3"/>
    <d v="2026-03-30T00:00:00"/>
    <s v="R2000000267"/>
    <s v=" Андижон_Жонибек ака (S)"/>
    <s v="Андижон_Жонибек ака (S)"/>
    <s v="R2"/>
    <s v="Андижон_Жонибек ака (S)"/>
    <x v="3"/>
    <n v="120"/>
    <n v="31000"/>
    <n v="3720000"/>
    <m/>
    <m/>
    <m/>
    <n v="0"/>
  </r>
  <r>
    <n v="2026"/>
    <n v="3"/>
    <d v="2026-03-30T00:00:00"/>
    <s v="R2000000271"/>
    <s v="Фотима опа"/>
    <s v="Сирдарё_Фотима опа"/>
    <s v="R2"/>
    <s v="Сирдарё_Фотима опа"/>
    <x v="2"/>
    <n v="50"/>
    <n v="33000"/>
    <n v="1650000"/>
    <m/>
    <m/>
    <m/>
    <n v="0"/>
  </r>
  <r>
    <n v="2026"/>
    <n v="3"/>
    <d v="2026-03-31T00:00:00"/>
    <s v="R2000000273"/>
    <s v="Хуршид ака"/>
    <s v="Самарканд_Хуршед ака"/>
    <s v="R2"/>
    <s v="Самарканд_Хуршед ака"/>
    <x v="1"/>
    <n v="40"/>
    <n v="50000"/>
    <n v="2000000"/>
    <m/>
    <m/>
    <m/>
    <n v="0"/>
  </r>
  <r>
    <n v="2026"/>
    <n v="3"/>
    <d v="2026-03-31T00:00:00"/>
    <s v="R2000000273"/>
    <s v="Хуршид ака"/>
    <s v="Самарканд_Хуршед ака"/>
    <s v="R2"/>
    <s v="Самарканд_Хуршед ака"/>
    <x v="2"/>
    <n v="40"/>
    <n v="33000"/>
    <n v="1320000"/>
    <m/>
    <m/>
    <m/>
    <n v="0"/>
  </r>
  <r>
    <n v="2026"/>
    <n v="4"/>
    <d v="2026-04-02T00:00:00"/>
    <s v="R2000000281"/>
    <s v=" Андижон_Жонибек ака (S)"/>
    <s v="Андижон_Жонибек ака (S)"/>
    <s v="R2"/>
    <s v="Андижон_Жонибек ака (S)"/>
    <x v="4"/>
    <n v="61"/>
    <n v="40000"/>
    <n v="2440000"/>
    <m/>
    <m/>
    <m/>
    <n v="0"/>
  </r>
  <r>
    <n v="2026"/>
    <n v="4"/>
    <d v="2026-04-02T00:00:00"/>
    <s v="R2000000281"/>
    <s v=" Андижон_Жонибек ака (S)"/>
    <s v="Андижон_Жонибек ака (S)"/>
    <s v="R2"/>
    <s v="Андижон_Жонибек ака (S)"/>
    <x v="4"/>
    <n v="39"/>
    <n v="40000"/>
    <n v="1560000"/>
    <m/>
    <m/>
    <m/>
    <n v="0"/>
  </r>
  <r>
    <n v="2026"/>
    <n v="4"/>
    <d v="2026-04-02T00:00:00"/>
    <s v="R2000000283"/>
    <s v="Рустам ака"/>
    <s v="Таш.Обл_Рустам ака (S)"/>
    <s v="R2"/>
    <s v="Таш.Обл_Рустам ака (S)"/>
    <x v="4"/>
    <n v="200"/>
    <n v="40000"/>
    <n v="8000000"/>
    <m/>
    <m/>
    <m/>
    <n v="0"/>
  </r>
  <r>
    <n v="2026"/>
    <n v="4"/>
    <d v="2026-04-02T00:00:00"/>
    <s v="R2000000283"/>
    <s v="Рустам ака"/>
    <s v="Таш.Обл_Рустам ака (S)"/>
    <s v="R2"/>
    <s v="Таш.Обл_Рустам ака (S)"/>
    <x v="2"/>
    <n v="20"/>
    <n v="33000"/>
    <n v="660000"/>
    <m/>
    <m/>
    <m/>
    <n v="0"/>
  </r>
  <r>
    <n v="2026"/>
    <n v="4"/>
    <d v="2026-04-02T00:00:00"/>
    <s v="R2000000283"/>
    <s v="Рустам ака"/>
    <s v="Таш.Обл_Рустам ака (S)"/>
    <s v="R2"/>
    <s v="Таш.Обл_Рустам ака (S)"/>
    <x v="2"/>
    <n v="180"/>
    <n v="33000"/>
    <n v="5940000"/>
    <m/>
    <m/>
    <m/>
    <n v="0"/>
  </r>
  <r>
    <n v="2026"/>
    <n v="4"/>
    <d v="2026-04-06T00:00:00"/>
    <s v="R2000000292"/>
    <s v="Анвар ака"/>
    <s v="Сурхондарьё_Анвар ака"/>
    <s v="R2"/>
    <s v="Сурхондарьё_Анвар ака"/>
    <x v="1"/>
    <n v="70"/>
    <n v="50000"/>
    <n v="3500000"/>
    <m/>
    <m/>
    <m/>
    <n v="0"/>
  </r>
  <r>
    <n v="2026"/>
    <n v="4"/>
    <d v="2026-04-06T00:00:00"/>
    <s v="R2000000292"/>
    <s v="Анвар ака"/>
    <s v="Сурхондарьё_Анвар ака"/>
    <s v="R2"/>
    <s v="Сурхондарьё_Анвар ака"/>
    <x v="1"/>
    <n v="130"/>
    <n v="50000"/>
    <n v="6500000"/>
    <m/>
    <m/>
    <m/>
    <n v="0"/>
  </r>
  <r>
    <n v="2026"/>
    <n v="4"/>
    <d v="2026-04-06T00:00:00"/>
    <s v="R2000000292"/>
    <s v="Анвар ака"/>
    <s v="Сурхондарьё_Анвар ака"/>
    <s v="R2"/>
    <s v="Сурхондарьё_Анвар ака"/>
    <x v="2"/>
    <n v="100"/>
    <n v="33000"/>
    <n v="3300000"/>
    <m/>
    <m/>
    <m/>
    <n v="0"/>
  </r>
  <r>
    <n v="2026"/>
    <n v="4"/>
    <d v="2026-04-07T00:00:00"/>
    <s v="R2000000274"/>
    <s v="Зафаржон ака"/>
    <s v="Фаргона_Зафаржон ака"/>
    <s v="R2"/>
    <s v="Фаргона_Зафаржон ака"/>
    <x v="4"/>
    <n v="5"/>
    <n v="40000"/>
    <n v="200000"/>
    <m/>
    <m/>
    <m/>
    <n v="0"/>
  </r>
  <r>
    <n v="2026"/>
    <n v="4"/>
    <d v="2026-04-07T00:00:00"/>
    <s v="R2000000274"/>
    <s v="Зафаржон ака"/>
    <s v="Фаргона_Зафаржон ака"/>
    <s v="R2"/>
    <s v="Фаргона_Зафаржон ака"/>
    <x v="2"/>
    <n v="300"/>
    <n v="33000"/>
    <n v="9900000"/>
    <m/>
    <m/>
    <m/>
    <n v="0"/>
  </r>
  <r>
    <n v="2026"/>
    <n v="4"/>
    <d v="2026-04-07T00:00:00"/>
    <s v="R2000000274"/>
    <s v="Зафаржон ака"/>
    <s v="Фаргона_Зафаржон ака"/>
    <s v="R2"/>
    <s v="Фаргона_Зафаржон ака"/>
    <x v="3"/>
    <n v="200"/>
    <n v="31000"/>
    <n v="6200000"/>
    <m/>
    <m/>
    <m/>
    <n v="0"/>
  </r>
  <r>
    <n v="2026"/>
    <n v="4"/>
    <d v="2026-04-07T00:00:00"/>
    <s v="R2000000274"/>
    <s v="Зафаржон ака"/>
    <s v="Фаргона_Зафаржон ака"/>
    <s v="R2"/>
    <s v="Фаргона_Зафаржон ака"/>
    <x v="3"/>
    <n v="100"/>
    <n v="31000"/>
    <n v="3100000"/>
    <m/>
    <m/>
    <m/>
    <n v="0"/>
  </r>
  <r>
    <n v="2026"/>
    <n v="4"/>
    <d v="2026-04-07T00:00:00"/>
    <s v="R2000000274"/>
    <s v="Зафаржон ака"/>
    <s v="Фаргона_Зафаржон ака"/>
    <s v="R2"/>
    <s v="Фаргона_Зафаржон ака"/>
    <x v="4"/>
    <n v="295"/>
    <n v="40000"/>
    <n v="11800000"/>
    <m/>
    <m/>
    <m/>
    <n v="0"/>
  </r>
  <r>
    <n v="2026"/>
    <n v="4"/>
    <d v="2026-04-07T00:00:00"/>
    <s v="R2000000296"/>
    <s v="Нафосат опа "/>
    <s v="Бухоро_Нафосат опа"/>
    <s v="R2"/>
    <s v="Бухоро_Нафосат опа"/>
    <x v="4"/>
    <n v="500"/>
    <n v="40000"/>
    <n v="20000000"/>
    <m/>
    <m/>
    <m/>
    <n v="0"/>
  </r>
  <r>
    <n v="2026"/>
    <n v="4"/>
    <d v="2026-04-08T00:00:00"/>
    <s v="R2000000299"/>
    <s v="Хуршид ака"/>
    <s v="Самарканд_Хуршед ака"/>
    <s v="R2"/>
    <s v="Самарканд_Хуршед ака"/>
    <x v="4"/>
    <n v="100"/>
    <n v="40000"/>
    <n v="4000000"/>
    <m/>
    <m/>
    <m/>
    <n v="0"/>
  </r>
  <r>
    <n v="2026"/>
    <n v="4"/>
    <d v="2026-04-08T00:00:00"/>
    <s v="R2000000304"/>
    <s v=" Андижон_Жонибек ака (S)"/>
    <s v="Андижон_Жонибек ака (S)"/>
    <s v="R2"/>
    <s v="Андижон_Жонибек ака (S)"/>
    <x v="3"/>
    <n v="260"/>
    <n v="31000"/>
    <n v="8060000"/>
    <m/>
    <m/>
    <m/>
    <n v="0"/>
  </r>
  <r>
    <n v="2026"/>
    <n v="4"/>
    <d v="2026-04-08T00:00:00"/>
    <s v="R2000000304"/>
    <s v=" Андижон_Жонибек ака (S)"/>
    <s v="Андижон_Жонибек ака (S)"/>
    <s v="R2"/>
    <s v="Андижон_Жонибек ака (S)"/>
    <x v="3"/>
    <n v="140"/>
    <n v="31000"/>
    <n v="4340000"/>
    <m/>
    <m/>
    <m/>
    <n v="0"/>
  </r>
  <r>
    <n v="2026"/>
    <n v="4"/>
    <d v="2026-04-08T00:00:00"/>
    <s v="R2000000304"/>
    <s v=" Андижон_Жонибек ака (S)"/>
    <s v="Андижон_Жонибек ака (S)"/>
    <s v="R2"/>
    <s v="Андижон_Жонибек ака (S)"/>
    <x v="2"/>
    <n v="150"/>
    <n v="33000"/>
    <n v="4950000"/>
    <m/>
    <m/>
    <m/>
    <n v="0"/>
  </r>
  <r>
    <n v="2026"/>
    <n v="4"/>
    <d v="2026-04-09T00:00:00"/>
    <s v="R2000000311"/>
    <s v=" Андижон_Жонибек ака (S)"/>
    <s v="Андижон_Жонибек ака (S)"/>
    <s v="R2"/>
    <s v="Андижон_Жонибек ака (S)"/>
    <x v="3"/>
    <n v="120"/>
    <n v="31000"/>
    <n v="3720000"/>
    <m/>
    <m/>
    <m/>
    <n v="0"/>
  </r>
  <r>
    <n v="2026"/>
    <n v="4"/>
    <d v="2026-04-09T00:00:00"/>
    <s v="R2000000312"/>
    <s v="Хуршид ака"/>
    <s v="Самарканд_Хуршед ака"/>
    <s v="R2"/>
    <s v="Самарканд_Хуршед ака"/>
    <x v="4"/>
    <n v="100"/>
    <n v="40000"/>
    <n v="4000000"/>
    <m/>
    <m/>
    <m/>
    <n v="0"/>
  </r>
  <r>
    <n v="2026"/>
    <n v="4"/>
    <d v="2026-04-10T00:00:00"/>
    <s v="R2000000313"/>
    <s v=" Андижон_Жонибек ака (S)"/>
    <s v="Андижон_Жонибек ака (S)"/>
    <s v="R2"/>
    <s v="Андижон_Жонибек ака (S)"/>
    <x v="1"/>
    <n v="40"/>
    <n v="50000"/>
    <n v="2000000"/>
    <m/>
    <m/>
    <m/>
    <n v="0"/>
  </r>
  <r>
    <n v="2026"/>
    <n v="4"/>
    <d v="2026-04-10T00:00:00"/>
    <s v="R2000000317"/>
    <s v="Рустам ака"/>
    <s v="Таш.Обл_Рустам ака (S)"/>
    <s v="R2"/>
    <s v="Таш.Обл_Рустам ака (S)"/>
    <x v="4"/>
    <n v="200"/>
    <n v="40000"/>
    <n v="8000000"/>
    <m/>
    <m/>
    <m/>
    <n v="0"/>
  </r>
  <r>
    <n v="2026"/>
    <n v="4"/>
    <d v="2026-04-15T00:00:00"/>
    <s v="R2000000326"/>
    <s v="Баходир ака"/>
    <s v="Кукон_Баходирхон ака"/>
    <s v="R2"/>
    <s v="Кукон_Баходирхон ака"/>
    <x v="3"/>
    <n v="200"/>
    <n v="31000"/>
    <n v="6200000"/>
    <m/>
    <m/>
    <m/>
    <n v="0"/>
  </r>
  <r>
    <n v="2026"/>
    <n v="4"/>
    <d v="2026-04-17T00:00:00"/>
    <s v="R2000000330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4"/>
    <d v="2026-04-17T00:00:00"/>
    <s v="R2000000332"/>
    <s v="Хуршид ака"/>
    <s v="Самарканд_Хуршед ака"/>
    <s v="R2"/>
    <s v="Самарканд_Хуршед ака"/>
    <x v="4"/>
    <n v="50"/>
    <n v="40000"/>
    <n v="2000000"/>
    <m/>
    <m/>
    <m/>
    <n v="0"/>
  </r>
  <r>
    <n v="2026"/>
    <n v="4"/>
    <d v="2026-04-17T00:00:00"/>
    <s v="R2000000334"/>
    <s v="Бахром ака"/>
    <s v="Кукон_Бахромжон ака"/>
    <s v="R2"/>
    <s v="Кукон_Бахромжон ака"/>
    <x v="4"/>
    <n v="100"/>
    <n v="40000"/>
    <n v="4000000"/>
    <m/>
    <m/>
    <m/>
    <n v="0"/>
  </r>
  <r>
    <n v="2026"/>
    <n v="4"/>
    <d v="2026-04-17T00:00:00"/>
    <s v="R2000000334"/>
    <s v="Бахром ака"/>
    <s v="Кукон_Бахромжон ака"/>
    <s v="R2"/>
    <s v="Кукон_Бахромжон ака"/>
    <x v="1"/>
    <n v="200"/>
    <n v="50000"/>
    <n v="10000000"/>
    <m/>
    <m/>
    <m/>
    <n v="0"/>
  </r>
  <r>
    <n v="2026"/>
    <n v="4"/>
    <d v="2026-04-20T00:00:00"/>
    <s v="R2000000336"/>
    <s v="Гулшода опа"/>
    <s v="Навоий_Гулшода опа"/>
    <s v="R2"/>
    <s v="Навоий_Гулшода опа (S)"/>
    <x v="2"/>
    <n v="100"/>
    <n v="33000"/>
    <n v="3300000"/>
    <m/>
    <m/>
    <m/>
    <n v="0"/>
  </r>
  <r>
    <n v="2026"/>
    <n v="4"/>
    <d v="2026-04-20T00:00:00"/>
    <s v="R2000000337"/>
    <s v=" Андижон_Жонибек ака (S)"/>
    <s v="Андижон_Жонибек ака (S)"/>
    <s v="R2"/>
    <s v="Андижон_Жонибек ака (S)"/>
    <x v="2"/>
    <n v="50"/>
    <n v="33000"/>
    <n v="1650000"/>
    <m/>
    <m/>
    <m/>
    <n v="0"/>
  </r>
  <r>
    <n v="2026"/>
    <n v="4"/>
    <d v="2026-04-20T00:00:00"/>
    <s v="R2000000338"/>
    <s v="Фотима опа"/>
    <s v="Сирдарё_Фотима опа"/>
    <s v="R2"/>
    <s v="Сирдарё_Фотима опа"/>
    <x v="1"/>
    <n v="40"/>
    <n v="50000"/>
    <n v="2000000"/>
    <m/>
    <m/>
    <m/>
    <n v="0"/>
  </r>
  <r>
    <n v="2026"/>
    <n v="4"/>
    <d v="2026-04-20T00:00:00"/>
    <s v="R2000000340"/>
    <s v="Анвар ака"/>
    <s v="Сурхондарьё_Анвар ака"/>
    <s v="R2"/>
    <s v="Сурхондарьё_Анвар ака"/>
    <x v="1"/>
    <n v="200"/>
    <n v="50000"/>
    <n v="10000000"/>
    <m/>
    <m/>
    <m/>
    <n v="0"/>
  </r>
  <r>
    <n v="2026"/>
    <n v="4"/>
    <d v="2026-04-20T00:00:00"/>
    <s v="R2000000342"/>
    <s v="Рустам ака"/>
    <s v="Таш.Обл_Рустам ака (S)"/>
    <s v="R2"/>
    <s v="Таш.Обл_Рустам ака (S)"/>
    <x v="4"/>
    <n v="340"/>
    <n v="40000"/>
    <n v="13600000"/>
    <m/>
    <m/>
    <m/>
    <n v="0"/>
  </r>
  <r>
    <n v="2026"/>
    <n v="4"/>
    <d v="2026-04-20T00:00:00"/>
    <s v="R2000000342"/>
    <s v="Рустам ака"/>
    <s v="Таш.Обл_Рустам ака (S)"/>
    <s v="R2"/>
    <s v="Таш.Обл_Рустам ака (S)"/>
    <x v="4"/>
    <n v="60"/>
    <n v="40000"/>
    <n v="2400000"/>
    <m/>
    <m/>
    <m/>
    <n v="0"/>
  </r>
  <r>
    <n v="2026"/>
    <n v="4"/>
    <d v="2026-04-22T00:00:00"/>
    <s v="R2000000345"/>
    <s v=" Андижон_Жонибек ака (S)"/>
    <s v="Андижон_Жонибек ака (S)"/>
    <s v="R2"/>
    <s v="Андижон_Жонибек ака (S)"/>
    <x v="3"/>
    <n v="240"/>
    <n v="31000"/>
    <n v="7440000"/>
    <m/>
    <m/>
    <m/>
    <n v="0"/>
  </r>
  <r>
    <n v="2026"/>
    <n v="4"/>
    <d v="2026-04-23T00:00:00"/>
    <s v="R2000000348"/>
    <s v="Улугбек ака"/>
    <s v="Хоразм_Улугбек ака"/>
    <s v="R2"/>
    <s v="Хоразм_Улугбек ака"/>
    <x v="4"/>
    <n v="200"/>
    <n v="40000"/>
    <n v="8000000"/>
    <m/>
    <m/>
    <m/>
    <n v="0"/>
  </r>
  <r>
    <n v="2026"/>
    <n v="4"/>
    <d v="2026-04-23T00:00:00"/>
    <s v="R2000000348"/>
    <s v="Улугбек ака"/>
    <s v="Хоразм_Улугбек ака"/>
    <s v="R2"/>
    <s v="Хоразм_Улугбек ака"/>
    <x v="2"/>
    <n v="100"/>
    <n v="33000"/>
    <n v="3300000"/>
    <m/>
    <m/>
    <m/>
    <n v="0"/>
  </r>
  <r>
    <n v="2026"/>
    <n v="4"/>
    <d v="2026-04-24T00:00:00"/>
    <s v="R2000000351"/>
    <s v="Анвар ака"/>
    <s v="Сурхондарьё_Анвар ака"/>
    <s v="R2"/>
    <s v="Сурхондарьё_Анвар ака"/>
    <x v="4"/>
    <n v="100"/>
    <n v="40000"/>
    <n v="4000000"/>
    <m/>
    <m/>
    <m/>
    <n v="0"/>
  </r>
  <r>
    <n v="2026"/>
    <n v="4"/>
    <d v="2026-04-28T00:00:00"/>
    <s v="R2000000360"/>
    <s v=" Андижон_Жонибек ака (S)"/>
    <s v="Андижон_Жонибек ака (S)"/>
    <s v="R2"/>
    <s v="Андижон_Жонибек ака (S)"/>
    <x v="2"/>
    <n v="50"/>
    <n v="33000"/>
    <n v="1650000"/>
    <m/>
    <m/>
    <m/>
    <n v="0"/>
  </r>
  <r>
    <n v="2026"/>
    <n v="4"/>
    <d v="2026-04-28T00:00:00"/>
    <s v="R2000000361"/>
    <s v="Ноила опа"/>
    <s v="Таш.Обл_Ноила опа"/>
    <s v="R2"/>
    <s v="Таш.Обл_Ноила опа"/>
    <x v="2"/>
    <n v="150"/>
    <n v="33000"/>
    <n v="4950000"/>
    <m/>
    <m/>
    <m/>
    <n v="0"/>
  </r>
  <r>
    <n v="2026"/>
    <n v="4"/>
    <d v="2026-04-29T00:00:00"/>
    <s v="R2000000368"/>
    <s v="Умар "/>
    <s v="Фаргона_Умар ака Сух"/>
    <s v="R2"/>
    <s v="Фаргона_Умар ака Сух"/>
    <x v="1"/>
    <n v="80"/>
    <n v="50000"/>
    <n v="4000000"/>
    <m/>
    <m/>
    <m/>
    <n v="0"/>
  </r>
  <r>
    <n v="2026"/>
    <n v="4"/>
    <d v="2026-04-29T00:00:00"/>
    <s v="R2000000369"/>
    <s v="Улугбек ака"/>
    <s v="Хоразм_Улугбек ака"/>
    <s v="R2"/>
    <s v="Хоразм_Улугбек ака"/>
    <x v="4"/>
    <n v="300"/>
    <n v="40000"/>
    <n v="12000000"/>
    <m/>
    <m/>
    <m/>
    <n v="0"/>
  </r>
  <r>
    <n v="2026"/>
    <n v="4"/>
    <d v="2026-04-29T00:00:00"/>
    <s v="R2000000371"/>
    <s v="Хуршид ака"/>
    <s v="Самарканд_Хуршед ака"/>
    <s v="R2"/>
    <s v="Самарканд_Хуршед ака"/>
    <x v="2"/>
    <n v="100"/>
    <n v="33000"/>
    <n v="3300000"/>
    <m/>
    <m/>
    <m/>
    <n v="0"/>
  </r>
  <r>
    <n v="2026"/>
    <n v="4"/>
    <d v="2026-04-29T00:00:00"/>
    <s v="R2000000372"/>
    <s v="Рустам ака"/>
    <s v="Таш.Обл_Рустам ака (S)"/>
    <s v="R2"/>
    <s v="Таш.Обл_Рустам ака (S)"/>
    <x v="4"/>
    <n v="400"/>
    <n v="40000"/>
    <n v="16000000"/>
    <m/>
    <m/>
    <m/>
    <n v="0"/>
  </r>
  <r>
    <n v="2026"/>
    <n v="4"/>
    <d v="2026-04-29T00:00:00"/>
    <s v="R2000000372"/>
    <s v="Рустам ака"/>
    <s v="Таш.Обл_Рустам ака (S)"/>
    <s v="R2"/>
    <s v="Таш.Обл_Рустам ака (S)"/>
    <x v="2"/>
    <n v="10"/>
    <n v="33000"/>
    <n v="330000"/>
    <m/>
    <m/>
    <m/>
    <n v="0"/>
  </r>
  <r>
    <n v="2026"/>
    <n v="4"/>
    <d v="2026-04-29T00:00:00"/>
    <s v="R2000000372"/>
    <s v="Рустам ака"/>
    <s v="Таш.Обл_Рустам ака (S)"/>
    <s v="R2"/>
    <s v="Таш.Обл_Рустам ака (S)"/>
    <x v="2"/>
    <n v="390"/>
    <n v="33000"/>
    <n v="12870000"/>
    <m/>
    <m/>
    <m/>
    <n v="0"/>
  </r>
  <r>
    <n v="2026"/>
    <n v="5"/>
    <d v="2026-05-06T00:00:00"/>
    <s v="R2000000394"/>
    <s v="Зафаржон ака"/>
    <s v="Фаргона_Зафаржон ака"/>
    <s v="R2"/>
    <s v="Фаргона_Зафаржон ака"/>
    <x v="4"/>
    <n v="200"/>
    <n v="40000"/>
    <n v="8000000"/>
    <m/>
    <m/>
    <m/>
    <n v="0"/>
  </r>
  <r>
    <n v="2026"/>
    <n v="5"/>
    <d v="2026-05-06T00:00:00"/>
    <s v="R2000000394"/>
    <s v="Зафаржон ака"/>
    <s v="Фаргона_Зафаржон ака"/>
    <s v="R2"/>
    <s v="Фаргона_Зафаржон ака"/>
    <x v="4"/>
    <n v="310"/>
    <n v="40000"/>
    <n v="12400000"/>
    <m/>
    <m/>
    <m/>
    <n v="0"/>
  </r>
  <r>
    <n v="2026"/>
    <n v="5"/>
    <d v="2026-05-06T00:00:00"/>
    <s v="R2000000394"/>
    <s v="Зафаржон ака"/>
    <s v="Фаргона_Зафаржон ака"/>
    <s v="R2"/>
    <s v="Фаргона_Зафаржон ака"/>
    <x v="4"/>
    <n v="90"/>
    <n v="40000"/>
    <n v="3600000"/>
    <m/>
    <m/>
    <m/>
    <n v="0"/>
  </r>
  <r>
    <n v="2026"/>
    <n v="5"/>
    <d v="2026-05-07T00:00:00"/>
    <s v="R2000000395"/>
    <s v=" Андижон_Жонибек ака (S)"/>
    <s v="Андижон_Жонибек ака (S)"/>
    <s v="R2"/>
    <s v="Андижон_Жонибек ака (S)"/>
    <x v="3"/>
    <n v="120"/>
    <n v="31000"/>
    <n v="3720000"/>
    <m/>
    <m/>
    <m/>
    <n v="0"/>
  </r>
  <r>
    <n v="2026"/>
    <n v="5"/>
    <d v="2026-05-07T00:00:00"/>
    <s v="R2000000395"/>
    <s v=" Андижон_Жонибек ака (S)"/>
    <s v="Андижон_Жонибек ака (S)"/>
    <s v="R2"/>
    <s v="Андижон_Жонибек ака (S)"/>
    <x v="1"/>
    <n v="80"/>
    <n v="50000"/>
    <n v="4000000"/>
    <m/>
    <m/>
    <m/>
    <n v="0"/>
  </r>
  <r>
    <n v="2026"/>
    <n v="5"/>
    <d v="2026-05-07T00:00:00"/>
    <s v="R2000000395"/>
    <s v=" Андижон_Жонибек ака (S)"/>
    <s v="Андижон_Жонибек ака (S)"/>
    <s v="R2"/>
    <s v="Андижон_Жонибек ака (S)"/>
    <x v="2"/>
    <n v="200"/>
    <n v="33000"/>
    <n v="6600000"/>
    <m/>
    <m/>
    <m/>
    <n v="0"/>
  </r>
  <r>
    <n v="2026"/>
    <n v="5"/>
    <d v="2026-05-07T00:00:00"/>
    <s v="R2000000397"/>
    <s v="Анвар ака"/>
    <s v="Сурхондарьё_Анвар ака"/>
    <s v="R2"/>
    <s v="Сурхондарьё_Анвар ака"/>
    <x v="4"/>
    <n v="100"/>
    <n v="40000"/>
    <n v="4000000"/>
    <m/>
    <m/>
    <m/>
    <n v="0"/>
  </r>
  <r>
    <n v="2026"/>
    <n v="5"/>
    <d v="2026-05-07T00:00:00"/>
    <s v="R2000000397"/>
    <s v="Анвар ака"/>
    <s v="Сурхондарьё_Анвар ака"/>
    <s v="R2"/>
    <s v="Сурхондарьё_Анвар ака"/>
    <x v="2"/>
    <n v="100"/>
    <n v="33000"/>
    <n v="3300000"/>
    <m/>
    <m/>
    <m/>
    <n v="0"/>
  </r>
  <r>
    <n v="2026"/>
    <n v="5"/>
    <d v="2026-05-08T00:00:00"/>
    <s v="R2000000398"/>
    <s v="Улугбек ака"/>
    <s v="Хоразм_Улугбек ака"/>
    <s v="R2"/>
    <s v="Хоразм_Улугбек ака"/>
    <x v="4"/>
    <n v="200"/>
    <n v="40000"/>
    <n v="8000000"/>
    <m/>
    <m/>
    <m/>
    <n v="0"/>
  </r>
  <r>
    <n v="2026"/>
    <n v="5"/>
    <d v="2026-05-12T00:00:00"/>
    <s v="R2000000405"/>
    <s v=" Андижон_Жонибек ака (S)"/>
    <s v="Андижон_Жонибек ака (S)"/>
    <s v="R2"/>
    <s v="Андижон_Жонибек ака (S)"/>
    <x v="3"/>
    <n v="120"/>
    <n v="31000"/>
    <n v="3720000"/>
    <m/>
    <m/>
    <m/>
    <n v="0"/>
  </r>
  <r>
    <n v="2026"/>
    <n v="5"/>
    <d v="2026-05-12T00:00:00"/>
    <s v="R2000000409"/>
    <s v="Анвар ака"/>
    <s v="Сурхондарьё_Анвар ака"/>
    <s v="R2"/>
    <s v="Сурхондарьё_Анвар ака"/>
    <x v="1"/>
    <n v="200"/>
    <n v="50000"/>
    <n v="10000000"/>
    <m/>
    <m/>
    <m/>
    <n v="0"/>
  </r>
  <r>
    <n v="2026"/>
    <n v="5"/>
    <d v="2026-05-13T00:00:00"/>
    <s v="R2000000412"/>
    <s v=" Андижон_Жонибек ака (S)"/>
    <s v="Андижон_Жонибек ака (S)"/>
    <s v="R2"/>
    <s v="Андижон_Жонибек ака (S)"/>
    <x v="3"/>
    <n v="140"/>
    <n v="31000"/>
    <n v="4340000"/>
    <m/>
    <m/>
    <m/>
    <n v="0"/>
  </r>
  <r>
    <n v="2026"/>
    <n v="5"/>
    <d v="2026-05-13T00:00:00"/>
    <s v="R2000000412"/>
    <s v=" Андижон_Жонибек ака (S)"/>
    <s v="Андижон_Жонибек ака (S)"/>
    <s v="R2"/>
    <s v="Андижон_Жонибек ака (S)"/>
    <x v="3"/>
    <n v="260"/>
    <n v="31000"/>
    <n v="8060000"/>
    <m/>
    <m/>
    <m/>
    <n v="0"/>
  </r>
  <r>
    <n v="2026"/>
    <n v="5"/>
    <d v="2026-05-13T00:00:00"/>
    <s v="R2000000414"/>
    <s v="Анвар ака"/>
    <s v="Сурхондарьё_Анвар ака"/>
    <s v="R2"/>
    <s v="Сурхондарьё_Анвар ака"/>
    <x v="1"/>
    <n v="80"/>
    <n v="50000"/>
    <n v="4000000"/>
    <m/>
    <m/>
    <m/>
    <n v="0"/>
  </r>
  <r>
    <n v="2026"/>
    <n v="5"/>
    <d v="2026-05-13T00:00:00"/>
    <s v="R2000000416"/>
    <s v="Фотима опа"/>
    <s v="Сирдарё_Фотима опа"/>
    <s v="R2"/>
    <s v="Сирдарё_Фотима опа"/>
    <x v="0"/>
    <n v="8"/>
    <n v="16300"/>
    <n v="130400"/>
    <m/>
    <m/>
    <m/>
    <n v="0"/>
  </r>
  <r>
    <n v="2026"/>
    <n v="5"/>
    <d v="2026-05-14T00:00:00"/>
    <s v="R2000000420"/>
    <s v="Хуршид ака"/>
    <s v="Самарканд_Хуршед ака"/>
    <s v="R2"/>
    <s v="Самарканд_Хуршед ака"/>
    <x v="4"/>
    <n v="150"/>
    <n v="40000"/>
    <n v="6000000"/>
    <m/>
    <m/>
    <m/>
    <n v="0"/>
  </r>
  <r>
    <n v="2026"/>
    <n v="5"/>
    <d v="2026-05-14T00:00:00"/>
    <s v="R2000000422"/>
    <s v="Улугбек ака"/>
    <s v="Хоразм_Улугбек ака"/>
    <s v="R2"/>
    <s v="Хоразм_Улугбек ака"/>
    <x v="1"/>
    <n v="50"/>
    <n v="50000"/>
    <n v="2500000"/>
    <m/>
    <m/>
    <m/>
    <n v="0"/>
  </r>
  <r>
    <n v="2026"/>
    <n v="5"/>
    <d v="2026-05-14T00:00:00"/>
    <s v="R2000000422"/>
    <s v="Улугбек ака"/>
    <s v="Хоразм_Улугбек ака"/>
    <s v="R2"/>
    <s v="Хоразм_Улугбек ака"/>
    <x v="2"/>
    <n v="50"/>
    <n v="33000"/>
    <n v="1650000"/>
    <m/>
    <m/>
    <m/>
    <n v="0"/>
  </r>
  <r>
    <n v="2026"/>
    <n v="5"/>
    <d v="2026-05-15T00:00:00"/>
    <s v="R2000000424"/>
    <s v="Зафаржон ака"/>
    <s v="Фаргона_Зафаржон ака"/>
    <s v="R2"/>
    <s v="Фаргона_Зафаржон ака"/>
    <x v="4"/>
    <n v="800"/>
    <n v="40000"/>
    <n v="32000000"/>
    <m/>
    <m/>
    <m/>
    <n v="0"/>
  </r>
  <r>
    <n v="2026"/>
    <n v="5"/>
    <d v="2026-05-15T00:00:00"/>
    <s v="R2000000424"/>
    <s v="Зафаржон ака"/>
    <s v="Фаргона_Зафаржон ака"/>
    <s v="R2"/>
    <s v="Фаргона_Зафаржон ака"/>
    <x v="4"/>
    <n v="200"/>
    <n v="40000"/>
    <n v="8000000"/>
    <m/>
    <m/>
    <m/>
    <n v="0"/>
  </r>
  <r>
    <n v="2026"/>
    <n v="5"/>
    <d v="2026-05-15T00:00:00"/>
    <s v="R2000000427"/>
    <s v="Фотима опа"/>
    <s v="Сирдарё_Фотима опа"/>
    <s v="R2"/>
    <s v="Сирдарё_Фотима опа"/>
    <x v="1"/>
    <n v="40"/>
    <n v="50000"/>
    <n v="2000000"/>
    <m/>
    <m/>
    <m/>
    <n v="0"/>
  </r>
  <r>
    <n v="2026"/>
    <n v="5"/>
    <d v="2026-05-15T00:00:00"/>
    <s v="R2000000427"/>
    <s v="Фотима опа"/>
    <s v="Сирдарё_Фотима опа"/>
    <s v="R2"/>
    <s v="Сирдарё_Фотима опа"/>
    <x v="2"/>
    <n v="50"/>
    <n v="33000"/>
    <n v="1650000"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72B83-AFC0-DF4C-8A40-CBE9C9D03612}" name="Сводная таблица7" cacheId="5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numFmtId="1"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7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по полю сумма2" fld="1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0D13-B190-D24F-8D74-A831C756B846}">
  <dimension ref="A1:O624"/>
  <sheetViews>
    <sheetView workbookViewId="0">
      <pane xSplit="6" ySplit="2" topLeftCell="J3" activePane="bottomRight" state="frozen"/>
      <selection pane="topRight" activeCell="G1" sqref="G1"/>
      <selection pane="bottomLeft" activeCell="A3" sqref="A3"/>
      <selection pane="bottomRight" sqref="A1:M624"/>
    </sheetView>
  </sheetViews>
  <sheetFormatPr baseColWidth="10" defaultRowHeight="16"/>
  <cols>
    <col min="3" max="3" width="13.5" customWidth="1"/>
    <col min="4" max="4" width="18.5" customWidth="1"/>
    <col min="5" max="5" width="25" customWidth="1"/>
    <col min="6" max="6" width="29.33203125" customWidth="1"/>
    <col min="7" max="7" width="20.1640625" customWidth="1"/>
    <col min="9" max="9" width="47.83203125" customWidth="1"/>
    <col min="10" max="10" width="36.6640625" customWidth="1"/>
    <col min="12" max="12" width="11" bestFit="1" customWidth="1"/>
    <col min="13" max="13" width="14.83203125" customWidth="1"/>
    <col min="14" max="15" width="11" bestFit="1" customWidth="1"/>
  </cols>
  <sheetData>
    <row r="1" spans="1:15">
      <c r="K1" s="5">
        <f>SUBTOTAL(9,K3:K1048576)</f>
        <v>36421</v>
      </c>
      <c r="M1" s="5">
        <f>SUBTOTAL(9,M3:M1048576)</f>
        <v>2019138849.5599999</v>
      </c>
    </row>
    <row r="2" spans="1:15" ht="2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6">
        <v>2025</v>
      </c>
      <c r="B3" s="7">
        <v>3</v>
      </c>
      <c r="C3" s="8">
        <v>45730</v>
      </c>
      <c r="D3" s="3" t="s">
        <v>251</v>
      </c>
      <c r="E3" s="3" t="s">
        <v>252</v>
      </c>
      <c r="F3" s="3" t="s">
        <v>253</v>
      </c>
      <c r="G3" s="3" t="s">
        <v>254</v>
      </c>
      <c r="H3" s="3" t="s">
        <v>255</v>
      </c>
      <c r="I3" s="3" t="s">
        <v>256</v>
      </c>
      <c r="J3" s="3" t="s">
        <v>21</v>
      </c>
      <c r="K3" s="2">
        <v>40</v>
      </c>
      <c r="L3" s="1">
        <v>36955.08</v>
      </c>
      <c r="M3" s="1">
        <v>1478203.2</v>
      </c>
      <c r="N3" s="1">
        <v>8</v>
      </c>
      <c r="O3" s="1">
        <v>118256.26</v>
      </c>
    </row>
    <row r="4" spans="1:15">
      <c r="A4" s="6">
        <v>2025</v>
      </c>
      <c r="B4" s="7">
        <v>3</v>
      </c>
      <c r="C4" s="8">
        <v>45743</v>
      </c>
      <c r="D4" s="3" t="s">
        <v>257</v>
      </c>
      <c r="E4" s="3" t="s">
        <v>258</v>
      </c>
      <c r="F4" s="3" t="s">
        <v>259</v>
      </c>
      <c r="G4" s="3" t="s">
        <v>260</v>
      </c>
      <c r="H4" s="3" t="s">
        <v>255</v>
      </c>
      <c r="I4" s="3" t="s">
        <v>261</v>
      </c>
      <c r="J4" s="3" t="s">
        <v>21</v>
      </c>
      <c r="K4" s="2">
        <v>120</v>
      </c>
      <c r="L4" s="1">
        <v>36955.08</v>
      </c>
      <c r="M4" s="1">
        <v>4434609.5999999996</v>
      </c>
      <c r="N4" s="1">
        <v>8</v>
      </c>
      <c r="O4" s="1">
        <v>354768.77</v>
      </c>
    </row>
    <row r="5" spans="1:15">
      <c r="A5" s="6">
        <v>2025</v>
      </c>
      <c r="B5" s="7">
        <v>4</v>
      </c>
      <c r="C5" s="8">
        <v>45750</v>
      </c>
      <c r="D5" s="3" t="s">
        <v>262</v>
      </c>
      <c r="E5" s="3" t="s">
        <v>258</v>
      </c>
      <c r="F5" s="3" t="s">
        <v>259</v>
      </c>
      <c r="G5" s="3" t="s">
        <v>260</v>
      </c>
      <c r="H5" s="3" t="s">
        <v>255</v>
      </c>
      <c r="I5" s="3" t="s">
        <v>263</v>
      </c>
      <c r="J5" s="3" t="s">
        <v>21</v>
      </c>
      <c r="K5" s="2">
        <v>30</v>
      </c>
      <c r="L5" s="1">
        <v>36955.08</v>
      </c>
      <c r="M5" s="1">
        <v>1108652.3999999999</v>
      </c>
      <c r="N5" s="1">
        <v>13</v>
      </c>
      <c r="O5" s="1">
        <v>144124.81</v>
      </c>
    </row>
    <row r="6" spans="1:15">
      <c r="A6" s="6">
        <v>2025</v>
      </c>
      <c r="B6" s="7">
        <v>4</v>
      </c>
      <c r="C6" s="8">
        <v>45751</v>
      </c>
      <c r="D6" s="3" t="s">
        <v>264</v>
      </c>
      <c r="E6" s="3" t="s">
        <v>265</v>
      </c>
      <c r="F6" s="3" t="s">
        <v>266</v>
      </c>
      <c r="G6" s="3" t="s">
        <v>18</v>
      </c>
      <c r="H6" s="3" t="s">
        <v>255</v>
      </c>
      <c r="I6" s="3" t="s">
        <v>267</v>
      </c>
      <c r="J6" s="3" t="s">
        <v>21</v>
      </c>
      <c r="K6" s="2">
        <v>20</v>
      </c>
      <c r="L6" s="1">
        <v>36955.08</v>
      </c>
      <c r="M6" s="1">
        <v>739101.6</v>
      </c>
      <c r="N6" s="1">
        <v>15</v>
      </c>
      <c r="O6" s="1">
        <v>110865.24</v>
      </c>
    </row>
    <row r="7" spans="1:15">
      <c r="A7" s="6">
        <v>2025</v>
      </c>
      <c r="B7" s="7">
        <v>4</v>
      </c>
      <c r="C7" s="8">
        <v>45772</v>
      </c>
      <c r="D7" s="3" t="s">
        <v>268</v>
      </c>
      <c r="E7" s="3" t="s">
        <v>252</v>
      </c>
      <c r="F7" s="3" t="s">
        <v>253</v>
      </c>
      <c r="G7" s="3" t="s">
        <v>254</v>
      </c>
      <c r="H7" s="3" t="s">
        <v>255</v>
      </c>
      <c r="I7" s="3" t="s">
        <v>269</v>
      </c>
      <c r="J7" s="3" t="s">
        <v>21</v>
      </c>
      <c r="K7" s="2">
        <v>20</v>
      </c>
      <c r="L7" s="1">
        <v>36955.08</v>
      </c>
      <c r="M7" s="1">
        <v>739101.6</v>
      </c>
      <c r="N7" s="1">
        <v>14</v>
      </c>
      <c r="O7" s="1">
        <v>103474.22</v>
      </c>
    </row>
    <row r="8" spans="1:15">
      <c r="A8" s="6">
        <v>2025</v>
      </c>
      <c r="B8" s="7">
        <v>4</v>
      </c>
      <c r="C8" s="8">
        <v>45776</v>
      </c>
      <c r="D8" s="3" t="s">
        <v>270</v>
      </c>
      <c r="E8" s="3" t="s">
        <v>271</v>
      </c>
      <c r="F8" s="3" t="s">
        <v>272</v>
      </c>
      <c r="G8" s="3" t="s">
        <v>273</v>
      </c>
      <c r="H8" s="3" t="s">
        <v>255</v>
      </c>
      <c r="I8" s="3" t="s">
        <v>274</v>
      </c>
      <c r="J8" s="3" t="s">
        <v>21</v>
      </c>
      <c r="K8" s="2">
        <v>100</v>
      </c>
      <c r="L8" s="1">
        <v>36955.08</v>
      </c>
      <c r="M8" s="1">
        <v>3695508</v>
      </c>
      <c r="N8" s="1">
        <v>15</v>
      </c>
      <c r="O8" s="1">
        <v>554326.19999999995</v>
      </c>
    </row>
    <row r="9" spans="1:15">
      <c r="A9" s="6">
        <v>2025</v>
      </c>
      <c r="B9" s="7">
        <v>4</v>
      </c>
      <c r="C9" s="8">
        <v>45776</v>
      </c>
      <c r="D9" s="3" t="s">
        <v>275</v>
      </c>
      <c r="E9" s="3" t="s">
        <v>252</v>
      </c>
      <c r="F9" s="3" t="s">
        <v>253</v>
      </c>
      <c r="G9" s="3" t="s">
        <v>254</v>
      </c>
      <c r="H9" s="3" t="s">
        <v>255</v>
      </c>
      <c r="I9" s="3" t="s">
        <v>256</v>
      </c>
      <c r="J9" s="3" t="s">
        <v>21</v>
      </c>
      <c r="K9" s="2">
        <v>50</v>
      </c>
      <c r="L9" s="1">
        <v>36955.08</v>
      </c>
      <c r="M9" s="1">
        <v>1847754</v>
      </c>
      <c r="N9" s="1">
        <v>8</v>
      </c>
      <c r="O9" s="1">
        <v>147820.32</v>
      </c>
    </row>
    <row r="10" spans="1:15">
      <c r="A10" s="6">
        <v>2025</v>
      </c>
      <c r="B10" s="7">
        <v>5</v>
      </c>
      <c r="C10" s="8">
        <v>45779</v>
      </c>
      <c r="D10" s="3" t="s">
        <v>276</v>
      </c>
      <c r="E10" s="3" t="s">
        <v>265</v>
      </c>
      <c r="F10" s="3" t="s">
        <v>266</v>
      </c>
      <c r="G10" s="3" t="s">
        <v>18</v>
      </c>
      <c r="H10" s="3" t="s">
        <v>255</v>
      </c>
      <c r="I10" s="3" t="s">
        <v>267</v>
      </c>
      <c r="J10" s="3" t="s">
        <v>21</v>
      </c>
      <c r="K10" s="2">
        <v>42</v>
      </c>
      <c r="L10" s="1">
        <v>36955.08</v>
      </c>
      <c r="M10" s="1">
        <v>1552113.36</v>
      </c>
      <c r="N10" s="1">
        <v>10</v>
      </c>
      <c r="O10" s="1">
        <v>155211.34</v>
      </c>
    </row>
    <row r="11" spans="1:15">
      <c r="A11" s="6">
        <v>2025</v>
      </c>
      <c r="B11" s="7">
        <v>5</v>
      </c>
      <c r="C11" s="8">
        <v>45783</v>
      </c>
      <c r="D11" s="3" t="s">
        <v>277</v>
      </c>
      <c r="E11" s="3" t="s">
        <v>258</v>
      </c>
      <c r="F11" s="3" t="s">
        <v>259</v>
      </c>
      <c r="G11" s="3" t="s">
        <v>260</v>
      </c>
      <c r="H11" s="3" t="s">
        <v>255</v>
      </c>
      <c r="I11" s="3" t="s">
        <v>278</v>
      </c>
      <c r="J11" s="3" t="s">
        <v>21</v>
      </c>
      <c r="K11" s="1">
        <v>1500</v>
      </c>
      <c r="L11" s="1">
        <v>36955.08</v>
      </c>
      <c r="M11" s="1">
        <v>55432620</v>
      </c>
      <c r="N11" s="1">
        <v>8</v>
      </c>
      <c r="O11" s="1">
        <v>4434609.5999999996</v>
      </c>
    </row>
    <row r="12" spans="1:15">
      <c r="A12" s="6">
        <v>2025</v>
      </c>
      <c r="B12" s="7">
        <v>5</v>
      </c>
      <c r="C12" s="8">
        <v>45783</v>
      </c>
      <c r="D12" s="3" t="s">
        <v>277</v>
      </c>
      <c r="E12" s="3" t="s">
        <v>258</v>
      </c>
      <c r="F12" s="3" t="s">
        <v>259</v>
      </c>
      <c r="G12" s="3" t="s">
        <v>260</v>
      </c>
      <c r="H12" s="3" t="s">
        <v>255</v>
      </c>
      <c r="I12" s="3" t="s">
        <v>278</v>
      </c>
      <c r="J12" s="3" t="s">
        <v>21</v>
      </c>
      <c r="K12" s="1">
        <v>1500</v>
      </c>
      <c r="L12" s="1">
        <v>36955.08</v>
      </c>
      <c r="M12" s="1">
        <v>55432620</v>
      </c>
      <c r="N12" s="1">
        <v>8</v>
      </c>
      <c r="O12" s="1">
        <v>4434609.5999999996</v>
      </c>
    </row>
    <row r="13" spans="1:15">
      <c r="A13" s="6">
        <v>2025</v>
      </c>
      <c r="B13" s="7">
        <v>5</v>
      </c>
      <c r="C13" s="8">
        <v>45805</v>
      </c>
      <c r="D13" s="3" t="s">
        <v>279</v>
      </c>
      <c r="E13" s="3" t="s">
        <v>280</v>
      </c>
      <c r="F13" s="3" t="s">
        <v>281</v>
      </c>
      <c r="G13" s="3" t="s">
        <v>273</v>
      </c>
      <c r="H13" s="3" t="s">
        <v>255</v>
      </c>
      <c r="I13" s="3" t="s">
        <v>282</v>
      </c>
      <c r="J13" s="3" t="s">
        <v>21</v>
      </c>
      <c r="K13" s="2">
        <v>40</v>
      </c>
      <c r="L13" s="1">
        <v>36955.08</v>
      </c>
      <c r="M13" s="1">
        <v>1478203.2</v>
      </c>
      <c r="N13" s="1">
        <v>13</v>
      </c>
      <c r="O13" s="1">
        <v>192166.42</v>
      </c>
    </row>
    <row r="14" spans="1:15">
      <c r="A14" s="6">
        <v>2025</v>
      </c>
      <c r="B14" s="7">
        <v>6</v>
      </c>
      <c r="C14" s="8">
        <v>45812</v>
      </c>
      <c r="D14" s="3" t="s">
        <v>283</v>
      </c>
      <c r="E14" s="3" t="s">
        <v>284</v>
      </c>
      <c r="F14" s="3" t="s">
        <v>281</v>
      </c>
      <c r="G14" s="3" t="s">
        <v>273</v>
      </c>
      <c r="H14" s="3" t="s">
        <v>255</v>
      </c>
      <c r="I14" s="3" t="s">
        <v>285</v>
      </c>
      <c r="J14" s="3" t="s">
        <v>21</v>
      </c>
      <c r="K14" s="2">
        <v>500</v>
      </c>
      <c r="L14" s="1">
        <v>36955.08</v>
      </c>
      <c r="M14" s="1">
        <v>18477540</v>
      </c>
      <c r="N14" s="1">
        <v>15</v>
      </c>
      <c r="O14" s="1">
        <v>2771631</v>
      </c>
    </row>
    <row r="15" spans="1:15">
      <c r="A15" s="6">
        <v>2025</v>
      </c>
      <c r="B15" s="7">
        <v>6</v>
      </c>
      <c r="C15" s="8">
        <v>45813</v>
      </c>
      <c r="D15" s="3" t="s">
        <v>286</v>
      </c>
      <c r="E15" s="3" t="s">
        <v>287</v>
      </c>
      <c r="F15" s="3" t="s">
        <v>288</v>
      </c>
      <c r="G15" s="3" t="s">
        <v>273</v>
      </c>
      <c r="H15" s="3" t="s">
        <v>255</v>
      </c>
      <c r="I15" s="3" t="s">
        <v>289</v>
      </c>
      <c r="J15" s="3" t="s">
        <v>21</v>
      </c>
      <c r="K15" s="2">
        <v>30</v>
      </c>
      <c r="L15" s="1">
        <v>36955.08</v>
      </c>
      <c r="M15" s="1">
        <v>1108652.3999999999</v>
      </c>
      <c r="N15" s="1">
        <v>15</v>
      </c>
      <c r="O15" s="1">
        <v>166297.85999999999</v>
      </c>
    </row>
    <row r="16" spans="1:15">
      <c r="A16" s="6">
        <v>2025</v>
      </c>
      <c r="B16" s="7">
        <v>6</v>
      </c>
      <c r="C16" s="8">
        <v>45813</v>
      </c>
      <c r="D16" s="3" t="s">
        <v>290</v>
      </c>
      <c r="E16" s="3" t="s">
        <v>258</v>
      </c>
      <c r="F16" s="3" t="s">
        <v>259</v>
      </c>
      <c r="G16" s="3" t="s">
        <v>260</v>
      </c>
      <c r="H16" s="3" t="s">
        <v>255</v>
      </c>
      <c r="I16" s="3" t="s">
        <v>261</v>
      </c>
      <c r="J16" s="3" t="s">
        <v>21</v>
      </c>
      <c r="K16" s="2">
        <v>120</v>
      </c>
      <c r="L16" s="1">
        <v>36955.08</v>
      </c>
      <c r="M16" s="1">
        <v>4434609.5999999996</v>
      </c>
      <c r="N16" s="1">
        <v>8</v>
      </c>
      <c r="O16" s="1">
        <v>354768.77</v>
      </c>
    </row>
    <row r="17" spans="1:15">
      <c r="A17" s="6">
        <v>2025</v>
      </c>
      <c r="B17" s="7">
        <v>6</v>
      </c>
      <c r="C17" s="8">
        <v>45818</v>
      </c>
      <c r="D17" s="3" t="s">
        <v>291</v>
      </c>
      <c r="E17" s="3" t="s">
        <v>284</v>
      </c>
      <c r="F17" s="3" t="s">
        <v>281</v>
      </c>
      <c r="G17" s="3" t="s">
        <v>273</v>
      </c>
      <c r="H17" s="3" t="s">
        <v>255</v>
      </c>
      <c r="I17" s="3" t="s">
        <v>292</v>
      </c>
      <c r="J17" s="3" t="s">
        <v>21</v>
      </c>
      <c r="K17" s="2">
        <v>30</v>
      </c>
      <c r="L17" s="1">
        <v>36955.08</v>
      </c>
      <c r="M17" s="1">
        <v>1108652.3999999999</v>
      </c>
      <c r="N17" s="1">
        <v>13</v>
      </c>
      <c r="O17" s="1">
        <v>144124.81</v>
      </c>
    </row>
    <row r="18" spans="1:15">
      <c r="A18" s="6">
        <v>2025</v>
      </c>
      <c r="B18" s="7">
        <v>6</v>
      </c>
      <c r="C18" s="8">
        <v>45818</v>
      </c>
      <c r="D18" s="3" t="s">
        <v>293</v>
      </c>
      <c r="E18" s="3" t="s">
        <v>284</v>
      </c>
      <c r="F18" s="3" t="s">
        <v>281</v>
      </c>
      <c r="G18" s="3" t="s">
        <v>273</v>
      </c>
      <c r="H18" s="3" t="s">
        <v>255</v>
      </c>
      <c r="I18" s="3" t="s">
        <v>294</v>
      </c>
      <c r="J18" s="3" t="s">
        <v>21</v>
      </c>
      <c r="K18" s="2">
        <v>30</v>
      </c>
      <c r="L18" s="1">
        <v>36955.08</v>
      </c>
      <c r="M18" s="1">
        <v>1108652.3999999999</v>
      </c>
      <c r="N18" s="1">
        <v>13</v>
      </c>
      <c r="O18" s="1">
        <v>144124.81</v>
      </c>
    </row>
    <row r="19" spans="1:15">
      <c r="A19" s="6">
        <v>2025</v>
      </c>
      <c r="B19" s="7">
        <v>6</v>
      </c>
      <c r="C19" s="8">
        <v>45831</v>
      </c>
      <c r="D19" s="3" t="s">
        <v>295</v>
      </c>
      <c r="E19" s="3" t="s">
        <v>258</v>
      </c>
      <c r="F19" s="3" t="s">
        <v>259</v>
      </c>
      <c r="G19" s="3" t="s">
        <v>260</v>
      </c>
      <c r="H19" s="3" t="s">
        <v>255</v>
      </c>
      <c r="I19" s="3" t="s">
        <v>296</v>
      </c>
      <c r="J19" s="3" t="s">
        <v>21</v>
      </c>
      <c r="K19" s="2">
        <v>20</v>
      </c>
      <c r="L19" s="1">
        <v>36955.08</v>
      </c>
      <c r="M19" s="1">
        <v>739101.6</v>
      </c>
      <c r="N19" s="1">
        <v>15</v>
      </c>
      <c r="O19" s="1">
        <v>110865.24</v>
      </c>
    </row>
    <row r="20" spans="1:15">
      <c r="A20" s="6">
        <v>2025</v>
      </c>
      <c r="B20" s="7">
        <v>6</v>
      </c>
      <c r="C20" s="8">
        <v>45832</v>
      </c>
      <c r="D20" s="3" t="s">
        <v>297</v>
      </c>
      <c r="E20" s="3" t="s">
        <v>298</v>
      </c>
      <c r="F20" s="3" t="s">
        <v>253</v>
      </c>
      <c r="G20" s="3" t="s">
        <v>254</v>
      </c>
      <c r="H20" s="3" t="s">
        <v>255</v>
      </c>
      <c r="I20" s="3" t="s">
        <v>256</v>
      </c>
      <c r="J20" s="3" t="s">
        <v>21</v>
      </c>
      <c r="K20" s="2">
        <v>200</v>
      </c>
      <c r="L20" s="1">
        <v>36955.08</v>
      </c>
      <c r="M20" s="1">
        <v>7391016</v>
      </c>
      <c r="N20" s="1">
        <v>8</v>
      </c>
      <c r="O20" s="1">
        <v>591281.28</v>
      </c>
    </row>
    <row r="21" spans="1:15">
      <c r="A21" s="6">
        <v>2025</v>
      </c>
      <c r="B21" s="7">
        <v>6</v>
      </c>
      <c r="C21" s="8">
        <v>45835</v>
      </c>
      <c r="D21" s="3" t="s">
        <v>299</v>
      </c>
      <c r="E21" s="3" t="s">
        <v>300</v>
      </c>
      <c r="F21" s="3" t="s">
        <v>301</v>
      </c>
      <c r="G21" s="3" t="s">
        <v>260</v>
      </c>
      <c r="H21" s="3" t="s">
        <v>255</v>
      </c>
      <c r="I21" s="3" t="s">
        <v>302</v>
      </c>
      <c r="J21" s="3" t="s">
        <v>21</v>
      </c>
      <c r="K21" s="2">
        <v>70</v>
      </c>
      <c r="L21" s="1">
        <v>36955.08</v>
      </c>
      <c r="M21" s="1">
        <v>2586855.6</v>
      </c>
      <c r="N21" s="1">
        <v>14</v>
      </c>
      <c r="O21" s="1">
        <v>362159.78</v>
      </c>
    </row>
    <row r="22" spans="1:15">
      <c r="A22" s="6">
        <v>2025</v>
      </c>
      <c r="B22" s="7">
        <v>6</v>
      </c>
      <c r="C22" s="8">
        <v>45838</v>
      </c>
      <c r="D22" s="3" t="s">
        <v>303</v>
      </c>
      <c r="E22" s="3" t="s">
        <v>304</v>
      </c>
      <c r="F22" s="3" t="s">
        <v>305</v>
      </c>
      <c r="G22" s="3" t="s">
        <v>306</v>
      </c>
      <c r="H22" s="3" t="s">
        <v>255</v>
      </c>
      <c r="I22" s="3" t="s">
        <v>307</v>
      </c>
      <c r="J22" s="3" t="s">
        <v>21</v>
      </c>
      <c r="K22" s="2">
        <v>50</v>
      </c>
      <c r="L22" s="1">
        <v>36955.08</v>
      </c>
      <c r="M22" s="1">
        <v>1847754</v>
      </c>
      <c r="N22" s="1">
        <v>12</v>
      </c>
      <c r="O22" s="1">
        <v>221730.48</v>
      </c>
    </row>
    <row r="23" spans="1:15">
      <c r="A23" s="6">
        <v>2025</v>
      </c>
      <c r="B23" s="7">
        <v>6</v>
      </c>
      <c r="C23" s="8">
        <v>45838</v>
      </c>
      <c r="D23" s="3" t="s">
        <v>308</v>
      </c>
      <c r="E23" s="3" t="s">
        <v>280</v>
      </c>
      <c r="F23" s="3" t="s">
        <v>281</v>
      </c>
      <c r="G23" s="3" t="s">
        <v>273</v>
      </c>
      <c r="H23" s="3" t="s">
        <v>255</v>
      </c>
      <c r="I23" s="3" t="s">
        <v>309</v>
      </c>
      <c r="J23" s="3" t="s">
        <v>21</v>
      </c>
      <c r="K23" s="2">
        <v>20</v>
      </c>
      <c r="L23" s="1">
        <v>36955.08</v>
      </c>
      <c r="M23" s="1">
        <v>739101.6</v>
      </c>
      <c r="N23" s="1">
        <v>10</v>
      </c>
      <c r="O23" s="1">
        <v>73910.16</v>
      </c>
    </row>
    <row r="24" spans="1:15">
      <c r="A24" s="6">
        <v>2025</v>
      </c>
      <c r="B24" s="7">
        <v>7</v>
      </c>
      <c r="C24" s="8">
        <v>45841</v>
      </c>
      <c r="D24" s="3" t="s">
        <v>310</v>
      </c>
      <c r="E24" s="3" t="s">
        <v>311</v>
      </c>
      <c r="F24" s="3" t="s">
        <v>305</v>
      </c>
      <c r="G24" s="3" t="s">
        <v>306</v>
      </c>
      <c r="H24" s="3" t="s">
        <v>255</v>
      </c>
      <c r="I24" s="3" t="s">
        <v>312</v>
      </c>
      <c r="J24" s="3" t="s">
        <v>21</v>
      </c>
      <c r="K24" s="2">
        <v>50</v>
      </c>
      <c r="L24" s="1">
        <v>36955.08</v>
      </c>
      <c r="M24" s="1">
        <v>1847754</v>
      </c>
      <c r="N24" s="1">
        <v>8</v>
      </c>
      <c r="O24" s="1">
        <v>147820.32</v>
      </c>
    </row>
    <row r="25" spans="1:15">
      <c r="A25" s="6">
        <v>2025</v>
      </c>
      <c r="B25" s="7">
        <v>7</v>
      </c>
      <c r="C25" s="8">
        <v>45849</v>
      </c>
      <c r="D25" s="3" t="s">
        <v>313</v>
      </c>
      <c r="E25" s="3" t="s">
        <v>280</v>
      </c>
      <c r="F25" s="3" t="s">
        <v>281</v>
      </c>
      <c r="G25" s="3" t="s">
        <v>273</v>
      </c>
      <c r="H25" s="3" t="s">
        <v>255</v>
      </c>
      <c r="I25" s="3" t="s">
        <v>314</v>
      </c>
      <c r="J25" s="3" t="s">
        <v>21</v>
      </c>
      <c r="K25" s="2">
        <v>30</v>
      </c>
      <c r="L25" s="1">
        <v>36955.08</v>
      </c>
      <c r="M25" s="1">
        <v>1108652.3999999999</v>
      </c>
      <c r="N25" s="1">
        <v>10</v>
      </c>
      <c r="O25" s="1">
        <v>110865.24</v>
      </c>
    </row>
    <row r="26" spans="1:15">
      <c r="A26" s="6">
        <v>2025</v>
      </c>
      <c r="B26" s="7">
        <v>7</v>
      </c>
      <c r="C26" s="8">
        <v>45852</v>
      </c>
      <c r="D26" s="3" t="s">
        <v>315</v>
      </c>
      <c r="E26" s="3" t="s">
        <v>280</v>
      </c>
      <c r="F26" s="3" t="s">
        <v>281</v>
      </c>
      <c r="G26" s="3" t="s">
        <v>273</v>
      </c>
      <c r="H26" s="3" t="s">
        <v>255</v>
      </c>
      <c r="I26" s="3" t="s">
        <v>25</v>
      </c>
      <c r="J26" s="3" t="s">
        <v>21</v>
      </c>
      <c r="K26" s="2">
        <v>50</v>
      </c>
      <c r="L26" s="1">
        <v>36955.08</v>
      </c>
      <c r="M26" s="1">
        <v>1847754</v>
      </c>
      <c r="N26" s="1">
        <v>10</v>
      </c>
      <c r="O26" s="1">
        <v>184775.4</v>
      </c>
    </row>
    <row r="27" spans="1:15">
      <c r="A27" s="6">
        <v>2025</v>
      </c>
      <c r="B27" s="7">
        <v>7</v>
      </c>
      <c r="C27" s="8">
        <v>45852</v>
      </c>
      <c r="D27" s="3" t="s">
        <v>316</v>
      </c>
      <c r="E27" s="3" t="s">
        <v>280</v>
      </c>
      <c r="F27" s="3" t="s">
        <v>281</v>
      </c>
      <c r="G27" s="3" t="s">
        <v>273</v>
      </c>
      <c r="H27" s="3" t="s">
        <v>255</v>
      </c>
      <c r="I27" s="3" t="s">
        <v>317</v>
      </c>
      <c r="J27" s="3" t="s">
        <v>21</v>
      </c>
      <c r="K27" s="2">
        <v>50</v>
      </c>
      <c r="L27" s="1">
        <v>36955.08</v>
      </c>
      <c r="M27" s="1">
        <v>1847754</v>
      </c>
      <c r="N27" s="1">
        <v>13</v>
      </c>
      <c r="O27" s="1">
        <v>240208.02</v>
      </c>
    </row>
    <row r="28" spans="1:15">
      <c r="A28" s="6">
        <v>2025</v>
      </c>
      <c r="B28" s="7">
        <v>7</v>
      </c>
      <c r="C28" s="8">
        <v>45854</v>
      </c>
      <c r="D28" s="3" t="s">
        <v>318</v>
      </c>
      <c r="E28" s="3" t="s">
        <v>280</v>
      </c>
      <c r="F28" s="3" t="s">
        <v>281</v>
      </c>
      <c r="G28" s="3" t="s">
        <v>273</v>
      </c>
      <c r="H28" s="3" t="s">
        <v>255</v>
      </c>
      <c r="I28" s="3" t="s">
        <v>292</v>
      </c>
      <c r="J28" s="3" t="s">
        <v>21</v>
      </c>
      <c r="K28" s="2">
        <v>30</v>
      </c>
      <c r="L28" s="1">
        <v>36955.08</v>
      </c>
      <c r="M28" s="1">
        <v>1108652.3999999999</v>
      </c>
      <c r="N28" s="1">
        <v>10</v>
      </c>
      <c r="O28" s="1">
        <v>110865.24</v>
      </c>
    </row>
    <row r="29" spans="1:15">
      <c r="A29" s="6">
        <v>2025</v>
      </c>
      <c r="B29" s="7">
        <v>7</v>
      </c>
      <c r="C29" s="8">
        <v>45855</v>
      </c>
      <c r="D29" s="3" t="s">
        <v>319</v>
      </c>
      <c r="E29" s="3" t="s">
        <v>280</v>
      </c>
      <c r="F29" s="3" t="s">
        <v>281</v>
      </c>
      <c r="G29" s="3" t="s">
        <v>273</v>
      </c>
      <c r="H29" s="3" t="s">
        <v>255</v>
      </c>
      <c r="I29" s="3" t="s">
        <v>320</v>
      </c>
      <c r="J29" s="3" t="s">
        <v>21</v>
      </c>
      <c r="K29" s="2">
        <v>50</v>
      </c>
      <c r="L29" s="1">
        <v>36955.08</v>
      </c>
      <c r="M29" s="1">
        <v>1847754</v>
      </c>
      <c r="N29" s="1">
        <v>8</v>
      </c>
      <c r="O29" s="1">
        <v>147820.32</v>
      </c>
    </row>
    <row r="30" spans="1:15">
      <c r="A30" s="6">
        <v>2025</v>
      </c>
      <c r="B30" s="7">
        <v>7</v>
      </c>
      <c r="C30" s="8">
        <v>45859</v>
      </c>
      <c r="D30" s="3" t="s">
        <v>321</v>
      </c>
      <c r="E30" s="3" t="s">
        <v>298</v>
      </c>
      <c r="F30" s="3" t="s">
        <v>253</v>
      </c>
      <c r="G30" s="3" t="s">
        <v>254</v>
      </c>
      <c r="H30" s="3" t="s">
        <v>255</v>
      </c>
      <c r="I30" s="3" t="s">
        <v>322</v>
      </c>
      <c r="J30" s="3" t="s">
        <v>21</v>
      </c>
      <c r="K30" s="2">
        <v>100</v>
      </c>
      <c r="L30" s="1">
        <v>36955.08</v>
      </c>
      <c r="M30" s="1">
        <v>3695508</v>
      </c>
      <c r="N30" s="1">
        <v>10</v>
      </c>
      <c r="O30" s="1">
        <v>369550.8</v>
      </c>
    </row>
    <row r="31" spans="1:15">
      <c r="A31" s="6">
        <v>2025</v>
      </c>
      <c r="B31" s="7">
        <v>7</v>
      </c>
      <c r="C31" s="8">
        <v>45862</v>
      </c>
      <c r="D31" s="3" t="s">
        <v>323</v>
      </c>
      <c r="E31" s="3" t="s">
        <v>258</v>
      </c>
      <c r="F31" s="3" t="s">
        <v>259</v>
      </c>
      <c r="G31" s="3" t="s">
        <v>260</v>
      </c>
      <c r="H31" s="3" t="s">
        <v>255</v>
      </c>
      <c r="I31" s="3" t="s">
        <v>324</v>
      </c>
      <c r="J31" s="3" t="s">
        <v>21</v>
      </c>
      <c r="K31" s="2">
        <v>120</v>
      </c>
      <c r="L31" s="1">
        <v>36955.08</v>
      </c>
      <c r="M31" s="1">
        <v>4434609.5999999996</v>
      </c>
      <c r="N31" s="1">
        <v>8</v>
      </c>
      <c r="O31" s="1">
        <v>354768.77</v>
      </c>
    </row>
    <row r="32" spans="1:15">
      <c r="A32" s="6">
        <v>2025</v>
      </c>
      <c r="B32" s="7">
        <v>7</v>
      </c>
      <c r="C32" s="8">
        <v>45868</v>
      </c>
      <c r="D32" s="3" t="s">
        <v>325</v>
      </c>
      <c r="E32" s="3" t="s">
        <v>280</v>
      </c>
      <c r="F32" s="3" t="s">
        <v>281</v>
      </c>
      <c r="G32" s="3" t="s">
        <v>273</v>
      </c>
      <c r="H32" s="3" t="s">
        <v>255</v>
      </c>
      <c r="I32" s="3" t="s">
        <v>320</v>
      </c>
      <c r="J32" s="3" t="s">
        <v>21</v>
      </c>
      <c r="K32" s="2">
        <v>50</v>
      </c>
      <c r="L32" s="1">
        <v>36955.08</v>
      </c>
      <c r="M32" s="1">
        <v>1847754</v>
      </c>
      <c r="N32" s="1">
        <v>8</v>
      </c>
      <c r="O32" s="1">
        <v>147820.32</v>
      </c>
    </row>
    <row r="33" spans="1:15">
      <c r="A33" s="6">
        <v>2025</v>
      </c>
      <c r="B33" s="7">
        <v>7</v>
      </c>
      <c r="C33" s="8">
        <v>45868</v>
      </c>
      <c r="D33" s="3" t="s">
        <v>326</v>
      </c>
      <c r="E33" s="3" t="s">
        <v>280</v>
      </c>
      <c r="F33" s="3" t="s">
        <v>281</v>
      </c>
      <c r="G33" s="3" t="s">
        <v>273</v>
      </c>
      <c r="H33" s="3" t="s">
        <v>255</v>
      </c>
      <c r="I33" s="3" t="s">
        <v>327</v>
      </c>
      <c r="J33" s="3" t="s">
        <v>21</v>
      </c>
      <c r="K33" s="2">
        <v>30</v>
      </c>
      <c r="L33" s="1">
        <v>36955.08</v>
      </c>
      <c r="M33" s="1">
        <v>1108652.3999999999</v>
      </c>
      <c r="N33" s="1">
        <v>10</v>
      </c>
      <c r="O33" s="1">
        <v>110865.24</v>
      </c>
    </row>
    <row r="34" spans="1:15">
      <c r="A34" s="6">
        <v>2025</v>
      </c>
      <c r="B34" s="7">
        <v>7</v>
      </c>
      <c r="C34" s="8">
        <v>45869</v>
      </c>
      <c r="D34" s="3" t="s">
        <v>328</v>
      </c>
      <c r="E34" s="3" t="s">
        <v>280</v>
      </c>
      <c r="F34" s="3" t="s">
        <v>281</v>
      </c>
      <c r="G34" s="3" t="s">
        <v>273</v>
      </c>
      <c r="H34" s="3" t="s">
        <v>255</v>
      </c>
      <c r="I34" s="3" t="s">
        <v>320</v>
      </c>
      <c r="J34" s="3" t="s">
        <v>21</v>
      </c>
      <c r="K34" s="2">
        <v>100</v>
      </c>
      <c r="L34" s="1">
        <v>36955.08</v>
      </c>
      <c r="M34" s="1">
        <v>3695508</v>
      </c>
      <c r="N34" s="1">
        <v>8</v>
      </c>
      <c r="O34" s="1">
        <v>295640.64</v>
      </c>
    </row>
    <row r="35" spans="1:15">
      <c r="A35" s="6">
        <v>2025</v>
      </c>
      <c r="B35" s="7">
        <v>7</v>
      </c>
      <c r="C35" s="8">
        <v>45869</v>
      </c>
      <c r="D35" s="3" t="s">
        <v>329</v>
      </c>
      <c r="E35" s="3" t="s">
        <v>311</v>
      </c>
      <c r="F35" s="3" t="s">
        <v>305</v>
      </c>
      <c r="G35" s="3" t="s">
        <v>306</v>
      </c>
      <c r="H35" s="3" t="s">
        <v>255</v>
      </c>
      <c r="I35" s="3" t="s">
        <v>330</v>
      </c>
      <c r="J35" s="3" t="s">
        <v>21</v>
      </c>
      <c r="K35" s="2">
        <v>50</v>
      </c>
      <c r="L35" s="1">
        <v>36955.08</v>
      </c>
      <c r="M35" s="1">
        <v>1847754</v>
      </c>
      <c r="N35" s="1">
        <v>12</v>
      </c>
      <c r="O35" s="1">
        <v>221730.48</v>
      </c>
    </row>
    <row r="36" spans="1:15">
      <c r="A36" s="6">
        <v>2025</v>
      </c>
      <c r="B36" s="7">
        <v>8</v>
      </c>
      <c r="C36" s="8">
        <v>45876</v>
      </c>
      <c r="D36" s="3" t="s">
        <v>331</v>
      </c>
      <c r="E36" s="3" t="s">
        <v>332</v>
      </c>
      <c r="F36" s="3" t="s">
        <v>333</v>
      </c>
      <c r="G36" s="3" t="s">
        <v>260</v>
      </c>
      <c r="H36" s="3" t="s">
        <v>255</v>
      </c>
      <c r="I36" s="3" t="s">
        <v>334</v>
      </c>
      <c r="J36" s="3" t="s">
        <v>21</v>
      </c>
      <c r="K36" s="2">
        <v>50</v>
      </c>
      <c r="L36" s="1">
        <v>36955.08</v>
      </c>
      <c r="M36" s="1">
        <v>1847754</v>
      </c>
      <c r="N36" s="1">
        <v>12</v>
      </c>
      <c r="O36" s="1">
        <v>221730.48</v>
      </c>
    </row>
    <row r="37" spans="1:15">
      <c r="A37" s="6">
        <v>2025</v>
      </c>
      <c r="B37" s="7">
        <v>8</v>
      </c>
      <c r="C37" s="8">
        <v>45876</v>
      </c>
      <c r="D37" s="3" t="s">
        <v>335</v>
      </c>
      <c r="E37" s="3" t="s">
        <v>336</v>
      </c>
      <c r="F37" s="3" t="s">
        <v>337</v>
      </c>
      <c r="G37" s="3" t="s">
        <v>260</v>
      </c>
      <c r="H37" s="3" t="s">
        <v>255</v>
      </c>
      <c r="I37" s="3" t="s">
        <v>338</v>
      </c>
      <c r="J37" s="3" t="s">
        <v>21</v>
      </c>
      <c r="K37" s="2">
        <v>15</v>
      </c>
      <c r="L37" s="1">
        <v>36955.08</v>
      </c>
      <c r="M37" s="1">
        <v>554326.19999999995</v>
      </c>
      <c r="N37" s="1">
        <v>10</v>
      </c>
      <c r="O37" s="1">
        <v>55432.62</v>
      </c>
    </row>
    <row r="38" spans="1:15">
      <c r="A38" s="6">
        <v>2025</v>
      </c>
      <c r="B38" s="7">
        <v>8</v>
      </c>
      <c r="C38" s="8">
        <v>45877</v>
      </c>
      <c r="D38" s="3" t="s">
        <v>339</v>
      </c>
      <c r="E38" s="3" t="s">
        <v>336</v>
      </c>
      <c r="F38" s="3" t="s">
        <v>337</v>
      </c>
      <c r="G38" s="3" t="s">
        <v>260</v>
      </c>
      <c r="H38" s="3" t="s">
        <v>255</v>
      </c>
      <c r="I38" s="3" t="s">
        <v>340</v>
      </c>
      <c r="J38" s="3" t="s">
        <v>21</v>
      </c>
      <c r="K38" s="2">
        <v>50</v>
      </c>
      <c r="L38" s="1">
        <v>36955.08</v>
      </c>
      <c r="M38" s="1">
        <v>1847754</v>
      </c>
      <c r="N38" s="1">
        <v>10</v>
      </c>
      <c r="O38" s="1">
        <v>184775.4</v>
      </c>
    </row>
    <row r="39" spans="1:15">
      <c r="A39" s="6">
        <v>2025</v>
      </c>
      <c r="B39" s="7">
        <v>8</v>
      </c>
      <c r="C39" s="8">
        <v>45880</v>
      </c>
      <c r="D39" s="3" t="s">
        <v>341</v>
      </c>
      <c r="E39" s="3" t="s">
        <v>258</v>
      </c>
      <c r="F39" s="3" t="s">
        <v>259</v>
      </c>
      <c r="G39" s="3" t="s">
        <v>260</v>
      </c>
      <c r="H39" s="3" t="s">
        <v>255</v>
      </c>
      <c r="I39" s="3" t="s">
        <v>342</v>
      </c>
      <c r="J39" s="3" t="s">
        <v>21</v>
      </c>
      <c r="K39" s="2">
        <v>30</v>
      </c>
      <c r="L39" s="1">
        <v>36955.08</v>
      </c>
      <c r="M39" s="1">
        <v>1108652.3999999999</v>
      </c>
      <c r="N39" s="1">
        <v>13</v>
      </c>
      <c r="O39" s="1">
        <v>144124.81</v>
      </c>
    </row>
    <row r="40" spans="1:15">
      <c r="A40" s="6">
        <v>2025</v>
      </c>
      <c r="B40" s="7">
        <v>8</v>
      </c>
      <c r="C40" s="8">
        <v>45880</v>
      </c>
      <c r="D40" s="3" t="s">
        <v>343</v>
      </c>
      <c r="E40" s="3" t="s">
        <v>336</v>
      </c>
      <c r="F40" s="3" t="s">
        <v>337</v>
      </c>
      <c r="G40" s="3" t="s">
        <v>260</v>
      </c>
      <c r="H40" s="3" t="s">
        <v>255</v>
      </c>
      <c r="I40" s="3" t="s">
        <v>344</v>
      </c>
      <c r="J40" s="3" t="s">
        <v>21</v>
      </c>
      <c r="K40" s="2">
        <v>10</v>
      </c>
      <c r="L40" s="1">
        <v>36955.08</v>
      </c>
      <c r="M40" s="1">
        <v>369550.8</v>
      </c>
      <c r="N40" s="1">
        <v>15</v>
      </c>
      <c r="O40" s="1">
        <v>55432.62</v>
      </c>
    </row>
    <row r="41" spans="1:15">
      <c r="A41" s="6">
        <v>2025</v>
      </c>
      <c r="B41" s="7">
        <v>8</v>
      </c>
      <c r="C41" s="8">
        <v>45880</v>
      </c>
      <c r="D41" s="3" t="s">
        <v>345</v>
      </c>
      <c r="E41" s="3" t="s">
        <v>336</v>
      </c>
      <c r="F41" s="3" t="s">
        <v>337</v>
      </c>
      <c r="G41" s="3" t="s">
        <v>260</v>
      </c>
      <c r="H41" s="3" t="s">
        <v>255</v>
      </c>
      <c r="I41" s="3" t="s">
        <v>346</v>
      </c>
      <c r="J41" s="3" t="s">
        <v>21</v>
      </c>
      <c r="K41" s="2">
        <v>40</v>
      </c>
      <c r="L41" s="1">
        <v>36955.08</v>
      </c>
      <c r="M41" s="1">
        <v>1478203.2</v>
      </c>
      <c r="N41" s="1">
        <v>10</v>
      </c>
      <c r="O41" s="1">
        <v>147820.32</v>
      </c>
    </row>
    <row r="42" spans="1:15">
      <c r="A42" s="6">
        <v>2025</v>
      </c>
      <c r="B42" s="7">
        <v>8</v>
      </c>
      <c r="C42" s="8">
        <v>45880</v>
      </c>
      <c r="D42" s="3" t="s">
        <v>347</v>
      </c>
      <c r="E42" s="3" t="s">
        <v>332</v>
      </c>
      <c r="F42" s="3" t="s">
        <v>333</v>
      </c>
      <c r="G42" s="3" t="s">
        <v>260</v>
      </c>
      <c r="H42" s="3" t="s">
        <v>255</v>
      </c>
      <c r="I42" s="3" t="s">
        <v>348</v>
      </c>
      <c r="J42" s="3" t="s">
        <v>21</v>
      </c>
      <c r="K42" s="2">
        <v>50</v>
      </c>
      <c r="L42" s="1">
        <v>36955.08</v>
      </c>
      <c r="M42" s="1">
        <v>1847754</v>
      </c>
      <c r="N42" s="1">
        <v>10</v>
      </c>
      <c r="O42" s="1">
        <v>184775.4</v>
      </c>
    </row>
    <row r="43" spans="1:15">
      <c r="A43" s="6">
        <v>2025</v>
      </c>
      <c r="B43" s="7">
        <v>8</v>
      </c>
      <c r="C43" s="8">
        <v>45880</v>
      </c>
      <c r="D43" s="3" t="s">
        <v>349</v>
      </c>
      <c r="E43" s="3" t="s">
        <v>332</v>
      </c>
      <c r="F43" s="3" t="s">
        <v>333</v>
      </c>
      <c r="G43" s="3" t="s">
        <v>260</v>
      </c>
      <c r="H43" s="3" t="s">
        <v>255</v>
      </c>
      <c r="I43" s="3" t="s">
        <v>350</v>
      </c>
      <c r="J43" s="3" t="s">
        <v>21</v>
      </c>
      <c r="K43" s="2">
        <v>20</v>
      </c>
      <c r="L43" s="1">
        <v>36955.08</v>
      </c>
      <c r="M43" s="1">
        <v>739101.6</v>
      </c>
      <c r="N43" s="1">
        <v>12</v>
      </c>
      <c r="O43" s="1">
        <v>88692.19</v>
      </c>
    </row>
    <row r="44" spans="1:15">
      <c r="A44" s="6">
        <v>2025</v>
      </c>
      <c r="B44" s="7">
        <v>8</v>
      </c>
      <c r="C44" s="8">
        <v>45880</v>
      </c>
      <c r="D44" s="3" t="s">
        <v>351</v>
      </c>
      <c r="E44" s="3" t="s">
        <v>332</v>
      </c>
      <c r="F44" s="3" t="s">
        <v>333</v>
      </c>
      <c r="G44" s="3" t="s">
        <v>260</v>
      </c>
      <c r="H44" s="3" t="s">
        <v>255</v>
      </c>
      <c r="I44" s="3" t="s">
        <v>352</v>
      </c>
      <c r="J44" s="3" t="s">
        <v>21</v>
      </c>
      <c r="K44" s="2">
        <v>10</v>
      </c>
      <c r="L44" s="1">
        <v>36955.08</v>
      </c>
      <c r="M44" s="1">
        <v>369550.8</v>
      </c>
      <c r="N44" s="1">
        <v>12</v>
      </c>
      <c r="O44" s="1">
        <v>44346.1</v>
      </c>
    </row>
    <row r="45" spans="1:15">
      <c r="A45" s="6">
        <v>2025</v>
      </c>
      <c r="B45" s="7">
        <v>8</v>
      </c>
      <c r="C45" s="8">
        <v>45882</v>
      </c>
      <c r="D45" s="3" t="s">
        <v>353</v>
      </c>
      <c r="E45" s="3" t="s">
        <v>354</v>
      </c>
      <c r="F45" s="3" t="s">
        <v>355</v>
      </c>
      <c r="G45" s="3" t="s">
        <v>306</v>
      </c>
      <c r="H45" s="3" t="s">
        <v>255</v>
      </c>
      <c r="I45" s="3" t="s">
        <v>356</v>
      </c>
      <c r="J45" s="3" t="s">
        <v>21</v>
      </c>
      <c r="K45" s="2">
        <v>45</v>
      </c>
      <c r="L45" s="1">
        <v>36955.08</v>
      </c>
      <c r="M45" s="1">
        <v>1662978.6</v>
      </c>
      <c r="N45" s="1">
        <v>13</v>
      </c>
      <c r="O45" s="1">
        <v>216187.22</v>
      </c>
    </row>
    <row r="46" spans="1:15">
      <c r="A46" s="6">
        <v>2025</v>
      </c>
      <c r="B46" s="7">
        <v>8</v>
      </c>
      <c r="C46" s="8">
        <v>45882</v>
      </c>
      <c r="D46" s="3" t="s">
        <v>357</v>
      </c>
      <c r="E46" s="3" t="s">
        <v>332</v>
      </c>
      <c r="F46" s="3" t="s">
        <v>333</v>
      </c>
      <c r="G46" s="3" t="s">
        <v>260</v>
      </c>
      <c r="H46" s="3" t="s">
        <v>255</v>
      </c>
      <c r="I46" s="3" t="s">
        <v>358</v>
      </c>
      <c r="J46" s="3" t="s">
        <v>21</v>
      </c>
      <c r="K46" s="2">
        <v>10</v>
      </c>
      <c r="L46" s="1">
        <v>36955.08</v>
      </c>
      <c r="M46" s="1">
        <v>369550.8</v>
      </c>
      <c r="N46" s="1">
        <v>13</v>
      </c>
      <c r="O46" s="1">
        <v>48041.599999999999</v>
      </c>
    </row>
    <row r="47" spans="1:15">
      <c r="A47" s="6">
        <v>2025</v>
      </c>
      <c r="B47" s="7">
        <v>8</v>
      </c>
      <c r="C47" s="8">
        <v>45882</v>
      </c>
      <c r="D47" s="3" t="s">
        <v>359</v>
      </c>
      <c r="E47" s="3" t="s">
        <v>280</v>
      </c>
      <c r="F47" s="3" t="s">
        <v>281</v>
      </c>
      <c r="G47" s="3" t="s">
        <v>273</v>
      </c>
      <c r="H47" s="3" t="s">
        <v>255</v>
      </c>
      <c r="I47" s="3" t="s">
        <v>292</v>
      </c>
      <c r="J47" s="3" t="s">
        <v>21</v>
      </c>
      <c r="K47" s="2">
        <v>20</v>
      </c>
      <c r="L47" s="1">
        <v>36955.08</v>
      </c>
      <c r="M47" s="1">
        <v>739101.6</v>
      </c>
      <c r="N47" s="1">
        <v>13</v>
      </c>
      <c r="O47" s="1">
        <v>96083.21</v>
      </c>
    </row>
    <row r="48" spans="1:15">
      <c r="A48" s="6">
        <v>2025</v>
      </c>
      <c r="B48" s="7">
        <v>8</v>
      </c>
      <c r="C48" s="8">
        <v>45882</v>
      </c>
      <c r="D48" s="3" t="s">
        <v>360</v>
      </c>
      <c r="E48" s="3" t="s">
        <v>332</v>
      </c>
      <c r="F48" s="3" t="s">
        <v>333</v>
      </c>
      <c r="G48" s="3" t="s">
        <v>260</v>
      </c>
      <c r="H48" s="3" t="s">
        <v>255</v>
      </c>
      <c r="I48" s="3" t="s">
        <v>361</v>
      </c>
      <c r="J48" s="3" t="s">
        <v>21</v>
      </c>
      <c r="K48" s="2">
        <v>40</v>
      </c>
      <c r="L48" s="1">
        <v>36955.08</v>
      </c>
      <c r="M48" s="1">
        <v>1478203.2</v>
      </c>
      <c r="N48" s="1">
        <v>8</v>
      </c>
      <c r="O48" s="1">
        <v>118256.26</v>
      </c>
    </row>
    <row r="49" spans="1:15">
      <c r="A49" s="6">
        <v>2025</v>
      </c>
      <c r="B49" s="7">
        <v>8</v>
      </c>
      <c r="C49" s="8">
        <v>45883</v>
      </c>
      <c r="D49" s="3" t="s">
        <v>362</v>
      </c>
      <c r="E49" s="3" t="s">
        <v>280</v>
      </c>
      <c r="F49" s="3" t="s">
        <v>281</v>
      </c>
      <c r="G49" s="3" t="s">
        <v>273</v>
      </c>
      <c r="H49" s="3" t="s">
        <v>255</v>
      </c>
      <c r="I49" s="3" t="s">
        <v>314</v>
      </c>
      <c r="J49" s="3" t="s">
        <v>21</v>
      </c>
      <c r="K49" s="2">
        <v>30</v>
      </c>
      <c r="L49" s="1">
        <v>36955.08</v>
      </c>
      <c r="M49" s="1">
        <v>1108652.3999999999</v>
      </c>
      <c r="N49" s="1">
        <v>10</v>
      </c>
      <c r="O49" s="1">
        <v>110865.24</v>
      </c>
    </row>
    <row r="50" spans="1:15">
      <c r="A50" s="6">
        <v>2025</v>
      </c>
      <c r="B50" s="7">
        <v>8</v>
      </c>
      <c r="C50" s="8">
        <v>45883</v>
      </c>
      <c r="D50" s="3" t="s">
        <v>363</v>
      </c>
      <c r="E50" s="3" t="s">
        <v>336</v>
      </c>
      <c r="F50" s="3" t="s">
        <v>337</v>
      </c>
      <c r="G50" s="3" t="s">
        <v>260</v>
      </c>
      <c r="H50" s="3" t="s">
        <v>255</v>
      </c>
      <c r="I50" s="3" t="s">
        <v>364</v>
      </c>
      <c r="J50" s="3" t="s">
        <v>21</v>
      </c>
      <c r="K50" s="2">
        <v>10</v>
      </c>
      <c r="L50" s="1">
        <v>36955.08</v>
      </c>
      <c r="M50" s="1">
        <v>369550.8</v>
      </c>
      <c r="N50" s="1">
        <v>12</v>
      </c>
      <c r="O50" s="1">
        <v>44346.1</v>
      </c>
    </row>
    <row r="51" spans="1:15">
      <c r="A51" s="6">
        <v>2025</v>
      </c>
      <c r="B51" s="7">
        <v>8</v>
      </c>
      <c r="C51" s="8">
        <v>45884</v>
      </c>
      <c r="D51" s="3" t="s">
        <v>365</v>
      </c>
      <c r="E51" s="3" t="s">
        <v>336</v>
      </c>
      <c r="F51" s="3" t="s">
        <v>337</v>
      </c>
      <c r="G51" s="3" t="s">
        <v>260</v>
      </c>
      <c r="H51" s="3" t="s">
        <v>255</v>
      </c>
      <c r="I51" s="3" t="s">
        <v>366</v>
      </c>
      <c r="J51" s="3" t="s">
        <v>21</v>
      </c>
      <c r="K51" s="2">
        <v>48</v>
      </c>
      <c r="L51" s="1">
        <v>36955.08</v>
      </c>
      <c r="M51" s="1">
        <v>1773843.84</v>
      </c>
      <c r="N51" s="1">
        <v>7</v>
      </c>
      <c r="O51" s="1">
        <v>124169.07</v>
      </c>
    </row>
    <row r="52" spans="1:15">
      <c r="A52" s="6">
        <v>2025</v>
      </c>
      <c r="B52" s="7">
        <v>8</v>
      </c>
      <c r="C52" s="8">
        <v>45887</v>
      </c>
      <c r="D52" s="3" t="s">
        <v>367</v>
      </c>
      <c r="E52" s="3" t="s">
        <v>258</v>
      </c>
      <c r="F52" s="3" t="s">
        <v>259</v>
      </c>
      <c r="G52" s="3" t="s">
        <v>260</v>
      </c>
      <c r="H52" s="3" t="s">
        <v>255</v>
      </c>
      <c r="I52" s="3" t="s">
        <v>368</v>
      </c>
      <c r="J52" s="3" t="s">
        <v>21</v>
      </c>
      <c r="K52" s="2">
        <v>50</v>
      </c>
      <c r="L52" s="1">
        <v>36955.08</v>
      </c>
      <c r="M52" s="1">
        <v>1847754</v>
      </c>
      <c r="N52" s="1">
        <v>8</v>
      </c>
      <c r="O52" s="1">
        <v>147820.32</v>
      </c>
    </row>
    <row r="53" spans="1:15">
      <c r="A53" s="6">
        <v>2025</v>
      </c>
      <c r="B53" s="7">
        <v>8</v>
      </c>
      <c r="C53" s="8">
        <v>45887</v>
      </c>
      <c r="D53" s="3" t="s">
        <v>369</v>
      </c>
      <c r="E53" s="3" t="s">
        <v>280</v>
      </c>
      <c r="F53" s="3" t="s">
        <v>281</v>
      </c>
      <c r="G53" s="3" t="s">
        <v>273</v>
      </c>
      <c r="H53" s="3" t="s">
        <v>255</v>
      </c>
      <c r="I53" s="3" t="s">
        <v>294</v>
      </c>
      <c r="J53" s="3" t="s">
        <v>21</v>
      </c>
      <c r="K53" s="2">
        <v>20</v>
      </c>
      <c r="L53" s="1">
        <v>36955.08</v>
      </c>
      <c r="M53" s="1">
        <v>739101.6</v>
      </c>
      <c r="N53" s="1">
        <v>13</v>
      </c>
      <c r="O53" s="1">
        <v>96083.21</v>
      </c>
    </row>
    <row r="54" spans="1:15">
      <c r="A54" s="6">
        <v>2025</v>
      </c>
      <c r="B54" s="7">
        <v>8</v>
      </c>
      <c r="C54" s="8">
        <v>45889</v>
      </c>
      <c r="D54" s="3" t="s">
        <v>370</v>
      </c>
      <c r="E54" s="3" t="s">
        <v>280</v>
      </c>
      <c r="F54" s="3" t="s">
        <v>281</v>
      </c>
      <c r="G54" s="3" t="s">
        <v>273</v>
      </c>
      <c r="H54" s="3" t="s">
        <v>255</v>
      </c>
      <c r="I54" s="3" t="s">
        <v>371</v>
      </c>
      <c r="J54" s="3" t="s">
        <v>21</v>
      </c>
      <c r="K54" s="2">
        <v>50</v>
      </c>
      <c r="L54" s="1">
        <v>36955.08</v>
      </c>
      <c r="M54" s="1">
        <v>1847754</v>
      </c>
      <c r="N54" s="1">
        <v>10</v>
      </c>
      <c r="O54" s="1">
        <v>184775.4</v>
      </c>
    </row>
    <row r="55" spans="1:15">
      <c r="A55" s="6">
        <v>2025</v>
      </c>
      <c r="B55" s="7">
        <v>8</v>
      </c>
      <c r="C55" s="8">
        <v>45890</v>
      </c>
      <c r="D55" s="3" t="s">
        <v>372</v>
      </c>
      <c r="E55" s="3" t="s">
        <v>336</v>
      </c>
      <c r="F55" s="3" t="s">
        <v>337</v>
      </c>
      <c r="G55" s="3" t="s">
        <v>260</v>
      </c>
      <c r="H55" s="3" t="s">
        <v>255</v>
      </c>
      <c r="I55" s="3" t="s">
        <v>340</v>
      </c>
      <c r="J55" s="3" t="s">
        <v>21</v>
      </c>
      <c r="K55" s="2">
        <v>100</v>
      </c>
      <c r="L55" s="1">
        <v>36955.08</v>
      </c>
      <c r="M55" s="1">
        <v>3695508</v>
      </c>
      <c r="N55" s="1">
        <v>10</v>
      </c>
      <c r="O55" s="1">
        <v>369550.8</v>
      </c>
    </row>
    <row r="56" spans="1:15">
      <c r="A56" s="6">
        <v>2025</v>
      </c>
      <c r="B56" s="7">
        <v>8</v>
      </c>
      <c r="C56" s="8">
        <v>45894</v>
      </c>
      <c r="D56" s="3" t="s">
        <v>373</v>
      </c>
      <c r="E56" s="3" t="s">
        <v>332</v>
      </c>
      <c r="F56" s="3" t="s">
        <v>333</v>
      </c>
      <c r="G56" s="3" t="s">
        <v>260</v>
      </c>
      <c r="H56" s="3" t="s">
        <v>255</v>
      </c>
      <c r="I56" s="3" t="s">
        <v>117</v>
      </c>
      <c r="J56" s="3" t="s">
        <v>21</v>
      </c>
      <c r="K56" s="2">
        <v>48</v>
      </c>
      <c r="L56" s="1">
        <v>36955.08</v>
      </c>
      <c r="M56" s="1">
        <v>1773843.84</v>
      </c>
      <c r="N56" s="1">
        <v>8</v>
      </c>
      <c r="O56" s="1">
        <v>141907.51</v>
      </c>
    </row>
    <row r="57" spans="1:15">
      <c r="A57" s="6">
        <v>2025</v>
      </c>
      <c r="B57" s="7">
        <v>8</v>
      </c>
      <c r="C57" s="8">
        <v>45894</v>
      </c>
      <c r="D57" s="3" t="s">
        <v>374</v>
      </c>
      <c r="E57" s="3" t="s">
        <v>332</v>
      </c>
      <c r="F57" s="3" t="s">
        <v>333</v>
      </c>
      <c r="G57" s="3" t="s">
        <v>260</v>
      </c>
      <c r="H57" s="3" t="s">
        <v>255</v>
      </c>
      <c r="I57" s="3" t="s">
        <v>375</v>
      </c>
      <c r="J57" s="3" t="s">
        <v>21</v>
      </c>
      <c r="K57" s="2">
        <v>20</v>
      </c>
      <c r="L57" s="1">
        <v>36955.08</v>
      </c>
      <c r="M57" s="1">
        <v>739101.6</v>
      </c>
      <c r="N57" s="1">
        <v>12</v>
      </c>
      <c r="O57" s="1">
        <v>88692.19</v>
      </c>
    </row>
    <row r="58" spans="1:15">
      <c r="A58" s="6">
        <v>2025</v>
      </c>
      <c r="B58" s="7">
        <v>8</v>
      </c>
      <c r="C58" s="8">
        <v>45894</v>
      </c>
      <c r="D58" s="3" t="s">
        <v>376</v>
      </c>
      <c r="E58" s="3" t="s">
        <v>298</v>
      </c>
      <c r="F58" s="3" t="s">
        <v>253</v>
      </c>
      <c r="G58" s="3" t="s">
        <v>254</v>
      </c>
      <c r="H58" s="3" t="s">
        <v>255</v>
      </c>
      <c r="I58" s="3" t="s">
        <v>256</v>
      </c>
      <c r="J58" s="3" t="s">
        <v>21</v>
      </c>
      <c r="K58" s="2">
        <v>50</v>
      </c>
      <c r="L58" s="1">
        <v>36955.08</v>
      </c>
      <c r="M58" s="1">
        <v>1847754</v>
      </c>
      <c r="N58" s="1">
        <v>8</v>
      </c>
      <c r="O58" s="1">
        <v>147820.32</v>
      </c>
    </row>
    <row r="59" spans="1:15">
      <c r="A59" s="6">
        <v>2025</v>
      </c>
      <c r="B59" s="7">
        <v>8</v>
      </c>
      <c r="C59" s="8">
        <v>45894</v>
      </c>
      <c r="D59" s="3" t="s">
        <v>377</v>
      </c>
      <c r="E59" s="3" t="s">
        <v>336</v>
      </c>
      <c r="F59" s="3" t="s">
        <v>337</v>
      </c>
      <c r="G59" s="3" t="s">
        <v>260</v>
      </c>
      <c r="H59" s="3" t="s">
        <v>255</v>
      </c>
      <c r="I59" s="3" t="s">
        <v>378</v>
      </c>
      <c r="J59" s="3" t="s">
        <v>21</v>
      </c>
      <c r="K59" s="2">
        <v>10</v>
      </c>
      <c r="L59" s="1">
        <v>36955.08</v>
      </c>
      <c r="M59" s="1">
        <v>369550.8</v>
      </c>
      <c r="N59" s="1">
        <v>13</v>
      </c>
      <c r="O59" s="1">
        <v>48041.599999999999</v>
      </c>
    </row>
    <row r="60" spans="1:15">
      <c r="A60" s="6">
        <v>2025</v>
      </c>
      <c r="B60" s="7">
        <v>8</v>
      </c>
      <c r="C60" s="8">
        <v>45895</v>
      </c>
      <c r="D60" s="3" t="s">
        <v>379</v>
      </c>
      <c r="E60" s="3" t="s">
        <v>280</v>
      </c>
      <c r="F60" s="3" t="s">
        <v>281</v>
      </c>
      <c r="G60" s="3" t="s">
        <v>273</v>
      </c>
      <c r="H60" s="3" t="s">
        <v>255</v>
      </c>
      <c r="I60" s="3" t="s">
        <v>327</v>
      </c>
      <c r="J60" s="3" t="s">
        <v>21</v>
      </c>
      <c r="K60" s="2">
        <v>20</v>
      </c>
      <c r="L60" s="1">
        <v>36955.08</v>
      </c>
      <c r="M60" s="1">
        <v>739101.6</v>
      </c>
      <c r="N60" s="1">
        <v>15</v>
      </c>
      <c r="O60" s="1">
        <v>110865.24</v>
      </c>
    </row>
    <row r="61" spans="1:15">
      <c r="A61" s="6">
        <v>2025</v>
      </c>
      <c r="B61" s="7">
        <v>8</v>
      </c>
      <c r="C61" s="8">
        <v>45896</v>
      </c>
      <c r="D61" s="3" t="s">
        <v>380</v>
      </c>
      <c r="E61" s="3" t="s">
        <v>280</v>
      </c>
      <c r="F61" s="3" t="s">
        <v>281</v>
      </c>
      <c r="G61" s="3" t="s">
        <v>273</v>
      </c>
      <c r="H61" s="3" t="s">
        <v>255</v>
      </c>
      <c r="I61" s="3" t="s">
        <v>25</v>
      </c>
      <c r="J61" s="3" t="s">
        <v>21</v>
      </c>
      <c r="K61" s="2">
        <v>100</v>
      </c>
      <c r="L61" s="1">
        <v>36955.08</v>
      </c>
      <c r="M61" s="1">
        <v>3695508</v>
      </c>
      <c r="N61" s="1">
        <v>10</v>
      </c>
      <c r="O61" s="1">
        <v>369550.8</v>
      </c>
    </row>
    <row r="62" spans="1:15">
      <c r="A62" s="6">
        <v>2025</v>
      </c>
      <c r="B62" s="7">
        <v>8</v>
      </c>
      <c r="C62" s="8">
        <v>45896</v>
      </c>
      <c r="D62" s="3" t="s">
        <v>381</v>
      </c>
      <c r="E62" s="3" t="s">
        <v>304</v>
      </c>
      <c r="F62" s="3" t="s">
        <v>305</v>
      </c>
      <c r="G62" s="3" t="s">
        <v>306</v>
      </c>
      <c r="H62" s="3" t="s">
        <v>255</v>
      </c>
      <c r="I62" s="3" t="s">
        <v>382</v>
      </c>
      <c r="J62" s="3" t="s">
        <v>21</v>
      </c>
      <c r="K62" s="2">
        <v>20</v>
      </c>
      <c r="L62" s="1">
        <v>36955.08</v>
      </c>
      <c r="M62" s="1">
        <v>739101.6</v>
      </c>
      <c r="N62" s="1">
        <v>10</v>
      </c>
      <c r="O62" s="1">
        <v>73910.16</v>
      </c>
    </row>
    <row r="63" spans="1:15">
      <c r="A63" s="6">
        <v>2025</v>
      </c>
      <c r="B63" s="7">
        <v>8</v>
      </c>
      <c r="C63" s="8">
        <v>45898</v>
      </c>
      <c r="D63" s="3" t="s">
        <v>383</v>
      </c>
      <c r="E63" s="3" t="s">
        <v>258</v>
      </c>
      <c r="F63" s="3" t="s">
        <v>259</v>
      </c>
      <c r="G63" s="3" t="s">
        <v>260</v>
      </c>
      <c r="H63" s="3" t="s">
        <v>255</v>
      </c>
      <c r="I63" s="3" t="s">
        <v>384</v>
      </c>
      <c r="J63" s="3" t="s">
        <v>21</v>
      </c>
      <c r="K63" s="2">
        <v>20</v>
      </c>
      <c r="L63" s="1">
        <v>36955.08</v>
      </c>
      <c r="M63" s="1">
        <v>739101.6</v>
      </c>
      <c r="N63" s="1">
        <v>15</v>
      </c>
      <c r="O63" s="1">
        <v>110865.24</v>
      </c>
    </row>
    <row r="64" spans="1:15">
      <c r="A64" s="6">
        <v>2025</v>
      </c>
      <c r="B64" s="7">
        <v>8</v>
      </c>
      <c r="C64" s="8">
        <v>45898</v>
      </c>
      <c r="D64" s="3" t="s">
        <v>385</v>
      </c>
      <c r="E64" s="3" t="s">
        <v>284</v>
      </c>
      <c r="F64" s="3" t="s">
        <v>281</v>
      </c>
      <c r="G64" s="3" t="s">
        <v>273</v>
      </c>
      <c r="H64" s="3" t="s">
        <v>255</v>
      </c>
      <c r="I64" s="3" t="s">
        <v>314</v>
      </c>
      <c r="J64" s="3" t="s">
        <v>21</v>
      </c>
      <c r="K64" s="2">
        <v>30</v>
      </c>
      <c r="L64" s="1">
        <v>36955.08</v>
      </c>
      <c r="M64" s="1">
        <v>1108652.3999999999</v>
      </c>
      <c r="N64" s="1">
        <v>10</v>
      </c>
      <c r="O64" s="1">
        <v>110865.24</v>
      </c>
    </row>
    <row r="65" spans="1:15">
      <c r="A65" s="6">
        <v>2025</v>
      </c>
      <c r="B65" s="7">
        <v>9</v>
      </c>
      <c r="C65" s="8">
        <v>45904</v>
      </c>
      <c r="D65" s="3" t="s">
        <v>386</v>
      </c>
      <c r="E65" s="3" t="s">
        <v>284</v>
      </c>
      <c r="F65" s="3" t="s">
        <v>281</v>
      </c>
      <c r="G65" s="3" t="s">
        <v>273</v>
      </c>
      <c r="H65" s="3" t="s">
        <v>255</v>
      </c>
      <c r="I65" s="3" t="s">
        <v>294</v>
      </c>
      <c r="J65" s="3" t="s">
        <v>21</v>
      </c>
      <c r="K65" s="2">
        <v>30</v>
      </c>
      <c r="L65" s="1">
        <v>36955.08</v>
      </c>
      <c r="M65" s="1">
        <v>1108652.3999999999</v>
      </c>
      <c r="N65" s="1">
        <v>10</v>
      </c>
      <c r="O65" s="1">
        <v>110865.24</v>
      </c>
    </row>
    <row r="66" spans="1:15">
      <c r="A66" s="6">
        <v>2025</v>
      </c>
      <c r="B66" s="7">
        <v>9</v>
      </c>
      <c r="C66" s="8">
        <v>45904</v>
      </c>
      <c r="D66" s="3" t="s">
        <v>387</v>
      </c>
      <c r="E66" s="3" t="s">
        <v>332</v>
      </c>
      <c r="F66" s="3" t="s">
        <v>333</v>
      </c>
      <c r="G66" s="3" t="s">
        <v>260</v>
      </c>
      <c r="H66" s="3" t="s">
        <v>255</v>
      </c>
      <c r="I66" s="3" t="s">
        <v>117</v>
      </c>
      <c r="J66" s="3" t="s">
        <v>21</v>
      </c>
      <c r="K66" s="2">
        <v>50</v>
      </c>
      <c r="L66" s="1">
        <v>36955.08</v>
      </c>
      <c r="M66" s="1">
        <v>1847754</v>
      </c>
      <c r="N66" s="1">
        <v>8</v>
      </c>
      <c r="O66" s="1">
        <v>147820.32</v>
      </c>
    </row>
    <row r="67" spans="1:15">
      <c r="A67" s="6">
        <v>2025</v>
      </c>
      <c r="B67" s="7">
        <v>9</v>
      </c>
      <c r="C67" s="8">
        <v>45909</v>
      </c>
      <c r="D67" s="3" t="s">
        <v>388</v>
      </c>
      <c r="E67" s="3" t="s">
        <v>284</v>
      </c>
      <c r="F67" s="3" t="s">
        <v>281</v>
      </c>
      <c r="G67" s="3" t="s">
        <v>273</v>
      </c>
      <c r="H67" s="3" t="s">
        <v>255</v>
      </c>
      <c r="I67" s="3" t="s">
        <v>317</v>
      </c>
      <c r="J67" s="3" t="s">
        <v>21</v>
      </c>
      <c r="K67" s="2">
        <v>50</v>
      </c>
      <c r="L67" s="1">
        <v>36955.08</v>
      </c>
      <c r="M67" s="1">
        <v>1847754</v>
      </c>
      <c r="N67" s="1">
        <v>13</v>
      </c>
      <c r="O67" s="1">
        <v>240208.02</v>
      </c>
    </row>
    <row r="68" spans="1:15">
      <c r="A68" s="6">
        <v>2025</v>
      </c>
      <c r="B68" s="7">
        <v>9</v>
      </c>
      <c r="C68" s="8">
        <v>45909</v>
      </c>
      <c r="D68" s="3" t="s">
        <v>389</v>
      </c>
      <c r="E68" s="3" t="s">
        <v>311</v>
      </c>
      <c r="F68" s="3" t="s">
        <v>305</v>
      </c>
      <c r="G68" s="3" t="s">
        <v>306</v>
      </c>
      <c r="H68" s="3" t="s">
        <v>255</v>
      </c>
      <c r="I68" s="3" t="s">
        <v>390</v>
      </c>
      <c r="J68" s="3" t="s">
        <v>21</v>
      </c>
      <c r="K68" s="2">
        <v>200</v>
      </c>
      <c r="L68" s="1">
        <v>36955.08</v>
      </c>
      <c r="M68" s="1">
        <v>7391016</v>
      </c>
      <c r="N68" s="1">
        <v>8</v>
      </c>
      <c r="O68" s="1">
        <v>591281.28</v>
      </c>
    </row>
    <row r="69" spans="1:15">
      <c r="A69" s="6">
        <v>2025</v>
      </c>
      <c r="B69" s="7">
        <v>9</v>
      </c>
      <c r="C69" s="8">
        <v>45909</v>
      </c>
      <c r="D69" s="3" t="s">
        <v>391</v>
      </c>
      <c r="E69" s="3" t="s">
        <v>304</v>
      </c>
      <c r="F69" s="3" t="s">
        <v>305</v>
      </c>
      <c r="G69" s="3" t="s">
        <v>306</v>
      </c>
      <c r="H69" s="3" t="s">
        <v>255</v>
      </c>
      <c r="I69" s="3" t="s">
        <v>392</v>
      </c>
      <c r="J69" s="3" t="s">
        <v>21</v>
      </c>
      <c r="K69" s="2">
        <v>48</v>
      </c>
      <c r="L69" s="1">
        <v>36955.08</v>
      </c>
      <c r="M69" s="1">
        <v>1773843.84</v>
      </c>
      <c r="N69" s="1">
        <v>10</v>
      </c>
      <c r="O69" s="1">
        <v>177384.38</v>
      </c>
    </row>
    <row r="70" spans="1:15">
      <c r="A70" s="6">
        <v>2025</v>
      </c>
      <c r="B70" s="7">
        <v>9</v>
      </c>
      <c r="C70" s="8">
        <v>45911</v>
      </c>
      <c r="D70" s="3" t="s">
        <v>393</v>
      </c>
      <c r="E70" s="3" t="s">
        <v>336</v>
      </c>
      <c r="F70" s="3" t="s">
        <v>337</v>
      </c>
      <c r="G70" s="3" t="s">
        <v>260</v>
      </c>
      <c r="H70" s="3" t="s">
        <v>255</v>
      </c>
      <c r="I70" s="3" t="s">
        <v>346</v>
      </c>
      <c r="J70" s="3" t="s">
        <v>21</v>
      </c>
      <c r="K70" s="2">
        <v>14</v>
      </c>
      <c r="L70" s="1">
        <v>36955.08</v>
      </c>
      <c r="M70" s="1">
        <v>517371.12</v>
      </c>
      <c r="N70" s="1">
        <v>12</v>
      </c>
      <c r="O70" s="1">
        <v>62084.53</v>
      </c>
    </row>
    <row r="71" spans="1:15">
      <c r="A71" s="6">
        <v>2025</v>
      </c>
      <c r="B71" s="7">
        <v>9</v>
      </c>
      <c r="C71" s="8">
        <v>45911</v>
      </c>
      <c r="D71" s="3" t="s">
        <v>394</v>
      </c>
      <c r="E71" s="3" t="s">
        <v>336</v>
      </c>
      <c r="F71" s="3" t="s">
        <v>337</v>
      </c>
      <c r="G71" s="3" t="s">
        <v>260</v>
      </c>
      <c r="H71" s="3" t="s">
        <v>255</v>
      </c>
      <c r="I71" s="3" t="s">
        <v>378</v>
      </c>
      <c r="J71" s="3" t="s">
        <v>21</v>
      </c>
      <c r="K71" s="2">
        <v>20</v>
      </c>
      <c r="L71" s="1">
        <v>36955.08</v>
      </c>
      <c r="M71" s="1">
        <v>739101.6</v>
      </c>
      <c r="N71" s="1">
        <v>12</v>
      </c>
      <c r="O71" s="1">
        <v>88692.19</v>
      </c>
    </row>
    <row r="72" spans="1:15">
      <c r="A72" s="6">
        <v>2025</v>
      </c>
      <c r="B72" s="7">
        <v>9</v>
      </c>
      <c r="C72" s="8">
        <v>45912</v>
      </c>
      <c r="D72" s="3" t="s">
        <v>395</v>
      </c>
      <c r="E72" s="3" t="s">
        <v>298</v>
      </c>
      <c r="F72" s="3" t="s">
        <v>253</v>
      </c>
      <c r="G72" s="3" t="s">
        <v>254</v>
      </c>
      <c r="H72" s="3" t="s">
        <v>255</v>
      </c>
      <c r="I72" s="3" t="s">
        <v>396</v>
      </c>
      <c r="J72" s="3" t="s">
        <v>21</v>
      </c>
      <c r="K72" s="2">
        <v>5</v>
      </c>
      <c r="L72" s="1">
        <v>36955.08</v>
      </c>
      <c r="M72" s="1">
        <v>184775.4</v>
      </c>
      <c r="N72" s="1">
        <v>10</v>
      </c>
      <c r="O72" s="1">
        <v>18477.54</v>
      </c>
    </row>
    <row r="73" spans="1:15">
      <c r="A73" s="6">
        <v>2025</v>
      </c>
      <c r="B73" s="7">
        <v>9</v>
      </c>
      <c r="C73" s="8">
        <v>45912</v>
      </c>
      <c r="D73" s="3" t="s">
        <v>397</v>
      </c>
      <c r="E73" s="3" t="s">
        <v>260</v>
      </c>
      <c r="F73" s="3" t="s">
        <v>32</v>
      </c>
      <c r="G73" s="3" t="s">
        <v>260</v>
      </c>
      <c r="H73" s="3" t="s">
        <v>255</v>
      </c>
      <c r="I73" s="3" t="s">
        <v>398</v>
      </c>
      <c r="J73" s="3" t="s">
        <v>21</v>
      </c>
      <c r="K73" s="1">
        <v>3120</v>
      </c>
      <c r="L73" s="1">
        <v>40621</v>
      </c>
      <c r="M73" s="1">
        <v>126737520</v>
      </c>
      <c r="N73" s="1">
        <v>4</v>
      </c>
      <c r="O73" s="1">
        <v>5069500.8</v>
      </c>
    </row>
    <row r="74" spans="1:15">
      <c r="A74" s="6">
        <v>2025</v>
      </c>
      <c r="B74" s="7">
        <v>9</v>
      </c>
      <c r="C74" s="8">
        <v>45915</v>
      </c>
      <c r="D74" s="3" t="s">
        <v>399</v>
      </c>
      <c r="E74" s="3" t="s">
        <v>400</v>
      </c>
      <c r="F74" s="3" t="s">
        <v>401</v>
      </c>
      <c r="G74" s="3" t="s">
        <v>18</v>
      </c>
      <c r="H74" s="3" t="s">
        <v>255</v>
      </c>
      <c r="I74" s="3" t="s">
        <v>402</v>
      </c>
      <c r="J74" s="3" t="s">
        <v>21</v>
      </c>
      <c r="K74" s="2">
        <v>50</v>
      </c>
      <c r="L74" s="1">
        <v>36955.08</v>
      </c>
      <c r="M74" s="1">
        <v>1847754</v>
      </c>
      <c r="N74" s="1">
        <v>5</v>
      </c>
      <c r="O74" s="1">
        <v>92387.7</v>
      </c>
    </row>
    <row r="75" spans="1:15">
      <c r="A75" s="6">
        <v>2025</v>
      </c>
      <c r="B75" s="7">
        <v>9</v>
      </c>
      <c r="C75" s="8">
        <v>45918</v>
      </c>
      <c r="D75" s="3" t="s">
        <v>403</v>
      </c>
      <c r="E75" s="3" t="s">
        <v>298</v>
      </c>
      <c r="F75" s="3" t="s">
        <v>253</v>
      </c>
      <c r="G75" s="3" t="s">
        <v>254</v>
      </c>
      <c r="H75" s="3" t="s">
        <v>255</v>
      </c>
      <c r="I75" s="3" t="s">
        <v>404</v>
      </c>
      <c r="J75" s="3" t="s">
        <v>21</v>
      </c>
      <c r="K75" s="2">
        <v>30</v>
      </c>
      <c r="L75" s="1">
        <v>40621</v>
      </c>
      <c r="M75" s="1">
        <v>1218630</v>
      </c>
      <c r="N75" s="1">
        <v>13</v>
      </c>
      <c r="O75" s="1">
        <v>158421.9</v>
      </c>
    </row>
    <row r="76" spans="1:15">
      <c r="A76" s="6">
        <v>2025</v>
      </c>
      <c r="B76" s="7">
        <v>9</v>
      </c>
      <c r="C76" s="8">
        <v>45918</v>
      </c>
      <c r="D76" s="3" t="s">
        <v>405</v>
      </c>
      <c r="E76" s="3" t="s">
        <v>332</v>
      </c>
      <c r="F76" s="3" t="s">
        <v>333</v>
      </c>
      <c r="G76" s="3" t="s">
        <v>260</v>
      </c>
      <c r="H76" s="3" t="s">
        <v>255</v>
      </c>
      <c r="I76" s="3" t="s">
        <v>406</v>
      </c>
      <c r="J76" s="3" t="s">
        <v>21</v>
      </c>
      <c r="K76" s="2">
        <v>60</v>
      </c>
      <c r="L76" s="1">
        <v>40621</v>
      </c>
      <c r="M76" s="1">
        <v>2437260</v>
      </c>
      <c r="N76" s="1">
        <v>12</v>
      </c>
      <c r="O76" s="1">
        <v>292471.2</v>
      </c>
    </row>
    <row r="77" spans="1:15">
      <c r="A77" s="6">
        <v>2025</v>
      </c>
      <c r="B77" s="7">
        <v>9</v>
      </c>
      <c r="C77" s="8">
        <v>45918</v>
      </c>
      <c r="D77" s="3" t="s">
        <v>407</v>
      </c>
      <c r="E77" s="3" t="s">
        <v>332</v>
      </c>
      <c r="F77" s="3" t="s">
        <v>333</v>
      </c>
      <c r="G77" s="3" t="s">
        <v>260</v>
      </c>
      <c r="H77" s="3" t="s">
        <v>255</v>
      </c>
      <c r="I77" s="3" t="s">
        <v>361</v>
      </c>
      <c r="J77" s="3" t="s">
        <v>21</v>
      </c>
      <c r="K77" s="2">
        <v>30</v>
      </c>
      <c r="L77" s="1">
        <v>36955.08</v>
      </c>
      <c r="M77" s="1">
        <v>1108652.3999999999</v>
      </c>
      <c r="N77" s="1">
        <v>8</v>
      </c>
      <c r="O77" s="1">
        <v>88692.19</v>
      </c>
    </row>
    <row r="78" spans="1:15">
      <c r="A78" s="6">
        <v>2025</v>
      </c>
      <c r="B78" s="7">
        <v>9</v>
      </c>
      <c r="C78" s="8">
        <v>45918</v>
      </c>
      <c r="D78" s="3" t="s">
        <v>407</v>
      </c>
      <c r="E78" s="3" t="s">
        <v>332</v>
      </c>
      <c r="F78" s="3" t="s">
        <v>333</v>
      </c>
      <c r="G78" s="3" t="s">
        <v>260</v>
      </c>
      <c r="H78" s="3" t="s">
        <v>255</v>
      </c>
      <c r="I78" s="3" t="s">
        <v>361</v>
      </c>
      <c r="J78" s="3" t="s">
        <v>21</v>
      </c>
      <c r="K78" s="2">
        <v>10</v>
      </c>
      <c r="L78" s="1">
        <v>36955.08</v>
      </c>
      <c r="M78" s="1">
        <v>369550.8</v>
      </c>
      <c r="N78" s="1">
        <v>8</v>
      </c>
      <c r="O78" s="1">
        <v>29564.06</v>
      </c>
    </row>
    <row r="79" spans="1:15">
      <c r="A79" s="6">
        <v>2025</v>
      </c>
      <c r="B79" s="7">
        <v>9</v>
      </c>
      <c r="C79" s="8">
        <v>45918</v>
      </c>
      <c r="D79" s="3" t="s">
        <v>408</v>
      </c>
      <c r="E79" s="3" t="s">
        <v>284</v>
      </c>
      <c r="F79" s="3" t="s">
        <v>281</v>
      </c>
      <c r="G79" s="3" t="s">
        <v>273</v>
      </c>
      <c r="H79" s="3" t="s">
        <v>255</v>
      </c>
      <c r="I79" s="3" t="s">
        <v>292</v>
      </c>
      <c r="J79" s="3" t="s">
        <v>21</v>
      </c>
      <c r="K79" s="2">
        <v>30</v>
      </c>
      <c r="L79" s="1">
        <v>36955.08</v>
      </c>
      <c r="M79" s="1">
        <v>1108652.3999999999</v>
      </c>
      <c r="N79" s="1">
        <v>15</v>
      </c>
      <c r="O79" s="1">
        <v>166297.85999999999</v>
      </c>
    </row>
    <row r="80" spans="1:15">
      <c r="A80" s="6">
        <v>2025</v>
      </c>
      <c r="B80" s="7">
        <v>9</v>
      </c>
      <c r="C80" s="8">
        <v>45922</v>
      </c>
      <c r="D80" s="3" t="s">
        <v>409</v>
      </c>
      <c r="E80" s="3" t="s">
        <v>332</v>
      </c>
      <c r="F80" s="3" t="s">
        <v>333</v>
      </c>
      <c r="G80" s="3" t="s">
        <v>260</v>
      </c>
      <c r="H80" s="3" t="s">
        <v>255</v>
      </c>
      <c r="I80" s="3" t="s">
        <v>117</v>
      </c>
      <c r="J80" s="3" t="s">
        <v>21</v>
      </c>
      <c r="K80" s="2">
        <v>120</v>
      </c>
      <c r="L80" s="1">
        <v>40621</v>
      </c>
      <c r="M80" s="1">
        <v>4874520</v>
      </c>
      <c r="N80" s="1">
        <v>8</v>
      </c>
      <c r="O80" s="1">
        <v>389961.6</v>
      </c>
    </row>
    <row r="81" spans="1:15">
      <c r="A81" s="6">
        <v>2025</v>
      </c>
      <c r="B81" s="7">
        <v>9</v>
      </c>
      <c r="C81" s="8">
        <v>45923</v>
      </c>
      <c r="D81" s="3" t="s">
        <v>410</v>
      </c>
      <c r="E81" s="3" t="s">
        <v>280</v>
      </c>
      <c r="F81" s="3" t="s">
        <v>281</v>
      </c>
      <c r="G81" s="3" t="s">
        <v>273</v>
      </c>
      <c r="H81" s="3" t="s">
        <v>255</v>
      </c>
      <c r="I81" s="3" t="s">
        <v>320</v>
      </c>
      <c r="J81" s="3" t="s">
        <v>21</v>
      </c>
      <c r="K81" s="2">
        <v>14</v>
      </c>
      <c r="L81" s="1">
        <v>36955.08</v>
      </c>
      <c r="M81" s="1">
        <v>517371.12</v>
      </c>
      <c r="N81" s="1">
        <v>8</v>
      </c>
      <c r="O81" s="1">
        <v>41389.69</v>
      </c>
    </row>
    <row r="82" spans="1:15">
      <c r="A82" s="6">
        <v>2025</v>
      </c>
      <c r="B82" s="7">
        <v>9</v>
      </c>
      <c r="C82" s="8">
        <v>45923</v>
      </c>
      <c r="D82" s="3" t="s">
        <v>410</v>
      </c>
      <c r="E82" s="3" t="s">
        <v>280</v>
      </c>
      <c r="F82" s="3" t="s">
        <v>281</v>
      </c>
      <c r="G82" s="3" t="s">
        <v>273</v>
      </c>
      <c r="H82" s="3" t="s">
        <v>255</v>
      </c>
      <c r="I82" s="3" t="s">
        <v>320</v>
      </c>
      <c r="J82" s="3" t="s">
        <v>21</v>
      </c>
      <c r="K82" s="2">
        <v>44</v>
      </c>
      <c r="L82" s="1">
        <v>36955.08</v>
      </c>
      <c r="M82" s="1">
        <v>1626023.52</v>
      </c>
      <c r="N82" s="1">
        <v>8</v>
      </c>
      <c r="O82" s="1">
        <v>130081.88</v>
      </c>
    </row>
    <row r="83" spans="1:15">
      <c r="A83" s="6">
        <v>2025</v>
      </c>
      <c r="B83" s="7">
        <v>9</v>
      </c>
      <c r="C83" s="8">
        <v>45924</v>
      </c>
      <c r="D83" s="3" t="s">
        <v>411</v>
      </c>
      <c r="E83" s="3" t="s">
        <v>260</v>
      </c>
      <c r="F83" s="3" t="s">
        <v>32</v>
      </c>
      <c r="G83" s="3" t="s">
        <v>260</v>
      </c>
      <c r="H83" s="3" t="s">
        <v>255</v>
      </c>
      <c r="I83" s="3" t="s">
        <v>412</v>
      </c>
      <c r="J83" s="3" t="s">
        <v>21</v>
      </c>
      <c r="K83" s="2">
        <v>600</v>
      </c>
      <c r="L83" s="1">
        <v>40621</v>
      </c>
      <c r="M83" s="1">
        <v>24372600</v>
      </c>
      <c r="N83" s="1">
        <v>4</v>
      </c>
      <c r="O83" s="1">
        <v>974904</v>
      </c>
    </row>
    <row r="84" spans="1:15">
      <c r="A84" s="6">
        <v>2025</v>
      </c>
      <c r="B84" s="7">
        <v>9</v>
      </c>
      <c r="C84" s="8">
        <v>45924</v>
      </c>
      <c r="D84" s="3" t="s">
        <v>413</v>
      </c>
      <c r="E84" s="3" t="s">
        <v>414</v>
      </c>
      <c r="F84" s="3" t="s">
        <v>305</v>
      </c>
      <c r="G84" s="3" t="s">
        <v>306</v>
      </c>
      <c r="H84" s="3" t="s">
        <v>255</v>
      </c>
      <c r="I84" s="3" t="s">
        <v>415</v>
      </c>
      <c r="J84" s="3" t="s">
        <v>21</v>
      </c>
      <c r="K84" s="2">
        <v>100</v>
      </c>
      <c r="L84" s="1">
        <v>40621</v>
      </c>
      <c r="M84" s="1">
        <v>4062100</v>
      </c>
      <c r="N84" s="1">
        <v>10</v>
      </c>
      <c r="O84" s="1">
        <v>406210</v>
      </c>
    </row>
    <row r="85" spans="1:15">
      <c r="A85" s="6">
        <v>2025</v>
      </c>
      <c r="B85" s="7">
        <v>9</v>
      </c>
      <c r="C85" s="8">
        <v>45925</v>
      </c>
      <c r="D85" s="3" t="s">
        <v>416</v>
      </c>
      <c r="E85" s="3" t="s">
        <v>271</v>
      </c>
      <c r="F85" s="3" t="s">
        <v>272</v>
      </c>
      <c r="G85" s="3" t="s">
        <v>273</v>
      </c>
      <c r="H85" s="3" t="s">
        <v>255</v>
      </c>
      <c r="I85" s="3" t="s">
        <v>417</v>
      </c>
      <c r="J85" s="3" t="s">
        <v>21</v>
      </c>
      <c r="K85" s="2">
        <v>240</v>
      </c>
      <c r="L85" s="1">
        <v>40621</v>
      </c>
      <c r="M85" s="1">
        <v>9749040</v>
      </c>
      <c r="N85" s="1">
        <v>15</v>
      </c>
      <c r="O85" s="1">
        <v>1462356</v>
      </c>
    </row>
    <row r="86" spans="1:15">
      <c r="A86" s="6">
        <v>2025</v>
      </c>
      <c r="B86" s="7">
        <v>9</v>
      </c>
      <c r="C86" s="8">
        <v>45925</v>
      </c>
      <c r="D86" s="3" t="s">
        <v>418</v>
      </c>
      <c r="E86" s="3" t="s">
        <v>336</v>
      </c>
      <c r="F86" s="3" t="s">
        <v>337</v>
      </c>
      <c r="G86" s="3" t="s">
        <v>260</v>
      </c>
      <c r="H86" s="3" t="s">
        <v>255</v>
      </c>
      <c r="I86" s="3" t="s">
        <v>346</v>
      </c>
      <c r="J86" s="3" t="s">
        <v>21</v>
      </c>
      <c r="K86" s="2">
        <v>40</v>
      </c>
      <c r="L86" s="1">
        <v>36955.08</v>
      </c>
      <c r="M86" s="1">
        <v>1478203.2</v>
      </c>
      <c r="N86" s="1">
        <v>13</v>
      </c>
      <c r="O86" s="1">
        <v>192166.42</v>
      </c>
    </row>
    <row r="87" spans="1:15">
      <c r="A87" s="6">
        <v>2025</v>
      </c>
      <c r="B87" s="7">
        <v>9</v>
      </c>
      <c r="C87" s="8">
        <v>45925</v>
      </c>
      <c r="D87" s="3" t="s">
        <v>419</v>
      </c>
      <c r="E87" s="3" t="s">
        <v>336</v>
      </c>
      <c r="F87" s="3" t="s">
        <v>337</v>
      </c>
      <c r="G87" s="3" t="s">
        <v>260</v>
      </c>
      <c r="H87" s="3" t="s">
        <v>255</v>
      </c>
      <c r="I87" s="3" t="s">
        <v>366</v>
      </c>
      <c r="J87" s="3" t="s">
        <v>21</v>
      </c>
      <c r="K87" s="2">
        <v>48</v>
      </c>
      <c r="L87" s="1">
        <v>40621</v>
      </c>
      <c r="M87" s="1">
        <v>1949808</v>
      </c>
      <c r="N87" s="1">
        <v>7</v>
      </c>
      <c r="O87" s="1">
        <v>136486.56</v>
      </c>
    </row>
    <row r="88" spans="1:15">
      <c r="A88" s="6">
        <v>2025</v>
      </c>
      <c r="B88" s="7">
        <v>9</v>
      </c>
      <c r="C88" s="8">
        <v>45925</v>
      </c>
      <c r="D88" s="3" t="s">
        <v>420</v>
      </c>
      <c r="E88" s="3" t="s">
        <v>336</v>
      </c>
      <c r="F88" s="3" t="s">
        <v>337</v>
      </c>
      <c r="G88" s="3" t="s">
        <v>260</v>
      </c>
      <c r="H88" s="3" t="s">
        <v>255</v>
      </c>
      <c r="I88" s="3" t="s">
        <v>340</v>
      </c>
      <c r="J88" s="3" t="s">
        <v>21</v>
      </c>
      <c r="K88" s="2">
        <v>24</v>
      </c>
      <c r="L88" s="1">
        <v>40621</v>
      </c>
      <c r="M88" s="1">
        <v>974904</v>
      </c>
      <c r="N88" s="1">
        <v>10</v>
      </c>
      <c r="O88" s="1">
        <v>97490.4</v>
      </c>
    </row>
    <row r="89" spans="1:15">
      <c r="A89" s="6">
        <v>2025</v>
      </c>
      <c r="B89" s="7">
        <v>9</v>
      </c>
      <c r="C89" s="8">
        <v>45926</v>
      </c>
      <c r="D89" s="3" t="s">
        <v>421</v>
      </c>
      <c r="E89" s="3" t="s">
        <v>414</v>
      </c>
      <c r="F89" s="3" t="s">
        <v>305</v>
      </c>
      <c r="G89" s="3" t="s">
        <v>306</v>
      </c>
      <c r="H89" s="3" t="s">
        <v>255</v>
      </c>
      <c r="I89" s="3" t="s">
        <v>422</v>
      </c>
      <c r="J89" s="3" t="s">
        <v>21</v>
      </c>
      <c r="K89" s="2">
        <v>50</v>
      </c>
      <c r="L89" s="1">
        <v>40621</v>
      </c>
      <c r="M89" s="1">
        <v>2031050</v>
      </c>
      <c r="N89" s="1">
        <v>10</v>
      </c>
      <c r="O89" s="1">
        <v>203105</v>
      </c>
    </row>
    <row r="90" spans="1:15">
      <c r="A90" s="6">
        <v>2025</v>
      </c>
      <c r="B90" s="7">
        <v>9</v>
      </c>
      <c r="C90" s="8">
        <v>45929</v>
      </c>
      <c r="D90" s="3" t="s">
        <v>423</v>
      </c>
      <c r="E90" s="3" t="s">
        <v>336</v>
      </c>
      <c r="F90" s="3" t="s">
        <v>337</v>
      </c>
      <c r="G90" s="3" t="s">
        <v>260</v>
      </c>
      <c r="H90" s="3" t="s">
        <v>255</v>
      </c>
      <c r="I90" s="3" t="s">
        <v>424</v>
      </c>
      <c r="J90" s="3" t="s">
        <v>21</v>
      </c>
      <c r="K90" s="2">
        <v>24</v>
      </c>
      <c r="L90" s="1">
        <v>40621</v>
      </c>
      <c r="M90" s="1">
        <v>974904</v>
      </c>
      <c r="N90" s="1">
        <v>13</v>
      </c>
      <c r="O90" s="1">
        <v>126737.52</v>
      </c>
    </row>
    <row r="91" spans="1:15">
      <c r="A91" s="6">
        <v>2025</v>
      </c>
      <c r="B91" s="7">
        <v>9</v>
      </c>
      <c r="C91" s="8">
        <v>45929</v>
      </c>
      <c r="D91" s="3" t="s">
        <v>425</v>
      </c>
      <c r="E91" s="3" t="s">
        <v>426</v>
      </c>
      <c r="F91" s="3" t="s">
        <v>427</v>
      </c>
      <c r="G91" s="3" t="s">
        <v>306</v>
      </c>
      <c r="H91" s="3" t="s">
        <v>255</v>
      </c>
      <c r="I91" s="3" t="s">
        <v>428</v>
      </c>
      <c r="J91" s="3" t="s">
        <v>21</v>
      </c>
      <c r="K91" s="1">
        <v>1000</v>
      </c>
      <c r="L91" s="1">
        <v>36955.08</v>
      </c>
      <c r="M91" s="1">
        <v>36955080</v>
      </c>
      <c r="N91" s="1">
        <v>5</v>
      </c>
      <c r="O91" s="1">
        <v>1847754</v>
      </c>
    </row>
    <row r="92" spans="1:15">
      <c r="A92" s="6">
        <v>2025</v>
      </c>
      <c r="B92" s="7">
        <v>9</v>
      </c>
      <c r="C92" s="8">
        <v>45930</v>
      </c>
      <c r="D92" s="3" t="s">
        <v>429</v>
      </c>
      <c r="E92" s="3" t="s">
        <v>298</v>
      </c>
      <c r="F92" s="3" t="s">
        <v>253</v>
      </c>
      <c r="G92" s="3" t="s">
        <v>254</v>
      </c>
      <c r="H92" s="3" t="s">
        <v>255</v>
      </c>
      <c r="I92" s="3" t="s">
        <v>430</v>
      </c>
      <c r="J92" s="3" t="s">
        <v>21</v>
      </c>
      <c r="K92" s="2">
        <v>10</v>
      </c>
      <c r="L92" s="1">
        <v>36955.08</v>
      </c>
      <c r="M92" s="1">
        <v>369550.8</v>
      </c>
      <c r="N92" s="1">
        <v>13</v>
      </c>
      <c r="O92" s="1">
        <v>48041.599999999999</v>
      </c>
    </row>
    <row r="93" spans="1:15">
      <c r="A93" s="6">
        <v>2025</v>
      </c>
      <c r="B93" s="7">
        <v>10</v>
      </c>
      <c r="C93" s="8">
        <v>45932</v>
      </c>
      <c r="D93" s="3" t="s">
        <v>431</v>
      </c>
      <c r="E93" s="3" t="s">
        <v>280</v>
      </c>
      <c r="F93" s="3" t="s">
        <v>281</v>
      </c>
      <c r="G93" s="3" t="s">
        <v>273</v>
      </c>
      <c r="H93" s="3" t="s">
        <v>255</v>
      </c>
      <c r="I93" s="3" t="s">
        <v>320</v>
      </c>
      <c r="J93" s="3" t="s">
        <v>21</v>
      </c>
      <c r="K93" s="2">
        <v>100</v>
      </c>
      <c r="L93" s="1">
        <v>40621</v>
      </c>
      <c r="M93" s="1">
        <v>4062100</v>
      </c>
      <c r="N93" s="1">
        <v>8</v>
      </c>
      <c r="O93" s="1">
        <v>324968</v>
      </c>
    </row>
    <row r="94" spans="1:15">
      <c r="A94" s="6">
        <v>2025</v>
      </c>
      <c r="B94" s="7">
        <v>10</v>
      </c>
      <c r="C94" s="8">
        <v>45933</v>
      </c>
      <c r="D94" s="3" t="s">
        <v>432</v>
      </c>
      <c r="E94" s="3" t="s">
        <v>304</v>
      </c>
      <c r="F94" s="3" t="s">
        <v>305</v>
      </c>
      <c r="G94" s="3" t="s">
        <v>306</v>
      </c>
      <c r="H94" s="3" t="s">
        <v>255</v>
      </c>
      <c r="I94" s="3" t="s">
        <v>433</v>
      </c>
      <c r="J94" s="3" t="s">
        <v>21</v>
      </c>
      <c r="K94" s="2">
        <v>30</v>
      </c>
      <c r="L94" s="1">
        <v>40621</v>
      </c>
      <c r="M94" s="1">
        <v>1218630</v>
      </c>
      <c r="N94" s="1">
        <v>13</v>
      </c>
      <c r="O94" s="1">
        <v>158421.9</v>
      </c>
    </row>
    <row r="95" spans="1:15">
      <c r="A95" s="6">
        <v>2025</v>
      </c>
      <c r="B95" s="7">
        <v>10</v>
      </c>
      <c r="C95" s="8">
        <v>45936</v>
      </c>
      <c r="D95" s="3" t="s">
        <v>434</v>
      </c>
      <c r="E95" s="3" t="s">
        <v>298</v>
      </c>
      <c r="F95" s="3" t="s">
        <v>253</v>
      </c>
      <c r="G95" s="3" t="s">
        <v>254</v>
      </c>
      <c r="H95" s="3" t="s">
        <v>255</v>
      </c>
      <c r="I95" s="3" t="s">
        <v>435</v>
      </c>
      <c r="J95" s="3" t="s">
        <v>21</v>
      </c>
      <c r="K95" s="2">
        <v>120</v>
      </c>
      <c r="L95" s="1">
        <v>40621</v>
      </c>
      <c r="M95" s="1">
        <v>4874520</v>
      </c>
      <c r="N95" s="1">
        <v>13</v>
      </c>
      <c r="O95" s="1">
        <v>633687.6</v>
      </c>
    </row>
    <row r="96" spans="1:15">
      <c r="A96" s="6">
        <v>2025</v>
      </c>
      <c r="B96" s="7">
        <v>10</v>
      </c>
      <c r="C96" s="8">
        <v>45936</v>
      </c>
      <c r="D96" s="3" t="s">
        <v>436</v>
      </c>
      <c r="E96" s="3" t="s">
        <v>336</v>
      </c>
      <c r="F96" s="3" t="s">
        <v>337</v>
      </c>
      <c r="G96" s="3" t="s">
        <v>260</v>
      </c>
      <c r="H96" s="3" t="s">
        <v>255</v>
      </c>
      <c r="I96" s="3" t="s">
        <v>437</v>
      </c>
      <c r="J96" s="3" t="s">
        <v>21</v>
      </c>
      <c r="K96" s="2">
        <v>20</v>
      </c>
      <c r="L96" s="1">
        <v>40621</v>
      </c>
      <c r="M96" s="1">
        <v>812420</v>
      </c>
      <c r="N96" s="1">
        <v>10</v>
      </c>
      <c r="O96" s="1">
        <v>81242</v>
      </c>
    </row>
    <row r="97" spans="1:15">
      <c r="A97" s="6">
        <v>2025</v>
      </c>
      <c r="B97" s="7">
        <v>10</v>
      </c>
      <c r="C97" s="8">
        <v>45936</v>
      </c>
      <c r="D97" s="3" t="s">
        <v>438</v>
      </c>
      <c r="E97" s="3" t="s">
        <v>332</v>
      </c>
      <c r="F97" s="3" t="s">
        <v>333</v>
      </c>
      <c r="G97" s="3" t="s">
        <v>260</v>
      </c>
      <c r="H97" s="3" t="s">
        <v>255</v>
      </c>
      <c r="I97" s="3" t="s">
        <v>439</v>
      </c>
      <c r="J97" s="3" t="s">
        <v>21</v>
      </c>
      <c r="K97" s="2">
        <v>20</v>
      </c>
      <c r="L97" s="1">
        <v>40621</v>
      </c>
      <c r="M97" s="1">
        <v>812420</v>
      </c>
      <c r="N97" s="1">
        <v>10</v>
      </c>
      <c r="O97" s="1">
        <v>81242</v>
      </c>
    </row>
    <row r="98" spans="1:15">
      <c r="A98" s="6">
        <v>2025</v>
      </c>
      <c r="B98" s="7">
        <v>10</v>
      </c>
      <c r="C98" s="8">
        <v>45936</v>
      </c>
      <c r="D98" s="3" t="s">
        <v>440</v>
      </c>
      <c r="E98" s="3" t="s">
        <v>284</v>
      </c>
      <c r="F98" s="3" t="s">
        <v>281</v>
      </c>
      <c r="G98" s="3" t="s">
        <v>273</v>
      </c>
      <c r="H98" s="3" t="s">
        <v>255</v>
      </c>
      <c r="I98" s="3" t="s">
        <v>327</v>
      </c>
      <c r="J98" s="3" t="s">
        <v>21</v>
      </c>
      <c r="K98" s="2">
        <v>40</v>
      </c>
      <c r="L98" s="1">
        <v>40621</v>
      </c>
      <c r="M98" s="1">
        <v>1624840</v>
      </c>
      <c r="N98" s="1">
        <v>13</v>
      </c>
      <c r="O98" s="1">
        <v>211229.2</v>
      </c>
    </row>
    <row r="99" spans="1:15">
      <c r="A99" s="6">
        <v>2025</v>
      </c>
      <c r="B99" s="7">
        <v>10</v>
      </c>
      <c r="C99" s="8">
        <v>45939</v>
      </c>
      <c r="D99" s="3" t="s">
        <v>441</v>
      </c>
      <c r="E99" s="3" t="s">
        <v>332</v>
      </c>
      <c r="F99" s="3" t="s">
        <v>333</v>
      </c>
      <c r="G99" s="3" t="s">
        <v>260</v>
      </c>
      <c r="H99" s="3" t="s">
        <v>255</v>
      </c>
      <c r="I99" s="3" t="s">
        <v>350</v>
      </c>
      <c r="J99" s="3" t="s">
        <v>21</v>
      </c>
      <c r="K99" s="2">
        <v>30</v>
      </c>
      <c r="L99" s="1">
        <v>40621</v>
      </c>
      <c r="M99" s="1">
        <v>1218630</v>
      </c>
      <c r="N99" s="1">
        <v>10</v>
      </c>
      <c r="O99" s="1">
        <v>121863</v>
      </c>
    </row>
    <row r="100" spans="1:15">
      <c r="A100" s="6">
        <v>2025</v>
      </c>
      <c r="B100" s="7">
        <v>10</v>
      </c>
      <c r="C100" s="8">
        <v>45939</v>
      </c>
      <c r="D100" s="3" t="s">
        <v>442</v>
      </c>
      <c r="E100" s="3" t="s">
        <v>280</v>
      </c>
      <c r="F100" s="3" t="s">
        <v>281</v>
      </c>
      <c r="G100" s="3" t="s">
        <v>273</v>
      </c>
      <c r="H100" s="3" t="s">
        <v>255</v>
      </c>
      <c r="I100" s="3" t="s">
        <v>443</v>
      </c>
      <c r="J100" s="3" t="s">
        <v>21</v>
      </c>
      <c r="K100" s="2">
        <v>20</v>
      </c>
      <c r="L100" s="1">
        <v>40621</v>
      </c>
      <c r="M100" s="1">
        <v>812420</v>
      </c>
      <c r="N100" s="1">
        <v>10</v>
      </c>
      <c r="O100" s="1">
        <v>81242</v>
      </c>
    </row>
    <row r="101" spans="1:15">
      <c r="A101" s="6">
        <v>2025</v>
      </c>
      <c r="B101" s="7">
        <v>10</v>
      </c>
      <c r="C101" s="8">
        <v>45939</v>
      </c>
      <c r="D101" s="3" t="s">
        <v>444</v>
      </c>
      <c r="E101" s="3" t="s">
        <v>336</v>
      </c>
      <c r="F101" s="3" t="s">
        <v>337</v>
      </c>
      <c r="G101" s="3" t="s">
        <v>260</v>
      </c>
      <c r="H101" s="3" t="s">
        <v>255</v>
      </c>
      <c r="I101" s="3" t="s">
        <v>445</v>
      </c>
      <c r="J101" s="3" t="s">
        <v>21</v>
      </c>
      <c r="K101" s="2">
        <v>48</v>
      </c>
      <c r="L101" s="1">
        <v>40621</v>
      </c>
      <c r="M101" s="1">
        <v>1949808</v>
      </c>
      <c r="N101" s="1">
        <v>10</v>
      </c>
      <c r="O101" s="1">
        <v>194980.8</v>
      </c>
    </row>
    <row r="102" spans="1:15">
      <c r="A102" s="6">
        <v>2025</v>
      </c>
      <c r="B102" s="7">
        <v>10</v>
      </c>
      <c r="C102" s="8">
        <v>45943</v>
      </c>
      <c r="D102" s="3" t="s">
        <v>446</v>
      </c>
      <c r="E102" s="3" t="s">
        <v>298</v>
      </c>
      <c r="F102" s="3" t="s">
        <v>253</v>
      </c>
      <c r="G102" s="3" t="s">
        <v>254</v>
      </c>
      <c r="H102" s="3" t="s">
        <v>255</v>
      </c>
      <c r="I102" s="3" t="s">
        <v>396</v>
      </c>
      <c r="J102" s="3" t="s">
        <v>21</v>
      </c>
      <c r="K102" s="2">
        <v>20</v>
      </c>
      <c r="L102" s="1">
        <v>40621</v>
      </c>
      <c r="M102" s="1">
        <v>812420</v>
      </c>
      <c r="N102" s="1">
        <v>15</v>
      </c>
      <c r="O102" s="1">
        <v>121863</v>
      </c>
    </row>
    <row r="103" spans="1:15">
      <c r="A103" s="6">
        <v>2025</v>
      </c>
      <c r="B103" s="7">
        <v>10</v>
      </c>
      <c r="C103" s="8">
        <v>45943</v>
      </c>
      <c r="D103" s="3" t="s">
        <v>447</v>
      </c>
      <c r="E103" s="3" t="s">
        <v>414</v>
      </c>
      <c r="F103" s="3" t="s">
        <v>305</v>
      </c>
      <c r="G103" s="3" t="s">
        <v>306</v>
      </c>
      <c r="H103" s="3" t="s">
        <v>255</v>
      </c>
      <c r="I103" s="3" t="s">
        <v>448</v>
      </c>
      <c r="J103" s="3" t="s">
        <v>21</v>
      </c>
      <c r="K103" s="2">
        <v>100</v>
      </c>
      <c r="L103" s="1">
        <v>40621</v>
      </c>
      <c r="M103" s="1">
        <v>4062100</v>
      </c>
      <c r="N103" s="1">
        <v>13</v>
      </c>
      <c r="O103" s="1">
        <v>528073</v>
      </c>
    </row>
    <row r="104" spans="1:15">
      <c r="A104" s="6">
        <v>2025</v>
      </c>
      <c r="B104" s="7">
        <v>10</v>
      </c>
      <c r="C104" s="8">
        <v>45943</v>
      </c>
      <c r="D104" s="3" t="s">
        <v>449</v>
      </c>
      <c r="E104" s="3" t="s">
        <v>304</v>
      </c>
      <c r="F104" s="3" t="s">
        <v>305</v>
      </c>
      <c r="G104" s="3" t="s">
        <v>306</v>
      </c>
      <c r="H104" s="3" t="s">
        <v>255</v>
      </c>
      <c r="I104" s="3" t="s">
        <v>307</v>
      </c>
      <c r="J104" s="3" t="s">
        <v>21</v>
      </c>
      <c r="K104" s="2">
        <v>50</v>
      </c>
      <c r="L104" s="1">
        <v>40621</v>
      </c>
      <c r="M104" s="1">
        <v>2031050</v>
      </c>
      <c r="N104" s="1">
        <v>12</v>
      </c>
      <c r="O104" s="1">
        <v>243726</v>
      </c>
    </row>
    <row r="105" spans="1:15">
      <c r="A105" s="6">
        <v>2025</v>
      </c>
      <c r="B105" s="7">
        <v>10</v>
      </c>
      <c r="C105" s="8">
        <v>45944</v>
      </c>
      <c r="D105" s="3" t="s">
        <v>450</v>
      </c>
      <c r="E105" s="3" t="s">
        <v>304</v>
      </c>
      <c r="F105" s="3" t="s">
        <v>305</v>
      </c>
      <c r="G105" s="3" t="s">
        <v>306</v>
      </c>
      <c r="H105" s="3" t="s">
        <v>255</v>
      </c>
      <c r="I105" s="3" t="s">
        <v>451</v>
      </c>
      <c r="J105" s="3" t="s">
        <v>21</v>
      </c>
      <c r="K105" s="2">
        <v>50</v>
      </c>
      <c r="L105" s="1">
        <v>40621</v>
      </c>
      <c r="M105" s="1">
        <v>2031050</v>
      </c>
      <c r="N105" s="1">
        <v>10</v>
      </c>
      <c r="O105" s="1">
        <v>203105</v>
      </c>
    </row>
    <row r="106" spans="1:15">
      <c r="A106" s="6">
        <v>2025</v>
      </c>
      <c r="B106" s="7">
        <v>10</v>
      </c>
      <c r="C106" s="8">
        <v>45944</v>
      </c>
      <c r="D106" s="3" t="s">
        <v>452</v>
      </c>
      <c r="E106" s="3" t="s">
        <v>414</v>
      </c>
      <c r="F106" s="3" t="s">
        <v>305</v>
      </c>
      <c r="G106" s="3" t="s">
        <v>306</v>
      </c>
      <c r="H106" s="3" t="s">
        <v>255</v>
      </c>
      <c r="I106" s="3" t="s">
        <v>60</v>
      </c>
      <c r="J106" s="3" t="s">
        <v>21</v>
      </c>
      <c r="K106" s="2">
        <v>50</v>
      </c>
      <c r="L106" s="1">
        <v>40621</v>
      </c>
      <c r="M106" s="1">
        <v>2031050</v>
      </c>
      <c r="N106" s="1">
        <v>13</v>
      </c>
      <c r="O106" s="1">
        <v>264036.5</v>
      </c>
    </row>
    <row r="107" spans="1:15">
      <c r="A107" s="6">
        <v>2025</v>
      </c>
      <c r="B107" s="7">
        <v>10</v>
      </c>
      <c r="C107" s="8">
        <v>45945</v>
      </c>
      <c r="D107" s="3" t="s">
        <v>453</v>
      </c>
      <c r="E107" s="3" t="s">
        <v>332</v>
      </c>
      <c r="F107" s="3" t="s">
        <v>333</v>
      </c>
      <c r="G107" s="3" t="s">
        <v>260</v>
      </c>
      <c r="H107" s="3" t="s">
        <v>255</v>
      </c>
      <c r="I107" s="3" t="s">
        <v>454</v>
      </c>
      <c r="J107" s="3" t="s">
        <v>21</v>
      </c>
      <c r="K107" s="2">
        <v>60</v>
      </c>
      <c r="L107" s="1">
        <v>40621</v>
      </c>
      <c r="M107" s="1">
        <v>2437260</v>
      </c>
      <c r="N107" s="1">
        <v>10</v>
      </c>
      <c r="O107" s="1">
        <v>243726</v>
      </c>
    </row>
    <row r="108" spans="1:15">
      <c r="A108" s="6">
        <v>2025</v>
      </c>
      <c r="B108" s="7">
        <v>10</v>
      </c>
      <c r="C108" s="8">
        <v>45946</v>
      </c>
      <c r="D108" s="3" t="s">
        <v>455</v>
      </c>
      <c r="E108" s="3" t="s">
        <v>414</v>
      </c>
      <c r="F108" s="3" t="s">
        <v>305</v>
      </c>
      <c r="G108" s="3" t="s">
        <v>306</v>
      </c>
      <c r="H108" s="3" t="s">
        <v>255</v>
      </c>
      <c r="I108" s="3" t="s">
        <v>456</v>
      </c>
      <c r="J108" s="3" t="s">
        <v>21</v>
      </c>
      <c r="K108" s="2">
        <v>50</v>
      </c>
      <c r="L108" s="1">
        <v>40621</v>
      </c>
      <c r="M108" s="1">
        <v>2031050</v>
      </c>
      <c r="N108" s="1">
        <v>8</v>
      </c>
      <c r="O108" s="1">
        <v>162484</v>
      </c>
    </row>
    <row r="109" spans="1:15">
      <c r="A109" s="6">
        <v>2025</v>
      </c>
      <c r="B109" s="7">
        <v>10</v>
      </c>
      <c r="C109" s="8">
        <v>45946</v>
      </c>
      <c r="D109" s="3" t="s">
        <v>457</v>
      </c>
      <c r="E109" s="3" t="s">
        <v>336</v>
      </c>
      <c r="F109" s="3" t="s">
        <v>337</v>
      </c>
      <c r="G109" s="3" t="s">
        <v>260</v>
      </c>
      <c r="H109" s="3" t="s">
        <v>255</v>
      </c>
      <c r="I109" s="3" t="s">
        <v>346</v>
      </c>
      <c r="J109" s="3" t="s">
        <v>21</v>
      </c>
      <c r="K109" s="2">
        <v>20</v>
      </c>
      <c r="L109" s="1">
        <v>40621</v>
      </c>
      <c r="M109" s="1">
        <v>812420</v>
      </c>
      <c r="N109" s="1">
        <v>13</v>
      </c>
      <c r="O109" s="1">
        <v>105614.6</v>
      </c>
    </row>
    <row r="110" spans="1:15">
      <c r="A110" s="6">
        <v>2025</v>
      </c>
      <c r="B110" s="7">
        <v>10</v>
      </c>
      <c r="C110" s="8">
        <v>45946</v>
      </c>
      <c r="D110" s="3" t="s">
        <v>458</v>
      </c>
      <c r="E110" s="3" t="s">
        <v>280</v>
      </c>
      <c r="F110" s="3" t="s">
        <v>281</v>
      </c>
      <c r="G110" s="3" t="s">
        <v>273</v>
      </c>
      <c r="H110" s="3" t="s">
        <v>255</v>
      </c>
      <c r="I110" s="3" t="s">
        <v>320</v>
      </c>
      <c r="J110" s="3" t="s">
        <v>21</v>
      </c>
      <c r="K110" s="2">
        <v>100</v>
      </c>
      <c r="L110" s="1">
        <v>40621</v>
      </c>
      <c r="M110" s="1">
        <v>4062100</v>
      </c>
      <c r="N110" s="1">
        <v>8</v>
      </c>
      <c r="O110" s="1">
        <v>324968</v>
      </c>
    </row>
    <row r="111" spans="1:15">
      <c r="A111" s="6">
        <v>2025</v>
      </c>
      <c r="B111" s="7">
        <v>10</v>
      </c>
      <c r="C111" s="8">
        <v>45946</v>
      </c>
      <c r="D111" s="3" t="s">
        <v>459</v>
      </c>
      <c r="E111" s="3" t="s">
        <v>414</v>
      </c>
      <c r="F111" s="3" t="s">
        <v>305</v>
      </c>
      <c r="G111" s="3" t="s">
        <v>306</v>
      </c>
      <c r="H111" s="3" t="s">
        <v>255</v>
      </c>
      <c r="I111" s="3" t="s">
        <v>415</v>
      </c>
      <c r="J111" s="3" t="s">
        <v>21</v>
      </c>
      <c r="K111" s="2">
        <v>100</v>
      </c>
      <c r="L111" s="1">
        <v>40621</v>
      </c>
      <c r="M111" s="1">
        <v>4062100</v>
      </c>
      <c r="N111" s="1">
        <v>8</v>
      </c>
      <c r="O111" s="1">
        <v>324968</v>
      </c>
    </row>
    <row r="112" spans="1:15">
      <c r="A112" s="6">
        <v>2025</v>
      </c>
      <c r="B112" s="7">
        <v>10</v>
      </c>
      <c r="C112" s="8">
        <v>45947</v>
      </c>
      <c r="D112" s="3" t="s">
        <v>460</v>
      </c>
      <c r="E112" s="3" t="s">
        <v>298</v>
      </c>
      <c r="F112" s="3" t="s">
        <v>253</v>
      </c>
      <c r="G112" s="3" t="s">
        <v>254</v>
      </c>
      <c r="H112" s="3" t="s">
        <v>255</v>
      </c>
      <c r="I112" s="3" t="s">
        <v>461</v>
      </c>
      <c r="J112" s="3" t="s">
        <v>21</v>
      </c>
      <c r="K112" s="2">
        <v>60</v>
      </c>
      <c r="L112" s="1">
        <v>40621</v>
      </c>
      <c r="M112" s="1">
        <v>2437260</v>
      </c>
      <c r="N112" s="1">
        <v>10</v>
      </c>
      <c r="O112" s="1">
        <v>243726</v>
      </c>
    </row>
    <row r="113" spans="1:15">
      <c r="A113" s="6">
        <v>2025</v>
      </c>
      <c r="B113" s="7">
        <v>10</v>
      </c>
      <c r="C113" s="8">
        <v>45947</v>
      </c>
      <c r="D113" s="3" t="s">
        <v>462</v>
      </c>
      <c r="E113" s="3" t="s">
        <v>463</v>
      </c>
      <c r="F113" s="3" t="s">
        <v>464</v>
      </c>
      <c r="G113" s="3" t="s">
        <v>260</v>
      </c>
      <c r="H113" s="3" t="s">
        <v>255</v>
      </c>
      <c r="I113" s="3" t="s">
        <v>465</v>
      </c>
      <c r="J113" s="3" t="s">
        <v>466</v>
      </c>
      <c r="K113" s="2">
        <v>40</v>
      </c>
      <c r="L113" s="1">
        <v>120000</v>
      </c>
      <c r="M113" s="1">
        <v>4800000</v>
      </c>
      <c r="N113" s="1">
        <v>8</v>
      </c>
      <c r="O113" s="1">
        <v>384000</v>
      </c>
    </row>
    <row r="114" spans="1:15">
      <c r="A114" s="6">
        <v>2025</v>
      </c>
      <c r="B114" s="7">
        <v>10</v>
      </c>
      <c r="C114" s="8">
        <v>45950</v>
      </c>
      <c r="D114" s="3" t="s">
        <v>467</v>
      </c>
      <c r="E114" s="3" t="s">
        <v>332</v>
      </c>
      <c r="F114" s="3" t="s">
        <v>333</v>
      </c>
      <c r="G114" s="3" t="s">
        <v>260</v>
      </c>
      <c r="H114" s="3" t="s">
        <v>255</v>
      </c>
      <c r="I114" s="3" t="s">
        <v>117</v>
      </c>
      <c r="J114" s="3" t="s">
        <v>21</v>
      </c>
      <c r="K114" s="2">
        <v>100</v>
      </c>
      <c r="L114" s="1">
        <v>40621</v>
      </c>
      <c r="M114" s="1">
        <v>4062100</v>
      </c>
      <c r="N114" s="1">
        <v>8</v>
      </c>
      <c r="O114" s="1">
        <v>324968</v>
      </c>
    </row>
    <row r="115" spans="1:15">
      <c r="A115" s="6">
        <v>2025</v>
      </c>
      <c r="B115" s="7">
        <v>10</v>
      </c>
      <c r="C115" s="8">
        <v>45950</v>
      </c>
      <c r="D115" s="3" t="s">
        <v>468</v>
      </c>
      <c r="E115" s="3" t="s">
        <v>332</v>
      </c>
      <c r="F115" s="3" t="s">
        <v>333</v>
      </c>
      <c r="G115" s="3" t="s">
        <v>260</v>
      </c>
      <c r="H115" s="3" t="s">
        <v>255</v>
      </c>
      <c r="I115" s="3" t="s">
        <v>469</v>
      </c>
      <c r="J115" s="3" t="s">
        <v>21</v>
      </c>
      <c r="K115" s="2">
        <v>25</v>
      </c>
      <c r="L115" s="1">
        <v>40621</v>
      </c>
      <c r="M115" s="1">
        <v>1015525</v>
      </c>
      <c r="N115" s="1">
        <v>10</v>
      </c>
      <c r="O115" s="1">
        <v>101552.5</v>
      </c>
    </row>
    <row r="116" spans="1:15">
      <c r="A116" s="6">
        <v>2025</v>
      </c>
      <c r="B116" s="7">
        <v>10</v>
      </c>
      <c r="C116" s="8">
        <v>45950</v>
      </c>
      <c r="D116" s="3" t="s">
        <v>470</v>
      </c>
      <c r="E116" s="3" t="s">
        <v>304</v>
      </c>
      <c r="F116" s="3" t="s">
        <v>305</v>
      </c>
      <c r="G116" s="3" t="s">
        <v>306</v>
      </c>
      <c r="H116" s="3" t="s">
        <v>255</v>
      </c>
      <c r="I116" s="3" t="s">
        <v>471</v>
      </c>
      <c r="J116" s="3" t="s">
        <v>21</v>
      </c>
      <c r="K116" s="2">
        <v>50</v>
      </c>
      <c r="L116" s="1">
        <v>40621</v>
      </c>
      <c r="M116" s="1">
        <v>2031050</v>
      </c>
      <c r="N116" s="1">
        <v>10</v>
      </c>
      <c r="O116" s="1">
        <v>203105</v>
      </c>
    </row>
    <row r="117" spans="1:15">
      <c r="A117" s="6">
        <v>2025</v>
      </c>
      <c r="B117" s="7">
        <v>10</v>
      </c>
      <c r="C117" s="8">
        <v>45951</v>
      </c>
      <c r="D117" s="3" t="s">
        <v>472</v>
      </c>
      <c r="E117" s="3" t="s">
        <v>311</v>
      </c>
      <c r="F117" s="3" t="s">
        <v>305</v>
      </c>
      <c r="G117" s="3" t="s">
        <v>306</v>
      </c>
      <c r="H117" s="3" t="s">
        <v>255</v>
      </c>
      <c r="I117" s="3" t="s">
        <v>473</v>
      </c>
      <c r="J117" s="3" t="s">
        <v>21</v>
      </c>
      <c r="K117" s="2">
        <v>50</v>
      </c>
      <c r="L117" s="1">
        <v>40621</v>
      </c>
      <c r="M117" s="1">
        <v>2031050</v>
      </c>
      <c r="N117" s="1">
        <v>8</v>
      </c>
      <c r="O117" s="1">
        <v>162484</v>
      </c>
    </row>
    <row r="118" spans="1:15">
      <c r="A118" s="6">
        <v>2025</v>
      </c>
      <c r="B118" s="7">
        <v>10</v>
      </c>
      <c r="C118" s="8">
        <v>45951</v>
      </c>
      <c r="D118" s="3" t="s">
        <v>474</v>
      </c>
      <c r="E118" s="3" t="s">
        <v>475</v>
      </c>
      <c r="F118" s="3" t="s">
        <v>476</v>
      </c>
      <c r="G118" s="3" t="s">
        <v>260</v>
      </c>
      <c r="H118" s="3" t="s">
        <v>255</v>
      </c>
      <c r="I118" s="3" t="s">
        <v>477</v>
      </c>
      <c r="J118" s="3" t="s">
        <v>466</v>
      </c>
      <c r="K118" s="2">
        <v>100</v>
      </c>
      <c r="L118" s="1">
        <v>120000</v>
      </c>
      <c r="M118" s="1">
        <v>12000000</v>
      </c>
      <c r="N118" s="1">
        <v>8</v>
      </c>
      <c r="O118" s="1">
        <v>960000</v>
      </c>
    </row>
    <row r="119" spans="1:15">
      <c r="A119" s="6">
        <v>2025</v>
      </c>
      <c r="B119" s="7">
        <v>10</v>
      </c>
      <c r="C119" s="8">
        <v>45951</v>
      </c>
      <c r="D119" s="3" t="s">
        <v>478</v>
      </c>
      <c r="E119" s="3" t="s">
        <v>463</v>
      </c>
      <c r="F119" s="3" t="s">
        <v>464</v>
      </c>
      <c r="G119" s="3" t="s">
        <v>260</v>
      </c>
      <c r="H119" s="3" t="s">
        <v>255</v>
      </c>
      <c r="I119" s="3" t="s">
        <v>479</v>
      </c>
      <c r="J119" s="3" t="s">
        <v>466</v>
      </c>
      <c r="K119" s="2">
        <v>20</v>
      </c>
      <c r="L119" s="1">
        <v>120000</v>
      </c>
      <c r="M119" s="1">
        <v>2400000</v>
      </c>
      <c r="N119" s="1">
        <v>8</v>
      </c>
      <c r="O119" s="1">
        <v>192000</v>
      </c>
    </row>
    <row r="120" spans="1:15">
      <c r="A120" s="6">
        <v>2025</v>
      </c>
      <c r="B120" s="7">
        <v>10</v>
      </c>
      <c r="C120" s="8">
        <v>45952</v>
      </c>
      <c r="D120" s="3" t="s">
        <v>480</v>
      </c>
      <c r="E120" s="3" t="s">
        <v>260</v>
      </c>
      <c r="F120" s="3" t="s">
        <v>32</v>
      </c>
      <c r="G120" s="3" t="s">
        <v>260</v>
      </c>
      <c r="H120" s="3" t="s">
        <v>255</v>
      </c>
      <c r="I120" s="3" t="s">
        <v>412</v>
      </c>
      <c r="J120" s="3" t="s">
        <v>21</v>
      </c>
      <c r="K120" s="1">
        <v>1000</v>
      </c>
      <c r="L120" s="1">
        <v>40621</v>
      </c>
      <c r="M120" s="1">
        <v>40621000</v>
      </c>
      <c r="N120" s="1">
        <v>4</v>
      </c>
      <c r="O120" s="1">
        <v>1624840</v>
      </c>
    </row>
    <row r="121" spans="1:15">
      <c r="A121" s="6">
        <v>2025</v>
      </c>
      <c r="B121" s="7">
        <v>10</v>
      </c>
      <c r="C121" s="8">
        <v>45953</v>
      </c>
      <c r="D121" s="3" t="s">
        <v>481</v>
      </c>
      <c r="E121" s="3" t="s">
        <v>336</v>
      </c>
      <c r="F121" s="3" t="s">
        <v>337</v>
      </c>
      <c r="G121" s="3" t="s">
        <v>260</v>
      </c>
      <c r="H121" s="3" t="s">
        <v>255</v>
      </c>
      <c r="I121" s="3" t="s">
        <v>346</v>
      </c>
      <c r="J121" s="3" t="s">
        <v>21</v>
      </c>
      <c r="K121" s="2">
        <v>30</v>
      </c>
      <c r="L121" s="1">
        <v>40621</v>
      </c>
      <c r="M121" s="1">
        <v>1218630</v>
      </c>
      <c r="N121" s="1">
        <v>10</v>
      </c>
      <c r="O121" s="1">
        <v>121863</v>
      </c>
    </row>
    <row r="122" spans="1:15">
      <c r="A122" s="6">
        <v>2025</v>
      </c>
      <c r="B122" s="7">
        <v>10</v>
      </c>
      <c r="C122" s="8">
        <v>45953</v>
      </c>
      <c r="D122" s="3" t="s">
        <v>482</v>
      </c>
      <c r="E122" s="3" t="s">
        <v>271</v>
      </c>
      <c r="F122" s="3" t="s">
        <v>272</v>
      </c>
      <c r="G122" s="3" t="s">
        <v>273</v>
      </c>
      <c r="H122" s="3" t="s">
        <v>255</v>
      </c>
      <c r="I122" s="3" t="s">
        <v>483</v>
      </c>
      <c r="J122" s="3" t="s">
        <v>466</v>
      </c>
      <c r="K122" s="2">
        <v>120</v>
      </c>
      <c r="L122" s="1">
        <v>120000</v>
      </c>
      <c r="M122" s="1">
        <v>14400000</v>
      </c>
      <c r="N122" s="1">
        <v>15</v>
      </c>
      <c r="O122" s="1">
        <v>2160000</v>
      </c>
    </row>
    <row r="123" spans="1:15">
      <c r="A123" s="6">
        <v>2025</v>
      </c>
      <c r="B123" s="7">
        <v>10</v>
      </c>
      <c r="C123" s="8">
        <v>45953</v>
      </c>
      <c r="D123" s="3" t="s">
        <v>484</v>
      </c>
      <c r="E123" s="3" t="s">
        <v>336</v>
      </c>
      <c r="F123" s="3" t="s">
        <v>337</v>
      </c>
      <c r="G123" s="3" t="s">
        <v>260</v>
      </c>
      <c r="H123" s="3" t="s">
        <v>255</v>
      </c>
      <c r="I123" s="3" t="s">
        <v>424</v>
      </c>
      <c r="J123" s="3" t="s">
        <v>21</v>
      </c>
      <c r="K123" s="2">
        <v>48</v>
      </c>
      <c r="L123" s="1">
        <v>40621</v>
      </c>
      <c r="M123" s="1">
        <v>1949808</v>
      </c>
      <c r="N123" s="1">
        <v>13</v>
      </c>
      <c r="O123" s="1">
        <v>253475.04</v>
      </c>
    </row>
    <row r="124" spans="1:15">
      <c r="A124" s="6">
        <v>2025</v>
      </c>
      <c r="B124" s="7">
        <v>10</v>
      </c>
      <c r="C124" s="8">
        <v>45953</v>
      </c>
      <c r="D124" s="3" t="s">
        <v>485</v>
      </c>
      <c r="E124" s="3" t="s">
        <v>336</v>
      </c>
      <c r="F124" s="3" t="s">
        <v>337</v>
      </c>
      <c r="G124" s="3" t="s">
        <v>260</v>
      </c>
      <c r="H124" s="3" t="s">
        <v>255</v>
      </c>
      <c r="I124" s="3" t="s">
        <v>378</v>
      </c>
      <c r="J124" s="3" t="s">
        <v>21</v>
      </c>
      <c r="K124" s="2">
        <v>10</v>
      </c>
      <c r="L124" s="1">
        <v>40621</v>
      </c>
      <c r="M124" s="1">
        <v>406210</v>
      </c>
      <c r="N124" s="1">
        <v>10</v>
      </c>
      <c r="O124" s="1">
        <v>40621</v>
      </c>
    </row>
    <row r="125" spans="1:15">
      <c r="A125" s="6">
        <v>2025</v>
      </c>
      <c r="B125" s="7">
        <v>10</v>
      </c>
      <c r="C125" s="8">
        <v>45954</v>
      </c>
      <c r="D125" s="3" t="s">
        <v>486</v>
      </c>
      <c r="E125" s="3" t="s">
        <v>414</v>
      </c>
      <c r="F125" s="3" t="s">
        <v>305</v>
      </c>
      <c r="G125" s="3" t="s">
        <v>306</v>
      </c>
      <c r="H125" s="3" t="s">
        <v>255</v>
      </c>
      <c r="I125" s="3" t="s">
        <v>422</v>
      </c>
      <c r="J125" s="3" t="s">
        <v>21</v>
      </c>
      <c r="K125" s="2">
        <v>50</v>
      </c>
      <c r="L125" s="1">
        <v>40621</v>
      </c>
      <c r="M125" s="1">
        <v>2031050</v>
      </c>
      <c r="N125" s="1">
        <v>8</v>
      </c>
      <c r="O125" s="1">
        <v>162484</v>
      </c>
    </row>
    <row r="126" spans="1:15">
      <c r="A126" s="6">
        <v>2025</v>
      </c>
      <c r="B126" s="7">
        <v>10</v>
      </c>
      <c r="C126" s="8">
        <v>45954</v>
      </c>
      <c r="D126" s="3" t="s">
        <v>487</v>
      </c>
      <c r="E126" s="3" t="s">
        <v>280</v>
      </c>
      <c r="F126" s="3" t="s">
        <v>281</v>
      </c>
      <c r="G126" s="3" t="s">
        <v>273</v>
      </c>
      <c r="H126" s="3" t="s">
        <v>255</v>
      </c>
      <c r="I126" s="3" t="s">
        <v>25</v>
      </c>
      <c r="J126" s="3" t="s">
        <v>21</v>
      </c>
      <c r="K126" s="2">
        <v>100</v>
      </c>
      <c r="L126" s="1">
        <v>40621</v>
      </c>
      <c r="M126" s="1">
        <v>4062100</v>
      </c>
      <c r="N126" s="1">
        <v>10</v>
      </c>
      <c r="O126" s="1">
        <v>406210</v>
      </c>
    </row>
    <row r="127" spans="1:15">
      <c r="A127" s="6">
        <v>2025</v>
      </c>
      <c r="B127" s="7">
        <v>10</v>
      </c>
      <c r="C127" s="8">
        <v>45957</v>
      </c>
      <c r="D127" s="3" t="s">
        <v>488</v>
      </c>
      <c r="E127" s="3" t="s">
        <v>489</v>
      </c>
      <c r="F127" s="3" t="s">
        <v>464</v>
      </c>
      <c r="G127" s="3" t="s">
        <v>260</v>
      </c>
      <c r="H127" s="3" t="s">
        <v>255</v>
      </c>
      <c r="I127" s="3" t="s">
        <v>490</v>
      </c>
      <c r="J127" s="3" t="s">
        <v>466</v>
      </c>
      <c r="K127" s="2">
        <v>20</v>
      </c>
      <c r="L127" s="1">
        <v>120000</v>
      </c>
      <c r="M127" s="1">
        <v>2400000</v>
      </c>
      <c r="N127" s="1">
        <v>12</v>
      </c>
      <c r="O127" s="1">
        <v>288000</v>
      </c>
    </row>
    <row r="128" spans="1:15">
      <c r="A128" s="6">
        <v>2025</v>
      </c>
      <c r="B128" s="7">
        <v>10</v>
      </c>
      <c r="C128" s="8">
        <v>45957</v>
      </c>
      <c r="D128" s="3" t="s">
        <v>491</v>
      </c>
      <c r="E128" s="3" t="s">
        <v>280</v>
      </c>
      <c r="F128" s="3" t="s">
        <v>281</v>
      </c>
      <c r="G128" s="3" t="s">
        <v>273</v>
      </c>
      <c r="H128" s="3" t="s">
        <v>255</v>
      </c>
      <c r="I128" s="3" t="s">
        <v>492</v>
      </c>
      <c r="J128" s="3" t="s">
        <v>21</v>
      </c>
      <c r="K128" s="2">
        <v>30</v>
      </c>
      <c r="L128" s="1">
        <v>40621</v>
      </c>
      <c r="M128" s="1">
        <v>1218630</v>
      </c>
      <c r="N128" s="1">
        <v>13</v>
      </c>
      <c r="O128" s="1">
        <v>158421.9</v>
      </c>
    </row>
    <row r="129" spans="1:15">
      <c r="A129" s="6">
        <v>2025</v>
      </c>
      <c r="B129" s="7">
        <v>10</v>
      </c>
      <c r="C129" s="8">
        <v>45958</v>
      </c>
      <c r="D129" s="3" t="s">
        <v>493</v>
      </c>
      <c r="E129" s="3" t="s">
        <v>280</v>
      </c>
      <c r="F129" s="3" t="s">
        <v>281</v>
      </c>
      <c r="G129" s="3" t="s">
        <v>273</v>
      </c>
      <c r="H129" s="3" t="s">
        <v>255</v>
      </c>
      <c r="I129" s="3" t="s">
        <v>443</v>
      </c>
      <c r="J129" s="3" t="s">
        <v>21</v>
      </c>
      <c r="K129" s="2">
        <v>50</v>
      </c>
      <c r="L129" s="1">
        <v>40621</v>
      </c>
      <c r="M129" s="1">
        <v>2031050</v>
      </c>
      <c r="N129" s="1">
        <v>10</v>
      </c>
      <c r="O129" s="1">
        <v>203105</v>
      </c>
    </row>
    <row r="130" spans="1:15">
      <c r="A130" s="6">
        <v>2025</v>
      </c>
      <c r="B130" s="7">
        <v>10</v>
      </c>
      <c r="C130" s="8">
        <v>45960</v>
      </c>
      <c r="D130" s="3" t="s">
        <v>494</v>
      </c>
      <c r="E130" s="3" t="s">
        <v>332</v>
      </c>
      <c r="F130" s="3" t="s">
        <v>333</v>
      </c>
      <c r="G130" s="3" t="s">
        <v>260</v>
      </c>
      <c r="H130" s="3" t="s">
        <v>255</v>
      </c>
      <c r="I130" s="3" t="s">
        <v>350</v>
      </c>
      <c r="J130" s="3" t="s">
        <v>21</v>
      </c>
      <c r="K130" s="2">
        <v>50</v>
      </c>
      <c r="L130" s="1">
        <v>40621</v>
      </c>
      <c r="M130" s="1">
        <v>2031050</v>
      </c>
      <c r="N130" s="1">
        <v>10</v>
      </c>
      <c r="O130" s="1">
        <v>203105</v>
      </c>
    </row>
    <row r="131" spans="1:15">
      <c r="A131" s="6">
        <v>2025</v>
      </c>
      <c r="B131" s="7">
        <v>10</v>
      </c>
      <c r="C131" s="8">
        <v>45960</v>
      </c>
      <c r="D131" s="3" t="s">
        <v>495</v>
      </c>
      <c r="E131" s="3" t="s">
        <v>496</v>
      </c>
      <c r="F131" s="3" t="s">
        <v>337</v>
      </c>
      <c r="G131" s="3" t="s">
        <v>260</v>
      </c>
      <c r="H131" s="3" t="s">
        <v>255</v>
      </c>
      <c r="I131" s="3" t="s">
        <v>445</v>
      </c>
      <c r="J131" s="3" t="s">
        <v>21</v>
      </c>
      <c r="K131" s="2">
        <v>48</v>
      </c>
      <c r="L131" s="1">
        <v>40621</v>
      </c>
      <c r="M131" s="1">
        <v>1949808</v>
      </c>
      <c r="N131" s="1">
        <v>10</v>
      </c>
      <c r="O131" s="1">
        <v>194980.8</v>
      </c>
    </row>
    <row r="132" spans="1:15">
      <c r="A132" s="6">
        <v>2025</v>
      </c>
      <c r="B132" s="7">
        <v>11</v>
      </c>
      <c r="C132" s="8">
        <v>45964</v>
      </c>
      <c r="D132" s="3" t="s">
        <v>497</v>
      </c>
      <c r="E132" s="3" t="s">
        <v>489</v>
      </c>
      <c r="F132" s="3" t="s">
        <v>464</v>
      </c>
      <c r="G132" s="3" t="s">
        <v>260</v>
      </c>
      <c r="H132" s="3" t="s">
        <v>255</v>
      </c>
      <c r="I132" s="3" t="s">
        <v>498</v>
      </c>
      <c r="J132" s="3" t="s">
        <v>466</v>
      </c>
      <c r="K132" s="2">
        <v>10</v>
      </c>
      <c r="L132" s="1">
        <v>120000</v>
      </c>
      <c r="M132" s="1">
        <v>1200000</v>
      </c>
      <c r="N132" s="1">
        <v>10</v>
      </c>
      <c r="O132" s="1">
        <v>120000</v>
      </c>
    </row>
    <row r="133" spans="1:15">
      <c r="A133" s="6">
        <v>2025</v>
      </c>
      <c r="B133" s="7">
        <v>11</v>
      </c>
      <c r="C133" s="8">
        <v>45964</v>
      </c>
      <c r="D133" s="3" t="s">
        <v>499</v>
      </c>
      <c r="E133" s="3" t="s">
        <v>280</v>
      </c>
      <c r="F133" s="3" t="s">
        <v>281</v>
      </c>
      <c r="G133" s="3" t="s">
        <v>273</v>
      </c>
      <c r="H133" s="3" t="s">
        <v>255</v>
      </c>
      <c r="I133" s="3" t="s">
        <v>320</v>
      </c>
      <c r="J133" s="3" t="s">
        <v>21</v>
      </c>
      <c r="K133" s="2">
        <v>200</v>
      </c>
      <c r="L133" s="1">
        <v>40621</v>
      </c>
      <c r="M133" s="1">
        <v>8124200</v>
      </c>
      <c r="N133" s="1">
        <v>8</v>
      </c>
      <c r="O133" s="1">
        <v>649936</v>
      </c>
    </row>
    <row r="134" spans="1:15">
      <c r="A134" s="6">
        <v>2025</v>
      </c>
      <c r="B134" s="7">
        <v>11</v>
      </c>
      <c r="C134" s="8">
        <v>45965</v>
      </c>
      <c r="D134" s="3" t="s">
        <v>500</v>
      </c>
      <c r="E134" s="3" t="s">
        <v>501</v>
      </c>
      <c r="F134" s="3" t="s">
        <v>502</v>
      </c>
      <c r="G134" s="3" t="s">
        <v>260</v>
      </c>
      <c r="H134" s="3" t="s">
        <v>255</v>
      </c>
      <c r="I134" s="3" t="s">
        <v>503</v>
      </c>
      <c r="J134" s="3" t="s">
        <v>38</v>
      </c>
      <c r="K134" s="2">
        <v>10</v>
      </c>
      <c r="L134" s="1">
        <v>65000</v>
      </c>
      <c r="M134" s="1">
        <v>650000</v>
      </c>
      <c r="N134" s="1">
        <v>11</v>
      </c>
      <c r="O134" s="1">
        <v>71500</v>
      </c>
    </row>
    <row r="135" spans="1:15">
      <c r="A135" s="6">
        <v>2025</v>
      </c>
      <c r="B135" s="7">
        <v>11</v>
      </c>
      <c r="C135" s="8">
        <v>45965</v>
      </c>
      <c r="D135" s="3" t="s">
        <v>504</v>
      </c>
      <c r="E135" s="3" t="s">
        <v>332</v>
      </c>
      <c r="F135" s="3" t="s">
        <v>333</v>
      </c>
      <c r="G135" s="3" t="s">
        <v>260</v>
      </c>
      <c r="H135" s="3" t="s">
        <v>255</v>
      </c>
      <c r="I135" s="3" t="s">
        <v>117</v>
      </c>
      <c r="J135" s="3" t="s">
        <v>21</v>
      </c>
      <c r="K135" s="2">
        <v>48</v>
      </c>
      <c r="L135" s="1">
        <v>40621</v>
      </c>
      <c r="M135" s="1">
        <v>1949808</v>
      </c>
      <c r="N135" s="1">
        <v>8</v>
      </c>
      <c r="O135" s="1">
        <v>155984.64000000001</v>
      </c>
    </row>
    <row r="136" spans="1:15">
      <c r="A136" s="6">
        <v>2025</v>
      </c>
      <c r="B136" s="7">
        <v>11</v>
      </c>
      <c r="C136" s="8">
        <v>45966</v>
      </c>
      <c r="D136" s="3" t="s">
        <v>505</v>
      </c>
      <c r="E136" s="3" t="s">
        <v>414</v>
      </c>
      <c r="F136" s="3" t="s">
        <v>305</v>
      </c>
      <c r="G136" s="3" t="s">
        <v>306</v>
      </c>
      <c r="H136" s="3" t="s">
        <v>255</v>
      </c>
      <c r="I136" s="3" t="s">
        <v>456</v>
      </c>
      <c r="J136" s="3" t="s">
        <v>21</v>
      </c>
      <c r="K136" s="2">
        <v>30</v>
      </c>
      <c r="L136" s="1">
        <v>40621</v>
      </c>
      <c r="M136" s="1">
        <v>1218630</v>
      </c>
      <c r="N136" s="1">
        <v>8</v>
      </c>
      <c r="O136" s="1">
        <v>97490.4</v>
      </c>
    </row>
    <row r="137" spans="1:15">
      <c r="A137" s="6">
        <v>2025</v>
      </c>
      <c r="B137" s="7">
        <v>11</v>
      </c>
      <c r="C137" s="8">
        <v>45967</v>
      </c>
      <c r="D137" s="3" t="s">
        <v>506</v>
      </c>
      <c r="E137" s="3" t="s">
        <v>336</v>
      </c>
      <c r="F137" s="3" t="s">
        <v>337</v>
      </c>
      <c r="G137" s="3" t="s">
        <v>260</v>
      </c>
      <c r="H137" s="3" t="s">
        <v>255</v>
      </c>
      <c r="I137" s="3" t="s">
        <v>346</v>
      </c>
      <c r="J137" s="3" t="s">
        <v>21</v>
      </c>
      <c r="K137" s="2">
        <v>20</v>
      </c>
      <c r="L137" s="1">
        <v>40621</v>
      </c>
      <c r="M137" s="1">
        <v>812420</v>
      </c>
      <c r="N137" s="1">
        <v>12</v>
      </c>
      <c r="O137" s="1">
        <v>97490.4</v>
      </c>
    </row>
    <row r="138" spans="1:15">
      <c r="A138" s="6">
        <v>2025</v>
      </c>
      <c r="B138" s="7">
        <v>11</v>
      </c>
      <c r="C138" s="8">
        <v>45968</v>
      </c>
      <c r="D138" s="3" t="s">
        <v>507</v>
      </c>
      <c r="E138" s="3" t="s">
        <v>501</v>
      </c>
      <c r="F138" s="3" t="s">
        <v>502</v>
      </c>
      <c r="G138" s="3" t="s">
        <v>260</v>
      </c>
      <c r="H138" s="3" t="s">
        <v>255</v>
      </c>
      <c r="I138" s="3" t="s">
        <v>508</v>
      </c>
      <c r="J138" s="3" t="s">
        <v>38</v>
      </c>
      <c r="K138" s="2">
        <v>20</v>
      </c>
      <c r="L138" s="1">
        <v>65000</v>
      </c>
      <c r="M138" s="1">
        <v>1300000</v>
      </c>
      <c r="N138" s="1">
        <v>8</v>
      </c>
      <c r="O138" s="1">
        <v>104000</v>
      </c>
    </row>
    <row r="139" spans="1:15">
      <c r="A139" s="6">
        <v>2025</v>
      </c>
      <c r="B139" s="7">
        <v>11</v>
      </c>
      <c r="C139" s="8">
        <v>45968</v>
      </c>
      <c r="D139" s="3" t="s">
        <v>509</v>
      </c>
      <c r="E139" s="3" t="s">
        <v>489</v>
      </c>
      <c r="F139" s="3" t="s">
        <v>464</v>
      </c>
      <c r="G139" s="3" t="s">
        <v>260</v>
      </c>
      <c r="H139" s="3" t="s">
        <v>255</v>
      </c>
      <c r="I139" s="3" t="s">
        <v>479</v>
      </c>
      <c r="J139" s="3" t="s">
        <v>466</v>
      </c>
      <c r="K139" s="2">
        <v>50</v>
      </c>
      <c r="L139" s="1">
        <v>120000</v>
      </c>
      <c r="M139" s="1">
        <v>6000000</v>
      </c>
      <c r="N139" s="1">
        <v>8</v>
      </c>
      <c r="O139" s="1">
        <v>480000</v>
      </c>
    </row>
    <row r="140" spans="1:15">
      <c r="A140" s="6">
        <v>2025</v>
      </c>
      <c r="B140" s="7">
        <v>11</v>
      </c>
      <c r="C140" s="8">
        <v>45971</v>
      </c>
      <c r="D140" s="3" t="s">
        <v>510</v>
      </c>
      <c r="E140" s="3" t="s">
        <v>496</v>
      </c>
      <c r="F140" s="3" t="s">
        <v>337</v>
      </c>
      <c r="G140" s="3" t="s">
        <v>260</v>
      </c>
      <c r="H140" s="3" t="s">
        <v>255</v>
      </c>
      <c r="I140" s="3" t="s">
        <v>340</v>
      </c>
      <c r="J140" s="3" t="s">
        <v>21</v>
      </c>
      <c r="K140" s="2">
        <v>50</v>
      </c>
      <c r="L140" s="1">
        <v>40621</v>
      </c>
      <c r="M140" s="1">
        <v>2031050</v>
      </c>
      <c r="N140" s="1">
        <v>10</v>
      </c>
      <c r="O140" s="1">
        <v>203105</v>
      </c>
    </row>
    <row r="141" spans="1:15">
      <c r="A141" s="6">
        <v>2025</v>
      </c>
      <c r="B141" s="7">
        <v>11</v>
      </c>
      <c r="C141" s="8">
        <v>45972</v>
      </c>
      <c r="D141" s="3" t="s">
        <v>511</v>
      </c>
      <c r="E141" s="3" t="s">
        <v>332</v>
      </c>
      <c r="F141" s="3" t="s">
        <v>333</v>
      </c>
      <c r="G141" s="3" t="s">
        <v>260</v>
      </c>
      <c r="H141" s="3" t="s">
        <v>255</v>
      </c>
      <c r="I141" s="3" t="s">
        <v>361</v>
      </c>
      <c r="J141" s="3" t="s">
        <v>21</v>
      </c>
      <c r="K141" s="2">
        <v>48</v>
      </c>
      <c r="L141" s="1">
        <v>40621</v>
      </c>
      <c r="M141" s="1">
        <v>1949808</v>
      </c>
      <c r="N141" s="1">
        <v>8</v>
      </c>
      <c r="O141" s="1">
        <v>155984.64000000001</v>
      </c>
    </row>
    <row r="142" spans="1:15">
      <c r="A142" s="6">
        <v>2025</v>
      </c>
      <c r="B142" s="7">
        <v>11</v>
      </c>
      <c r="C142" s="8">
        <v>45972</v>
      </c>
      <c r="D142" s="3" t="s">
        <v>512</v>
      </c>
      <c r="E142" s="3" t="s">
        <v>284</v>
      </c>
      <c r="F142" s="3" t="s">
        <v>281</v>
      </c>
      <c r="G142" s="3" t="s">
        <v>273</v>
      </c>
      <c r="H142" s="3" t="s">
        <v>255</v>
      </c>
      <c r="I142" s="3" t="s">
        <v>443</v>
      </c>
      <c r="J142" s="3" t="s">
        <v>21</v>
      </c>
      <c r="K142" s="2">
        <v>50</v>
      </c>
      <c r="L142" s="1">
        <v>40621</v>
      </c>
      <c r="M142" s="1">
        <v>2031050</v>
      </c>
      <c r="N142" s="1">
        <v>10</v>
      </c>
      <c r="O142" s="1">
        <v>203105</v>
      </c>
    </row>
    <row r="143" spans="1:15">
      <c r="A143" s="6">
        <v>2025</v>
      </c>
      <c r="B143" s="7">
        <v>11</v>
      </c>
      <c r="C143" s="8">
        <v>45972</v>
      </c>
      <c r="D143" s="3" t="s">
        <v>513</v>
      </c>
      <c r="E143" s="3" t="s">
        <v>265</v>
      </c>
      <c r="F143" s="3" t="s">
        <v>266</v>
      </c>
      <c r="G143" s="3" t="s">
        <v>18</v>
      </c>
      <c r="H143" s="3" t="s">
        <v>255</v>
      </c>
      <c r="I143" s="3" t="s">
        <v>514</v>
      </c>
      <c r="J143" s="3" t="s">
        <v>21</v>
      </c>
      <c r="K143" s="2">
        <v>10</v>
      </c>
      <c r="L143" s="1">
        <v>40621</v>
      </c>
      <c r="M143" s="1">
        <v>406210</v>
      </c>
      <c r="N143" s="1">
        <v>15</v>
      </c>
      <c r="O143" s="1">
        <v>60931.5</v>
      </c>
    </row>
    <row r="144" spans="1:15">
      <c r="A144" s="6">
        <v>2025</v>
      </c>
      <c r="B144" s="7">
        <v>11</v>
      </c>
      <c r="C144" s="8">
        <v>45972</v>
      </c>
      <c r="D144" s="3" t="s">
        <v>515</v>
      </c>
      <c r="E144" s="3" t="s">
        <v>463</v>
      </c>
      <c r="F144" s="3" t="s">
        <v>464</v>
      </c>
      <c r="G144" s="3" t="s">
        <v>260</v>
      </c>
      <c r="H144" s="3" t="s">
        <v>255</v>
      </c>
      <c r="I144" s="3" t="s">
        <v>516</v>
      </c>
      <c r="J144" s="3" t="s">
        <v>466</v>
      </c>
      <c r="K144" s="2">
        <v>10</v>
      </c>
      <c r="L144" s="1">
        <v>120000</v>
      </c>
      <c r="M144" s="1">
        <v>1200000</v>
      </c>
      <c r="N144" s="1">
        <v>8</v>
      </c>
      <c r="O144" s="1">
        <v>96000</v>
      </c>
    </row>
    <row r="145" spans="1:15">
      <c r="A145" s="6">
        <v>2025</v>
      </c>
      <c r="B145" s="7">
        <v>11</v>
      </c>
      <c r="C145" s="8">
        <v>45972</v>
      </c>
      <c r="D145" s="3" t="s">
        <v>517</v>
      </c>
      <c r="E145" s="3" t="s">
        <v>501</v>
      </c>
      <c r="F145" s="3" t="s">
        <v>502</v>
      </c>
      <c r="G145" s="3" t="s">
        <v>260</v>
      </c>
      <c r="H145" s="3" t="s">
        <v>255</v>
      </c>
      <c r="I145" s="3" t="s">
        <v>518</v>
      </c>
      <c r="J145" s="3" t="s">
        <v>38</v>
      </c>
      <c r="K145" s="2">
        <v>20</v>
      </c>
      <c r="L145" s="1">
        <v>65000</v>
      </c>
      <c r="M145" s="1">
        <v>1300000</v>
      </c>
      <c r="N145" s="1">
        <v>11</v>
      </c>
      <c r="O145" s="1">
        <v>143000</v>
      </c>
    </row>
    <row r="146" spans="1:15">
      <c r="A146" s="6">
        <v>2025</v>
      </c>
      <c r="B146" s="7">
        <v>11</v>
      </c>
      <c r="C146" s="8">
        <v>45972</v>
      </c>
      <c r="D146" s="3" t="s">
        <v>519</v>
      </c>
      <c r="E146" s="3" t="s">
        <v>501</v>
      </c>
      <c r="F146" s="3" t="s">
        <v>502</v>
      </c>
      <c r="G146" s="3" t="s">
        <v>260</v>
      </c>
      <c r="H146" s="3" t="s">
        <v>255</v>
      </c>
      <c r="I146" s="3" t="s">
        <v>520</v>
      </c>
      <c r="J146" s="3" t="s">
        <v>38</v>
      </c>
      <c r="K146" s="2">
        <v>10</v>
      </c>
      <c r="L146" s="1">
        <v>65000</v>
      </c>
      <c r="M146" s="1">
        <v>650000</v>
      </c>
      <c r="N146" s="1">
        <v>8</v>
      </c>
      <c r="O146" s="1">
        <v>52000</v>
      </c>
    </row>
    <row r="147" spans="1:15">
      <c r="A147" s="6">
        <v>2025</v>
      </c>
      <c r="B147" s="7">
        <v>11</v>
      </c>
      <c r="C147" s="8">
        <v>45972</v>
      </c>
      <c r="D147" s="3" t="s">
        <v>521</v>
      </c>
      <c r="E147" s="3" t="s">
        <v>501</v>
      </c>
      <c r="F147" s="3" t="s">
        <v>502</v>
      </c>
      <c r="G147" s="3" t="s">
        <v>260</v>
      </c>
      <c r="H147" s="3" t="s">
        <v>255</v>
      </c>
      <c r="I147" s="3" t="s">
        <v>522</v>
      </c>
      <c r="J147" s="3" t="s">
        <v>38</v>
      </c>
      <c r="K147" s="2">
        <v>20</v>
      </c>
      <c r="L147" s="1">
        <v>65000</v>
      </c>
      <c r="M147" s="1">
        <v>1300000</v>
      </c>
      <c r="N147" s="1">
        <v>8</v>
      </c>
      <c r="O147" s="1">
        <v>104000</v>
      </c>
    </row>
    <row r="148" spans="1:15">
      <c r="A148" s="6">
        <v>2025</v>
      </c>
      <c r="B148" s="7">
        <v>11</v>
      </c>
      <c r="C148" s="8">
        <v>45973</v>
      </c>
      <c r="D148" s="3" t="s">
        <v>523</v>
      </c>
      <c r="E148" s="3" t="s">
        <v>284</v>
      </c>
      <c r="F148" s="3" t="s">
        <v>281</v>
      </c>
      <c r="G148" s="3" t="s">
        <v>273</v>
      </c>
      <c r="H148" s="3" t="s">
        <v>255</v>
      </c>
      <c r="I148" s="3" t="s">
        <v>371</v>
      </c>
      <c r="J148" s="3" t="s">
        <v>21</v>
      </c>
      <c r="K148" s="2">
        <v>50</v>
      </c>
      <c r="L148" s="1">
        <v>40621</v>
      </c>
      <c r="M148" s="1">
        <v>2031050</v>
      </c>
      <c r="N148" s="1">
        <v>10</v>
      </c>
      <c r="O148" s="1">
        <v>203105</v>
      </c>
    </row>
    <row r="149" spans="1:15">
      <c r="A149" s="6">
        <v>2025</v>
      </c>
      <c r="B149" s="7">
        <v>11</v>
      </c>
      <c r="C149" s="8">
        <v>45973</v>
      </c>
      <c r="D149" s="3" t="s">
        <v>524</v>
      </c>
      <c r="E149" s="3" t="s">
        <v>332</v>
      </c>
      <c r="F149" s="3" t="s">
        <v>333</v>
      </c>
      <c r="G149" s="3" t="s">
        <v>260</v>
      </c>
      <c r="H149" s="3" t="s">
        <v>255</v>
      </c>
      <c r="I149" s="3" t="s">
        <v>439</v>
      </c>
      <c r="J149" s="3" t="s">
        <v>21</v>
      </c>
      <c r="K149" s="2">
        <v>30</v>
      </c>
      <c r="L149" s="1">
        <v>40621</v>
      </c>
      <c r="M149" s="1">
        <v>1218630</v>
      </c>
      <c r="N149" s="1">
        <v>8</v>
      </c>
      <c r="O149" s="1">
        <v>97490.4</v>
      </c>
    </row>
    <row r="150" spans="1:15">
      <c r="A150" s="6">
        <v>2025</v>
      </c>
      <c r="B150" s="7">
        <v>11</v>
      </c>
      <c r="C150" s="8">
        <v>45974</v>
      </c>
      <c r="D150" s="3" t="s">
        <v>525</v>
      </c>
      <c r="E150" s="3" t="s">
        <v>332</v>
      </c>
      <c r="F150" s="3" t="s">
        <v>333</v>
      </c>
      <c r="G150" s="3" t="s">
        <v>260</v>
      </c>
      <c r="H150" s="3" t="s">
        <v>255</v>
      </c>
      <c r="I150" s="3" t="s">
        <v>526</v>
      </c>
      <c r="J150" s="3" t="s">
        <v>21</v>
      </c>
      <c r="K150" s="2">
        <v>39</v>
      </c>
      <c r="L150" s="1">
        <v>40621</v>
      </c>
      <c r="M150" s="1">
        <v>1584219</v>
      </c>
      <c r="N150" s="1">
        <v>8</v>
      </c>
      <c r="O150" s="1">
        <v>126737.52</v>
      </c>
    </row>
    <row r="151" spans="1:15">
      <c r="A151" s="6">
        <v>2025</v>
      </c>
      <c r="B151" s="7">
        <v>11</v>
      </c>
      <c r="C151" s="8">
        <v>45974</v>
      </c>
      <c r="D151" s="3" t="s">
        <v>527</v>
      </c>
      <c r="E151" s="3" t="s">
        <v>336</v>
      </c>
      <c r="F151" s="3" t="s">
        <v>337</v>
      </c>
      <c r="G151" s="3" t="s">
        <v>260</v>
      </c>
      <c r="H151" s="3" t="s">
        <v>255</v>
      </c>
      <c r="I151" s="3" t="s">
        <v>445</v>
      </c>
      <c r="J151" s="3" t="s">
        <v>21</v>
      </c>
      <c r="K151" s="2">
        <v>70</v>
      </c>
      <c r="L151" s="1">
        <v>40621</v>
      </c>
      <c r="M151" s="1">
        <v>2843470</v>
      </c>
      <c r="N151" s="1">
        <v>10</v>
      </c>
      <c r="O151" s="1">
        <v>284347</v>
      </c>
    </row>
    <row r="152" spans="1:15">
      <c r="A152" s="6">
        <v>2025</v>
      </c>
      <c r="B152" s="7">
        <v>11</v>
      </c>
      <c r="C152" s="8">
        <v>45975</v>
      </c>
      <c r="D152" s="3" t="s">
        <v>528</v>
      </c>
      <c r="E152" s="3" t="s">
        <v>489</v>
      </c>
      <c r="F152" s="3" t="s">
        <v>464</v>
      </c>
      <c r="G152" s="3" t="s">
        <v>260</v>
      </c>
      <c r="H152" s="3" t="s">
        <v>255</v>
      </c>
      <c r="I152" s="3" t="s">
        <v>529</v>
      </c>
      <c r="J152" s="3" t="s">
        <v>466</v>
      </c>
      <c r="K152" s="2">
        <v>20</v>
      </c>
      <c r="L152" s="1">
        <v>120000</v>
      </c>
      <c r="M152" s="1">
        <v>2400000</v>
      </c>
      <c r="N152" s="1">
        <v>12</v>
      </c>
      <c r="O152" s="1">
        <v>288000</v>
      </c>
    </row>
    <row r="153" spans="1:15">
      <c r="A153" s="6">
        <v>2025</v>
      </c>
      <c r="B153" s="7">
        <v>11</v>
      </c>
      <c r="C153" s="8">
        <v>45975</v>
      </c>
      <c r="D153" s="3" t="s">
        <v>530</v>
      </c>
      <c r="E153" s="3" t="s">
        <v>284</v>
      </c>
      <c r="F153" s="3" t="s">
        <v>281</v>
      </c>
      <c r="G153" s="3" t="s">
        <v>273</v>
      </c>
      <c r="H153" s="3" t="s">
        <v>255</v>
      </c>
      <c r="I153" s="3" t="s">
        <v>531</v>
      </c>
      <c r="J153" s="3" t="s">
        <v>21</v>
      </c>
      <c r="K153" s="2">
        <v>100</v>
      </c>
      <c r="L153" s="1">
        <v>40621</v>
      </c>
      <c r="M153" s="1">
        <v>4062100</v>
      </c>
      <c r="N153" s="1">
        <v>13</v>
      </c>
      <c r="O153" s="1">
        <v>528073</v>
      </c>
    </row>
    <row r="154" spans="1:15">
      <c r="A154" s="6">
        <v>2025</v>
      </c>
      <c r="B154" s="7">
        <v>11</v>
      </c>
      <c r="C154" s="8">
        <v>45975</v>
      </c>
      <c r="D154" s="3" t="s">
        <v>532</v>
      </c>
      <c r="E154" s="3" t="s">
        <v>332</v>
      </c>
      <c r="F154" s="3" t="s">
        <v>333</v>
      </c>
      <c r="G154" s="3" t="s">
        <v>260</v>
      </c>
      <c r="H154" s="3" t="s">
        <v>255</v>
      </c>
      <c r="I154" s="3" t="s">
        <v>469</v>
      </c>
      <c r="J154" s="3" t="s">
        <v>21</v>
      </c>
      <c r="K154" s="2">
        <v>20</v>
      </c>
      <c r="L154" s="1">
        <v>40621</v>
      </c>
      <c r="M154" s="1">
        <v>812420</v>
      </c>
      <c r="N154" s="1">
        <v>10</v>
      </c>
      <c r="O154" s="1">
        <v>81242</v>
      </c>
    </row>
    <row r="155" spans="1:15">
      <c r="A155" s="6">
        <v>2025</v>
      </c>
      <c r="B155" s="7">
        <v>11</v>
      </c>
      <c r="C155" s="8">
        <v>45975</v>
      </c>
      <c r="D155" s="3" t="s">
        <v>533</v>
      </c>
      <c r="E155" s="3" t="s">
        <v>475</v>
      </c>
      <c r="F155" s="3" t="s">
        <v>476</v>
      </c>
      <c r="G155" s="3" t="s">
        <v>260</v>
      </c>
      <c r="H155" s="3" t="s">
        <v>255</v>
      </c>
      <c r="I155" s="3" t="s">
        <v>534</v>
      </c>
      <c r="J155" s="3" t="s">
        <v>466</v>
      </c>
      <c r="K155" s="2">
        <v>3</v>
      </c>
      <c r="L155" s="1">
        <v>120000</v>
      </c>
      <c r="M155" s="1">
        <v>360000</v>
      </c>
      <c r="N155" s="1">
        <v>13</v>
      </c>
      <c r="O155" s="1">
        <v>46800</v>
      </c>
    </row>
    <row r="156" spans="1:15">
      <c r="A156" s="6">
        <v>2025</v>
      </c>
      <c r="B156" s="7">
        <v>11</v>
      </c>
      <c r="C156" s="8">
        <v>45978</v>
      </c>
      <c r="D156" s="3" t="s">
        <v>535</v>
      </c>
      <c r="E156" s="3" t="s">
        <v>332</v>
      </c>
      <c r="F156" s="3" t="s">
        <v>333</v>
      </c>
      <c r="G156" s="3" t="s">
        <v>260</v>
      </c>
      <c r="H156" s="3" t="s">
        <v>255</v>
      </c>
      <c r="I156" s="3" t="s">
        <v>536</v>
      </c>
      <c r="J156" s="3" t="s">
        <v>21</v>
      </c>
      <c r="K156" s="2">
        <v>33</v>
      </c>
      <c r="L156" s="1">
        <v>40621</v>
      </c>
      <c r="M156" s="1">
        <v>1340493</v>
      </c>
      <c r="N156" s="1">
        <v>13</v>
      </c>
      <c r="O156" s="1">
        <v>174264.09</v>
      </c>
    </row>
    <row r="157" spans="1:15">
      <c r="A157" s="6">
        <v>2025</v>
      </c>
      <c r="B157" s="7">
        <v>11</v>
      </c>
      <c r="C157" s="8">
        <v>45978</v>
      </c>
      <c r="D157" s="3" t="s">
        <v>537</v>
      </c>
      <c r="E157" s="3" t="s">
        <v>496</v>
      </c>
      <c r="F157" s="3" t="s">
        <v>337</v>
      </c>
      <c r="G157" s="3" t="s">
        <v>260</v>
      </c>
      <c r="H157" s="3" t="s">
        <v>255</v>
      </c>
      <c r="I157" s="3" t="s">
        <v>538</v>
      </c>
      <c r="J157" s="3" t="s">
        <v>21</v>
      </c>
      <c r="K157" s="2">
        <v>60</v>
      </c>
      <c r="L157" s="1">
        <v>40621</v>
      </c>
      <c r="M157" s="1">
        <v>2437260</v>
      </c>
      <c r="N157" s="1">
        <v>8</v>
      </c>
      <c r="O157" s="1">
        <v>194980.8</v>
      </c>
    </row>
    <row r="158" spans="1:15">
      <c r="A158" s="6">
        <v>2025</v>
      </c>
      <c r="B158" s="7">
        <v>11</v>
      </c>
      <c r="C158" s="8">
        <v>45978</v>
      </c>
      <c r="D158" s="3" t="s">
        <v>539</v>
      </c>
      <c r="E158" s="3" t="s">
        <v>336</v>
      </c>
      <c r="F158" s="3" t="s">
        <v>337</v>
      </c>
      <c r="G158" s="3" t="s">
        <v>260</v>
      </c>
      <c r="H158" s="3" t="s">
        <v>255</v>
      </c>
      <c r="I158" s="3" t="s">
        <v>344</v>
      </c>
      <c r="J158" s="3" t="s">
        <v>21</v>
      </c>
      <c r="K158" s="2">
        <v>10</v>
      </c>
      <c r="L158" s="1">
        <v>40621</v>
      </c>
      <c r="M158" s="1">
        <v>406210</v>
      </c>
      <c r="N158" s="1">
        <v>10</v>
      </c>
      <c r="O158" s="1">
        <v>40621</v>
      </c>
    </row>
    <row r="159" spans="1:15">
      <c r="A159" s="6">
        <v>2025</v>
      </c>
      <c r="B159" s="7">
        <v>11</v>
      </c>
      <c r="C159" s="8">
        <v>45978</v>
      </c>
      <c r="D159" s="3" t="s">
        <v>540</v>
      </c>
      <c r="E159" s="3" t="s">
        <v>541</v>
      </c>
      <c r="F159" s="3" t="s">
        <v>281</v>
      </c>
      <c r="G159" s="3" t="s">
        <v>273</v>
      </c>
      <c r="H159" s="3" t="s">
        <v>255</v>
      </c>
      <c r="I159" s="3" t="s">
        <v>327</v>
      </c>
      <c r="J159" s="3" t="s">
        <v>21</v>
      </c>
      <c r="K159" s="2">
        <v>30</v>
      </c>
      <c r="L159" s="1">
        <v>40621</v>
      </c>
      <c r="M159" s="1">
        <v>1218630</v>
      </c>
      <c r="N159" s="1">
        <v>13</v>
      </c>
      <c r="O159" s="1">
        <v>158421.9</v>
      </c>
    </row>
    <row r="160" spans="1:15">
      <c r="A160" s="6">
        <v>2025</v>
      </c>
      <c r="B160" s="7">
        <v>11</v>
      </c>
      <c r="C160" s="8">
        <v>45978</v>
      </c>
      <c r="D160" s="3" t="s">
        <v>542</v>
      </c>
      <c r="E160" s="3" t="s">
        <v>336</v>
      </c>
      <c r="F160" s="3" t="s">
        <v>337</v>
      </c>
      <c r="G160" s="3" t="s">
        <v>260</v>
      </c>
      <c r="H160" s="3" t="s">
        <v>255</v>
      </c>
      <c r="I160" s="3" t="s">
        <v>437</v>
      </c>
      <c r="J160" s="3" t="s">
        <v>21</v>
      </c>
      <c r="K160" s="2">
        <v>10</v>
      </c>
      <c r="L160" s="1">
        <v>40621</v>
      </c>
      <c r="M160" s="1">
        <v>406210</v>
      </c>
      <c r="N160" s="1">
        <v>10</v>
      </c>
      <c r="O160" s="1">
        <v>40621</v>
      </c>
    </row>
    <row r="161" spans="1:15">
      <c r="A161" s="6">
        <v>2025</v>
      </c>
      <c r="B161" s="7">
        <v>11</v>
      </c>
      <c r="C161" s="8">
        <v>45978</v>
      </c>
      <c r="D161" s="3" t="s">
        <v>543</v>
      </c>
      <c r="E161" s="3" t="s">
        <v>298</v>
      </c>
      <c r="F161" s="3" t="s">
        <v>253</v>
      </c>
      <c r="G161" s="3" t="s">
        <v>254</v>
      </c>
      <c r="H161" s="3" t="s">
        <v>255</v>
      </c>
      <c r="I161" s="3" t="s">
        <v>544</v>
      </c>
      <c r="J161" s="3" t="s">
        <v>21</v>
      </c>
      <c r="K161" s="2">
        <v>60</v>
      </c>
      <c r="L161" s="1">
        <v>40621</v>
      </c>
      <c r="M161" s="1">
        <v>2437260</v>
      </c>
      <c r="N161" s="1">
        <v>13</v>
      </c>
      <c r="O161" s="1">
        <v>316843.8</v>
      </c>
    </row>
    <row r="162" spans="1:15">
      <c r="A162" s="6">
        <v>2025</v>
      </c>
      <c r="B162" s="7">
        <v>11</v>
      </c>
      <c r="C162" s="8">
        <v>45979</v>
      </c>
      <c r="D162" s="3" t="s">
        <v>545</v>
      </c>
      <c r="E162" s="3" t="s">
        <v>541</v>
      </c>
      <c r="F162" s="3" t="s">
        <v>281</v>
      </c>
      <c r="G162" s="3" t="s">
        <v>273</v>
      </c>
      <c r="H162" s="3" t="s">
        <v>255</v>
      </c>
      <c r="I162" s="3" t="s">
        <v>317</v>
      </c>
      <c r="J162" s="3" t="s">
        <v>21</v>
      </c>
      <c r="K162" s="2">
        <v>50</v>
      </c>
      <c r="L162" s="1">
        <v>40621</v>
      </c>
      <c r="M162" s="1">
        <v>2031050</v>
      </c>
      <c r="N162" s="1">
        <v>13</v>
      </c>
      <c r="O162" s="1">
        <v>264036.5</v>
      </c>
    </row>
    <row r="163" spans="1:15">
      <c r="A163" s="6">
        <v>2025</v>
      </c>
      <c r="B163" s="7">
        <v>11</v>
      </c>
      <c r="C163" s="8">
        <v>45979</v>
      </c>
      <c r="D163" s="3" t="s">
        <v>546</v>
      </c>
      <c r="E163" s="3" t="s">
        <v>547</v>
      </c>
      <c r="F163" s="3" t="s">
        <v>464</v>
      </c>
      <c r="G163" s="3" t="s">
        <v>260</v>
      </c>
      <c r="H163" s="3" t="s">
        <v>255</v>
      </c>
      <c r="I163" s="3" t="s">
        <v>548</v>
      </c>
      <c r="J163" s="3" t="s">
        <v>466</v>
      </c>
      <c r="K163" s="2">
        <v>10</v>
      </c>
      <c r="L163" s="1">
        <v>120000</v>
      </c>
      <c r="M163" s="1">
        <v>1200000</v>
      </c>
      <c r="N163" s="1">
        <v>8</v>
      </c>
      <c r="O163" s="1">
        <v>96000</v>
      </c>
    </row>
    <row r="164" spans="1:15">
      <c r="A164" s="6">
        <v>2025</v>
      </c>
      <c r="B164" s="7">
        <v>11</v>
      </c>
      <c r="C164" s="8">
        <v>45979</v>
      </c>
      <c r="D164" s="3" t="s">
        <v>549</v>
      </c>
      <c r="E164" s="3" t="s">
        <v>332</v>
      </c>
      <c r="F164" s="3" t="s">
        <v>333</v>
      </c>
      <c r="G164" s="3" t="s">
        <v>260</v>
      </c>
      <c r="H164" s="3" t="s">
        <v>255</v>
      </c>
      <c r="I164" s="3" t="s">
        <v>117</v>
      </c>
      <c r="J164" s="3" t="s">
        <v>21</v>
      </c>
      <c r="K164" s="2">
        <v>120</v>
      </c>
      <c r="L164" s="1">
        <v>40621</v>
      </c>
      <c r="M164" s="1">
        <v>4874520</v>
      </c>
      <c r="N164" s="1">
        <v>8</v>
      </c>
      <c r="O164" s="1">
        <v>389961.6</v>
      </c>
    </row>
    <row r="165" spans="1:15">
      <c r="A165" s="6">
        <v>2025</v>
      </c>
      <c r="B165" s="7">
        <v>11</v>
      </c>
      <c r="C165" s="8">
        <v>45981</v>
      </c>
      <c r="D165" s="3" t="s">
        <v>550</v>
      </c>
      <c r="E165" s="3" t="s">
        <v>336</v>
      </c>
      <c r="F165" s="3" t="s">
        <v>337</v>
      </c>
      <c r="G165" s="3" t="s">
        <v>260</v>
      </c>
      <c r="H165" s="3" t="s">
        <v>255</v>
      </c>
      <c r="I165" s="3" t="s">
        <v>445</v>
      </c>
      <c r="J165" s="3" t="s">
        <v>21</v>
      </c>
      <c r="K165" s="2">
        <v>70</v>
      </c>
      <c r="L165" s="1">
        <v>40621</v>
      </c>
      <c r="M165" s="1">
        <v>2843470</v>
      </c>
      <c r="N165" s="1">
        <v>10</v>
      </c>
      <c r="O165" s="1">
        <v>284347</v>
      </c>
    </row>
    <row r="166" spans="1:15">
      <c r="A166" s="6">
        <v>2025</v>
      </c>
      <c r="B166" s="7">
        <v>11</v>
      </c>
      <c r="C166" s="8">
        <v>45981</v>
      </c>
      <c r="D166" s="3" t="s">
        <v>551</v>
      </c>
      <c r="E166" s="3" t="s">
        <v>501</v>
      </c>
      <c r="F166" s="3" t="s">
        <v>502</v>
      </c>
      <c r="G166" s="3" t="s">
        <v>260</v>
      </c>
      <c r="H166" s="3" t="s">
        <v>255</v>
      </c>
      <c r="I166" s="3" t="s">
        <v>503</v>
      </c>
      <c r="J166" s="3" t="s">
        <v>38</v>
      </c>
      <c r="K166" s="2">
        <v>20</v>
      </c>
      <c r="L166" s="1">
        <v>65000</v>
      </c>
      <c r="M166" s="1">
        <v>1300000</v>
      </c>
      <c r="N166" s="1">
        <v>8</v>
      </c>
      <c r="O166" s="1">
        <v>104000</v>
      </c>
    </row>
    <row r="167" spans="1:15">
      <c r="A167" s="6">
        <v>2025</v>
      </c>
      <c r="B167" s="7">
        <v>11</v>
      </c>
      <c r="C167" s="8">
        <v>45981</v>
      </c>
      <c r="D167" s="3" t="s">
        <v>552</v>
      </c>
      <c r="E167" s="3" t="s">
        <v>553</v>
      </c>
      <c r="F167" s="3" t="s">
        <v>333</v>
      </c>
      <c r="G167" s="3" t="s">
        <v>260</v>
      </c>
      <c r="H167" s="3" t="s">
        <v>255</v>
      </c>
      <c r="I167" s="3" t="s">
        <v>554</v>
      </c>
      <c r="J167" s="3" t="s">
        <v>21</v>
      </c>
      <c r="K167" s="2">
        <v>30</v>
      </c>
      <c r="L167" s="1">
        <v>40621</v>
      </c>
      <c r="M167" s="1">
        <v>1218630</v>
      </c>
      <c r="N167" s="1">
        <v>13</v>
      </c>
      <c r="O167" s="1">
        <v>158421.9</v>
      </c>
    </row>
    <row r="168" spans="1:15">
      <c r="A168" s="6">
        <v>2025</v>
      </c>
      <c r="B168" s="7">
        <v>11</v>
      </c>
      <c r="C168" s="8">
        <v>45981</v>
      </c>
      <c r="D168" s="3" t="s">
        <v>555</v>
      </c>
      <c r="E168" s="3" t="s">
        <v>556</v>
      </c>
      <c r="F168" s="3" t="s">
        <v>305</v>
      </c>
      <c r="G168" s="3" t="s">
        <v>306</v>
      </c>
      <c r="H168" s="3" t="s">
        <v>255</v>
      </c>
      <c r="I168" s="3" t="s">
        <v>557</v>
      </c>
      <c r="J168" s="3" t="s">
        <v>21</v>
      </c>
      <c r="K168" s="2">
        <v>96</v>
      </c>
      <c r="L168" s="1">
        <v>40621</v>
      </c>
      <c r="M168" s="1">
        <v>3899616</v>
      </c>
      <c r="N168" s="1">
        <v>10</v>
      </c>
      <c r="O168" s="1">
        <v>389961.6</v>
      </c>
    </row>
    <row r="169" spans="1:15">
      <c r="A169" s="6">
        <v>2025</v>
      </c>
      <c r="B169" s="7">
        <v>11</v>
      </c>
      <c r="C169" s="8">
        <v>45981</v>
      </c>
      <c r="D169" s="3" t="s">
        <v>558</v>
      </c>
      <c r="E169" s="3" t="s">
        <v>541</v>
      </c>
      <c r="F169" s="3" t="s">
        <v>281</v>
      </c>
      <c r="G169" s="3" t="s">
        <v>273</v>
      </c>
      <c r="H169" s="3" t="s">
        <v>255</v>
      </c>
      <c r="I169" s="3" t="s">
        <v>559</v>
      </c>
      <c r="J169" s="3" t="s">
        <v>21</v>
      </c>
      <c r="K169" s="2">
        <v>50</v>
      </c>
      <c r="L169" s="1">
        <v>40621</v>
      </c>
      <c r="M169" s="1">
        <v>2031050</v>
      </c>
      <c r="N169" s="1">
        <v>10</v>
      </c>
      <c r="O169" s="1">
        <v>203105</v>
      </c>
    </row>
    <row r="170" spans="1:15">
      <c r="A170" s="6">
        <v>2025</v>
      </c>
      <c r="B170" s="7">
        <v>11</v>
      </c>
      <c r="C170" s="8">
        <v>45981</v>
      </c>
      <c r="D170" s="3" t="s">
        <v>560</v>
      </c>
      <c r="E170" s="3" t="s">
        <v>332</v>
      </c>
      <c r="F170" s="3" t="s">
        <v>333</v>
      </c>
      <c r="G170" s="3" t="s">
        <v>260</v>
      </c>
      <c r="H170" s="3" t="s">
        <v>255</v>
      </c>
      <c r="I170" s="3" t="s">
        <v>454</v>
      </c>
      <c r="J170" s="3" t="s">
        <v>21</v>
      </c>
      <c r="K170" s="2">
        <v>30</v>
      </c>
      <c r="L170" s="1">
        <v>40621</v>
      </c>
      <c r="M170" s="1">
        <v>1218630</v>
      </c>
      <c r="N170" s="1">
        <v>10</v>
      </c>
      <c r="O170" s="1">
        <v>121863</v>
      </c>
    </row>
    <row r="171" spans="1:15">
      <c r="A171" s="6">
        <v>2025</v>
      </c>
      <c r="B171" s="7">
        <v>11</v>
      </c>
      <c r="C171" s="8">
        <v>45981</v>
      </c>
      <c r="D171" s="3" t="s">
        <v>561</v>
      </c>
      <c r="E171" s="3" t="s">
        <v>332</v>
      </c>
      <c r="F171" s="3" t="s">
        <v>333</v>
      </c>
      <c r="G171" s="3" t="s">
        <v>260</v>
      </c>
      <c r="H171" s="3" t="s">
        <v>255</v>
      </c>
      <c r="I171" s="3" t="s">
        <v>439</v>
      </c>
      <c r="J171" s="3" t="s">
        <v>21</v>
      </c>
      <c r="K171" s="2">
        <v>30</v>
      </c>
      <c r="L171" s="1">
        <v>40621</v>
      </c>
      <c r="M171" s="1">
        <v>1218630</v>
      </c>
      <c r="N171" s="1">
        <v>8</v>
      </c>
      <c r="O171" s="1">
        <v>97490.4</v>
      </c>
    </row>
    <row r="172" spans="1:15">
      <c r="A172" s="6">
        <v>2025</v>
      </c>
      <c r="B172" s="7">
        <v>11</v>
      </c>
      <c r="C172" s="8">
        <v>45982</v>
      </c>
      <c r="D172" s="3" t="s">
        <v>562</v>
      </c>
      <c r="E172" s="3" t="s">
        <v>332</v>
      </c>
      <c r="F172" s="3" t="s">
        <v>333</v>
      </c>
      <c r="G172" s="3" t="s">
        <v>260</v>
      </c>
      <c r="H172" s="3" t="s">
        <v>255</v>
      </c>
      <c r="I172" s="3" t="s">
        <v>563</v>
      </c>
      <c r="J172" s="3" t="s">
        <v>21</v>
      </c>
      <c r="K172" s="2">
        <v>50</v>
      </c>
      <c r="L172" s="1">
        <v>40621</v>
      </c>
      <c r="M172" s="1">
        <v>2031050</v>
      </c>
      <c r="N172" s="1">
        <v>12</v>
      </c>
      <c r="O172" s="1">
        <v>243726</v>
      </c>
    </row>
    <row r="173" spans="1:15">
      <c r="A173" s="6">
        <v>2025</v>
      </c>
      <c r="B173" s="7">
        <v>11</v>
      </c>
      <c r="C173" s="8">
        <v>45985</v>
      </c>
      <c r="D173" s="3" t="s">
        <v>564</v>
      </c>
      <c r="E173" s="3" t="s">
        <v>332</v>
      </c>
      <c r="F173" s="3" t="s">
        <v>333</v>
      </c>
      <c r="G173" s="3" t="s">
        <v>260</v>
      </c>
      <c r="H173" s="3" t="s">
        <v>255</v>
      </c>
      <c r="I173" s="3" t="s">
        <v>565</v>
      </c>
      <c r="J173" s="3" t="s">
        <v>21</v>
      </c>
      <c r="K173" s="2">
        <v>10</v>
      </c>
      <c r="L173" s="1">
        <v>40621</v>
      </c>
      <c r="M173" s="1">
        <v>406210</v>
      </c>
      <c r="N173" s="1">
        <v>10</v>
      </c>
      <c r="O173" s="1">
        <v>40621</v>
      </c>
    </row>
    <row r="174" spans="1:15">
      <c r="A174" s="6">
        <v>2025</v>
      </c>
      <c r="B174" s="7">
        <v>11</v>
      </c>
      <c r="C174" s="8">
        <v>45985</v>
      </c>
      <c r="D174" s="3" t="s">
        <v>566</v>
      </c>
      <c r="E174" s="3" t="s">
        <v>336</v>
      </c>
      <c r="F174" s="3" t="s">
        <v>337</v>
      </c>
      <c r="G174" s="3" t="s">
        <v>260</v>
      </c>
      <c r="H174" s="3" t="s">
        <v>255</v>
      </c>
      <c r="I174" s="3" t="s">
        <v>424</v>
      </c>
      <c r="J174" s="3" t="s">
        <v>21</v>
      </c>
      <c r="K174" s="2">
        <v>50</v>
      </c>
      <c r="L174" s="1">
        <v>40621</v>
      </c>
      <c r="M174" s="1">
        <v>2031050</v>
      </c>
      <c r="N174" s="1">
        <v>13</v>
      </c>
      <c r="O174" s="1">
        <v>264036.5</v>
      </c>
    </row>
    <row r="175" spans="1:15">
      <c r="A175" s="6">
        <v>2025</v>
      </c>
      <c r="B175" s="7">
        <v>11</v>
      </c>
      <c r="C175" s="8">
        <v>45985</v>
      </c>
      <c r="D175" s="3" t="s">
        <v>567</v>
      </c>
      <c r="E175" s="3" t="s">
        <v>414</v>
      </c>
      <c r="F175" s="3" t="s">
        <v>305</v>
      </c>
      <c r="G175" s="3" t="s">
        <v>306</v>
      </c>
      <c r="H175" s="3" t="s">
        <v>255</v>
      </c>
      <c r="I175" s="3" t="s">
        <v>456</v>
      </c>
      <c r="J175" s="3" t="s">
        <v>21</v>
      </c>
      <c r="K175" s="2">
        <v>30</v>
      </c>
      <c r="L175" s="1">
        <v>40621</v>
      </c>
      <c r="M175" s="1">
        <v>1218630</v>
      </c>
      <c r="N175" s="1">
        <v>8</v>
      </c>
      <c r="O175" s="1">
        <v>97490.4</v>
      </c>
    </row>
    <row r="176" spans="1:15">
      <c r="A176" s="6">
        <v>2025</v>
      </c>
      <c r="B176" s="7">
        <v>11</v>
      </c>
      <c r="C176" s="8">
        <v>45985</v>
      </c>
      <c r="D176" s="3" t="s">
        <v>568</v>
      </c>
      <c r="E176" s="3" t="s">
        <v>336</v>
      </c>
      <c r="F176" s="3" t="s">
        <v>337</v>
      </c>
      <c r="G176" s="3" t="s">
        <v>260</v>
      </c>
      <c r="H176" s="3" t="s">
        <v>255</v>
      </c>
      <c r="I176" s="3" t="s">
        <v>340</v>
      </c>
      <c r="J176" s="3" t="s">
        <v>21</v>
      </c>
      <c r="K176" s="2">
        <v>50</v>
      </c>
      <c r="L176" s="1">
        <v>40621</v>
      </c>
      <c r="M176" s="1">
        <v>2031050</v>
      </c>
      <c r="N176" s="1">
        <v>10</v>
      </c>
      <c r="O176" s="1">
        <v>203105</v>
      </c>
    </row>
    <row r="177" spans="1:15">
      <c r="A177" s="6">
        <v>2025</v>
      </c>
      <c r="B177" s="7">
        <v>11</v>
      </c>
      <c r="C177" s="8">
        <v>45985</v>
      </c>
      <c r="D177" s="3" t="s">
        <v>569</v>
      </c>
      <c r="E177" s="3" t="s">
        <v>489</v>
      </c>
      <c r="F177" s="3" t="s">
        <v>464</v>
      </c>
      <c r="G177" s="3" t="s">
        <v>260</v>
      </c>
      <c r="H177" s="3" t="s">
        <v>255</v>
      </c>
      <c r="I177" s="3" t="s">
        <v>490</v>
      </c>
      <c r="J177" s="3" t="s">
        <v>466</v>
      </c>
      <c r="K177" s="2">
        <v>20</v>
      </c>
      <c r="L177" s="1">
        <v>120000</v>
      </c>
      <c r="M177" s="1">
        <v>2400000</v>
      </c>
      <c r="N177" s="1">
        <v>10</v>
      </c>
      <c r="O177" s="1">
        <v>240000</v>
      </c>
    </row>
    <row r="178" spans="1:15">
      <c r="A178" s="6">
        <v>2025</v>
      </c>
      <c r="B178" s="7">
        <v>11</v>
      </c>
      <c r="C178" s="8">
        <v>45985</v>
      </c>
      <c r="D178" s="3" t="s">
        <v>570</v>
      </c>
      <c r="E178" s="3" t="s">
        <v>496</v>
      </c>
      <c r="F178" s="3" t="s">
        <v>337</v>
      </c>
      <c r="G178" s="3" t="s">
        <v>260</v>
      </c>
      <c r="H178" s="3" t="s">
        <v>255</v>
      </c>
      <c r="I178" s="3" t="s">
        <v>571</v>
      </c>
      <c r="J178" s="3" t="s">
        <v>21</v>
      </c>
      <c r="K178" s="2">
        <v>16</v>
      </c>
      <c r="L178" s="1">
        <v>40621</v>
      </c>
      <c r="M178" s="1">
        <v>649936</v>
      </c>
      <c r="N178" s="1">
        <v>8</v>
      </c>
      <c r="O178" s="1">
        <v>51994.879999999997</v>
      </c>
    </row>
    <row r="179" spans="1:15">
      <c r="A179" s="6">
        <v>2025</v>
      </c>
      <c r="B179" s="7">
        <v>11</v>
      </c>
      <c r="C179" s="8">
        <v>45985</v>
      </c>
      <c r="D179" s="3" t="s">
        <v>570</v>
      </c>
      <c r="E179" s="3" t="s">
        <v>496</v>
      </c>
      <c r="F179" s="3" t="s">
        <v>337</v>
      </c>
      <c r="G179" s="3" t="s">
        <v>260</v>
      </c>
      <c r="H179" s="3" t="s">
        <v>255</v>
      </c>
      <c r="I179" s="3" t="s">
        <v>571</v>
      </c>
      <c r="J179" s="3" t="s">
        <v>21</v>
      </c>
      <c r="K179" s="2">
        <v>4</v>
      </c>
      <c r="L179" s="1">
        <v>36955.08</v>
      </c>
      <c r="M179" s="1">
        <v>147820.32</v>
      </c>
      <c r="N179" s="1">
        <v>8</v>
      </c>
      <c r="O179" s="1">
        <v>11825.63</v>
      </c>
    </row>
    <row r="180" spans="1:15">
      <c r="A180" s="6">
        <v>2025</v>
      </c>
      <c r="B180" s="7">
        <v>11</v>
      </c>
      <c r="C180" s="8">
        <v>45985</v>
      </c>
      <c r="D180" s="3" t="s">
        <v>572</v>
      </c>
      <c r="E180" s="3" t="s">
        <v>332</v>
      </c>
      <c r="F180" s="3" t="s">
        <v>333</v>
      </c>
      <c r="G180" s="3" t="s">
        <v>260</v>
      </c>
      <c r="H180" s="3" t="s">
        <v>255</v>
      </c>
      <c r="I180" s="3" t="s">
        <v>573</v>
      </c>
      <c r="J180" s="3" t="s">
        <v>21</v>
      </c>
      <c r="K180" s="2">
        <v>40</v>
      </c>
      <c r="L180" s="1">
        <v>40621</v>
      </c>
      <c r="M180" s="1">
        <v>1624840</v>
      </c>
      <c r="N180" s="1">
        <v>12</v>
      </c>
      <c r="O180" s="1">
        <v>194980.8</v>
      </c>
    </row>
    <row r="181" spans="1:15">
      <c r="A181" s="6">
        <v>2025</v>
      </c>
      <c r="B181" s="7">
        <v>11</v>
      </c>
      <c r="C181" s="8">
        <v>45986</v>
      </c>
      <c r="D181" s="3" t="s">
        <v>574</v>
      </c>
      <c r="E181" s="3" t="s">
        <v>575</v>
      </c>
      <c r="F181" s="3" t="s">
        <v>502</v>
      </c>
      <c r="G181" s="3" t="s">
        <v>260</v>
      </c>
      <c r="H181" s="3" t="s">
        <v>255</v>
      </c>
      <c r="I181" s="3" t="s">
        <v>576</v>
      </c>
      <c r="J181" s="3" t="s">
        <v>38</v>
      </c>
      <c r="K181" s="2">
        <v>50</v>
      </c>
      <c r="L181" s="1">
        <v>65000</v>
      </c>
      <c r="M181" s="1">
        <v>3250000</v>
      </c>
      <c r="N181" s="1">
        <v>9</v>
      </c>
      <c r="O181" s="1">
        <v>292500</v>
      </c>
    </row>
    <row r="182" spans="1:15">
      <c r="A182" s="6">
        <v>2025</v>
      </c>
      <c r="B182" s="7">
        <v>12</v>
      </c>
      <c r="C182" s="8">
        <v>45992</v>
      </c>
      <c r="D182" s="3" t="s">
        <v>577</v>
      </c>
      <c r="E182" s="3" t="s">
        <v>332</v>
      </c>
      <c r="F182" s="3" t="s">
        <v>333</v>
      </c>
      <c r="G182" s="3" t="s">
        <v>260</v>
      </c>
      <c r="H182" s="3" t="s">
        <v>255</v>
      </c>
      <c r="I182" s="3" t="s">
        <v>573</v>
      </c>
      <c r="J182" s="3" t="s">
        <v>21</v>
      </c>
      <c r="K182" s="2">
        <v>100</v>
      </c>
      <c r="L182" s="1">
        <v>40621</v>
      </c>
      <c r="M182" s="1">
        <v>4062100</v>
      </c>
      <c r="N182" s="1">
        <v>12</v>
      </c>
      <c r="O182" s="1">
        <v>487452</v>
      </c>
    </row>
    <row r="183" spans="1:15">
      <c r="A183" s="6">
        <v>2025</v>
      </c>
      <c r="B183" s="7">
        <v>12</v>
      </c>
      <c r="C183" s="8">
        <v>45992</v>
      </c>
      <c r="D183" s="3" t="s">
        <v>578</v>
      </c>
      <c r="E183" s="3" t="s">
        <v>332</v>
      </c>
      <c r="F183" s="3" t="s">
        <v>333</v>
      </c>
      <c r="G183" s="3" t="s">
        <v>260</v>
      </c>
      <c r="H183" s="3" t="s">
        <v>255</v>
      </c>
      <c r="I183" s="3" t="s">
        <v>554</v>
      </c>
      <c r="J183" s="3" t="s">
        <v>21</v>
      </c>
      <c r="K183" s="2">
        <v>20</v>
      </c>
      <c r="L183" s="1">
        <v>40621</v>
      </c>
      <c r="M183" s="1">
        <v>812420</v>
      </c>
      <c r="N183" s="1">
        <v>8</v>
      </c>
      <c r="O183" s="1">
        <v>64993.599999999999</v>
      </c>
    </row>
    <row r="184" spans="1:15">
      <c r="A184" s="6">
        <v>2025</v>
      </c>
      <c r="B184" s="7">
        <v>12</v>
      </c>
      <c r="C184" s="8">
        <v>45992</v>
      </c>
      <c r="D184" s="3" t="s">
        <v>579</v>
      </c>
      <c r="E184" s="3" t="s">
        <v>298</v>
      </c>
      <c r="F184" s="3" t="s">
        <v>253</v>
      </c>
      <c r="G184" s="3" t="s">
        <v>254</v>
      </c>
      <c r="H184" s="3" t="s">
        <v>255</v>
      </c>
      <c r="I184" s="3" t="s">
        <v>322</v>
      </c>
      <c r="J184" s="3" t="s">
        <v>21</v>
      </c>
      <c r="K184" s="2">
        <v>60</v>
      </c>
      <c r="L184" s="1">
        <v>40621</v>
      </c>
      <c r="M184" s="1">
        <v>2437260</v>
      </c>
      <c r="N184" s="1">
        <v>10</v>
      </c>
      <c r="O184" s="1">
        <v>243726</v>
      </c>
    </row>
    <row r="185" spans="1:15">
      <c r="A185" s="6">
        <v>2025</v>
      </c>
      <c r="B185" s="7">
        <v>12</v>
      </c>
      <c r="C185" s="8">
        <v>45993</v>
      </c>
      <c r="D185" s="3" t="s">
        <v>580</v>
      </c>
      <c r="E185" s="3" t="s">
        <v>556</v>
      </c>
      <c r="F185" s="3" t="s">
        <v>305</v>
      </c>
      <c r="G185" s="3" t="s">
        <v>306</v>
      </c>
      <c r="H185" s="3" t="s">
        <v>255</v>
      </c>
      <c r="I185" s="3" t="s">
        <v>581</v>
      </c>
      <c r="J185" s="3" t="s">
        <v>21</v>
      </c>
      <c r="K185" s="2">
        <v>20</v>
      </c>
      <c r="L185" s="1">
        <v>40621</v>
      </c>
      <c r="M185" s="1">
        <v>812420</v>
      </c>
      <c r="N185" s="1">
        <v>13</v>
      </c>
      <c r="O185" s="1">
        <v>105614.6</v>
      </c>
    </row>
    <row r="186" spans="1:15">
      <c r="A186" s="6">
        <v>2025</v>
      </c>
      <c r="B186" s="7">
        <v>12</v>
      </c>
      <c r="C186" s="8">
        <v>45994</v>
      </c>
      <c r="D186" s="3" t="s">
        <v>582</v>
      </c>
      <c r="E186" s="3" t="s">
        <v>553</v>
      </c>
      <c r="F186" s="3" t="s">
        <v>333</v>
      </c>
      <c r="G186" s="3" t="s">
        <v>260</v>
      </c>
      <c r="H186" s="3" t="s">
        <v>255</v>
      </c>
      <c r="I186" s="3" t="s">
        <v>565</v>
      </c>
      <c r="J186" s="3" t="s">
        <v>21</v>
      </c>
      <c r="K186" s="2">
        <v>10</v>
      </c>
      <c r="L186" s="1">
        <v>40621</v>
      </c>
      <c r="M186" s="1">
        <v>406210</v>
      </c>
      <c r="N186" s="1">
        <v>10</v>
      </c>
      <c r="O186" s="1">
        <v>40621</v>
      </c>
    </row>
    <row r="187" spans="1:15">
      <c r="A187" s="6">
        <v>2025</v>
      </c>
      <c r="B187" s="7">
        <v>12</v>
      </c>
      <c r="C187" s="8">
        <v>45994</v>
      </c>
      <c r="D187" s="3" t="s">
        <v>583</v>
      </c>
      <c r="E187" s="3" t="s">
        <v>501</v>
      </c>
      <c r="F187" s="3" t="s">
        <v>502</v>
      </c>
      <c r="G187" s="3" t="s">
        <v>260</v>
      </c>
      <c r="H187" s="3" t="s">
        <v>255</v>
      </c>
      <c r="I187" s="3" t="s">
        <v>508</v>
      </c>
      <c r="J187" s="3" t="s">
        <v>38</v>
      </c>
      <c r="K187" s="2">
        <v>30</v>
      </c>
      <c r="L187" s="1">
        <v>65000</v>
      </c>
      <c r="M187" s="1">
        <v>1950000</v>
      </c>
      <c r="N187" s="1">
        <v>11</v>
      </c>
      <c r="O187" s="1">
        <v>214500</v>
      </c>
    </row>
    <row r="188" spans="1:15">
      <c r="A188" s="6">
        <v>2025</v>
      </c>
      <c r="B188" s="7">
        <v>12</v>
      </c>
      <c r="C188" s="8">
        <v>45995</v>
      </c>
      <c r="D188" s="3" t="s">
        <v>584</v>
      </c>
      <c r="E188" s="3" t="s">
        <v>298</v>
      </c>
      <c r="F188" s="3" t="s">
        <v>253</v>
      </c>
      <c r="G188" s="3" t="s">
        <v>254</v>
      </c>
      <c r="H188" s="3" t="s">
        <v>255</v>
      </c>
      <c r="I188" s="3" t="s">
        <v>585</v>
      </c>
      <c r="J188" s="3" t="s">
        <v>21</v>
      </c>
      <c r="K188" s="2">
        <v>60</v>
      </c>
      <c r="L188" s="1">
        <v>40621</v>
      </c>
      <c r="M188" s="1">
        <v>2437260</v>
      </c>
      <c r="N188" s="1">
        <v>13</v>
      </c>
      <c r="O188" s="1">
        <v>316843.8</v>
      </c>
    </row>
    <row r="189" spans="1:15">
      <c r="A189" s="6">
        <v>2025</v>
      </c>
      <c r="B189" s="7">
        <v>12</v>
      </c>
      <c r="C189" s="8">
        <v>45995</v>
      </c>
      <c r="D189" s="3" t="s">
        <v>586</v>
      </c>
      <c r="E189" s="3" t="s">
        <v>556</v>
      </c>
      <c r="F189" s="3" t="s">
        <v>305</v>
      </c>
      <c r="G189" s="3" t="s">
        <v>306</v>
      </c>
      <c r="H189" s="3" t="s">
        <v>255</v>
      </c>
      <c r="I189" s="3" t="s">
        <v>587</v>
      </c>
      <c r="J189" s="3" t="s">
        <v>21</v>
      </c>
      <c r="K189" s="2">
        <v>10</v>
      </c>
      <c r="L189" s="1">
        <v>40621</v>
      </c>
      <c r="M189" s="1">
        <v>406210</v>
      </c>
      <c r="N189" s="1">
        <v>8</v>
      </c>
      <c r="O189" s="1">
        <v>32496.799999999999</v>
      </c>
    </row>
    <row r="190" spans="1:15">
      <c r="A190" s="6">
        <v>2025</v>
      </c>
      <c r="B190" s="7">
        <v>12</v>
      </c>
      <c r="C190" s="8">
        <v>45995</v>
      </c>
      <c r="D190" s="3" t="s">
        <v>588</v>
      </c>
      <c r="E190" s="3" t="s">
        <v>553</v>
      </c>
      <c r="F190" s="3" t="s">
        <v>333</v>
      </c>
      <c r="G190" s="3" t="s">
        <v>260</v>
      </c>
      <c r="H190" s="3" t="s">
        <v>255</v>
      </c>
      <c r="I190" s="3" t="s">
        <v>589</v>
      </c>
      <c r="J190" s="3" t="s">
        <v>21</v>
      </c>
      <c r="K190" s="2">
        <v>20</v>
      </c>
      <c r="L190" s="1">
        <v>40621</v>
      </c>
      <c r="M190" s="1">
        <v>812420</v>
      </c>
      <c r="N190" s="1">
        <v>13</v>
      </c>
      <c r="O190" s="1">
        <v>105614.6</v>
      </c>
    </row>
    <row r="191" spans="1:15">
      <c r="A191" s="6">
        <v>2025</v>
      </c>
      <c r="B191" s="7">
        <v>12</v>
      </c>
      <c r="C191" s="8">
        <v>45995</v>
      </c>
      <c r="D191" s="3" t="s">
        <v>590</v>
      </c>
      <c r="E191" s="3" t="s">
        <v>332</v>
      </c>
      <c r="F191" s="3" t="s">
        <v>333</v>
      </c>
      <c r="G191" s="3" t="s">
        <v>260</v>
      </c>
      <c r="H191" s="3" t="s">
        <v>255</v>
      </c>
      <c r="I191" s="3" t="s">
        <v>62</v>
      </c>
      <c r="J191" s="3" t="s">
        <v>21</v>
      </c>
      <c r="K191" s="2">
        <v>20</v>
      </c>
      <c r="L191" s="1">
        <v>40621</v>
      </c>
      <c r="M191" s="1">
        <v>812420</v>
      </c>
      <c r="N191" s="1">
        <v>10</v>
      </c>
      <c r="O191" s="1">
        <v>81242</v>
      </c>
    </row>
    <row r="192" spans="1:15">
      <c r="A192" s="6">
        <v>2025</v>
      </c>
      <c r="B192" s="7">
        <v>12</v>
      </c>
      <c r="C192" s="8">
        <v>45996</v>
      </c>
      <c r="D192" s="3" t="s">
        <v>591</v>
      </c>
      <c r="E192" s="3" t="s">
        <v>575</v>
      </c>
      <c r="F192" s="3" t="s">
        <v>502</v>
      </c>
      <c r="G192" s="3" t="s">
        <v>260</v>
      </c>
      <c r="H192" s="3" t="s">
        <v>255</v>
      </c>
      <c r="I192" s="3" t="s">
        <v>592</v>
      </c>
      <c r="J192" s="3" t="s">
        <v>38</v>
      </c>
      <c r="K192" s="2">
        <v>10</v>
      </c>
      <c r="L192" s="1">
        <v>65000</v>
      </c>
      <c r="M192" s="1">
        <v>650000</v>
      </c>
      <c r="N192" s="1">
        <v>8</v>
      </c>
      <c r="O192" s="1">
        <v>52000</v>
      </c>
    </row>
    <row r="193" spans="1:15">
      <c r="A193" s="6">
        <v>2025</v>
      </c>
      <c r="B193" s="7">
        <v>12</v>
      </c>
      <c r="C193" s="8">
        <v>45996</v>
      </c>
      <c r="D193" s="3" t="s">
        <v>593</v>
      </c>
      <c r="E193" s="3" t="s">
        <v>258</v>
      </c>
      <c r="F193" s="3" t="s">
        <v>259</v>
      </c>
      <c r="G193" s="3" t="s">
        <v>260</v>
      </c>
      <c r="H193" s="3" t="s">
        <v>255</v>
      </c>
      <c r="I193" s="3" t="s">
        <v>296</v>
      </c>
      <c r="J193" s="3" t="s">
        <v>21</v>
      </c>
      <c r="K193" s="2">
        <v>50</v>
      </c>
      <c r="L193" s="1">
        <v>40621</v>
      </c>
      <c r="M193" s="1">
        <v>2031050</v>
      </c>
      <c r="N193" s="1">
        <v>10</v>
      </c>
      <c r="O193" s="1">
        <v>203105</v>
      </c>
    </row>
    <row r="194" spans="1:15">
      <c r="A194" s="6">
        <v>2025</v>
      </c>
      <c r="B194" s="7">
        <v>12</v>
      </c>
      <c r="C194" s="8">
        <v>45996</v>
      </c>
      <c r="D194" s="3" t="s">
        <v>594</v>
      </c>
      <c r="E194" s="3" t="s">
        <v>332</v>
      </c>
      <c r="F194" s="3" t="s">
        <v>333</v>
      </c>
      <c r="G194" s="3" t="s">
        <v>260</v>
      </c>
      <c r="H194" s="3" t="s">
        <v>255</v>
      </c>
      <c r="I194" s="3" t="s">
        <v>350</v>
      </c>
      <c r="J194" s="3" t="s">
        <v>21</v>
      </c>
      <c r="K194" s="2">
        <v>40</v>
      </c>
      <c r="L194" s="1">
        <v>40621</v>
      </c>
      <c r="M194" s="1">
        <v>1624840</v>
      </c>
      <c r="N194" s="1">
        <v>10</v>
      </c>
      <c r="O194" s="1">
        <v>162484</v>
      </c>
    </row>
    <row r="195" spans="1:15">
      <c r="A195" s="6">
        <v>2025</v>
      </c>
      <c r="B195" s="7">
        <v>12</v>
      </c>
      <c r="C195" s="8">
        <v>46000</v>
      </c>
      <c r="D195" s="3" t="s">
        <v>595</v>
      </c>
      <c r="E195" s="3" t="s">
        <v>298</v>
      </c>
      <c r="F195" s="3" t="s">
        <v>253</v>
      </c>
      <c r="G195" s="3" t="s">
        <v>254</v>
      </c>
      <c r="H195" s="3" t="s">
        <v>255</v>
      </c>
      <c r="I195" s="3" t="s">
        <v>596</v>
      </c>
      <c r="J195" s="3" t="s">
        <v>21</v>
      </c>
      <c r="K195" s="2">
        <v>60</v>
      </c>
      <c r="L195" s="1">
        <v>40621</v>
      </c>
      <c r="M195" s="1">
        <v>2437260</v>
      </c>
      <c r="N195" s="1">
        <v>13</v>
      </c>
      <c r="O195" s="1">
        <v>316843.8</v>
      </c>
    </row>
    <row r="196" spans="1:15">
      <c r="A196" s="6">
        <v>2025</v>
      </c>
      <c r="B196" s="7">
        <v>12</v>
      </c>
      <c r="C196" s="8">
        <v>46000</v>
      </c>
      <c r="D196" s="3" t="s">
        <v>597</v>
      </c>
      <c r="E196" s="3" t="s">
        <v>496</v>
      </c>
      <c r="F196" s="3" t="s">
        <v>337</v>
      </c>
      <c r="G196" s="3" t="s">
        <v>260</v>
      </c>
      <c r="H196" s="3" t="s">
        <v>255</v>
      </c>
      <c r="I196" s="3" t="s">
        <v>571</v>
      </c>
      <c r="J196" s="3" t="s">
        <v>21</v>
      </c>
      <c r="K196" s="2">
        <v>48</v>
      </c>
      <c r="L196" s="1">
        <v>40621</v>
      </c>
      <c r="M196" s="1">
        <v>1949808</v>
      </c>
      <c r="N196" s="1">
        <v>10</v>
      </c>
      <c r="O196" s="1">
        <v>194980.8</v>
      </c>
    </row>
    <row r="197" spans="1:15">
      <c r="A197" s="6">
        <v>2025</v>
      </c>
      <c r="B197" s="7">
        <v>12</v>
      </c>
      <c r="C197" s="8">
        <v>46000</v>
      </c>
      <c r="D197" s="3" t="s">
        <v>598</v>
      </c>
      <c r="E197" s="3" t="s">
        <v>336</v>
      </c>
      <c r="F197" s="3" t="s">
        <v>337</v>
      </c>
      <c r="G197" s="3" t="s">
        <v>260</v>
      </c>
      <c r="H197" s="3" t="s">
        <v>255</v>
      </c>
      <c r="I197" s="3" t="s">
        <v>445</v>
      </c>
      <c r="J197" s="3" t="s">
        <v>21</v>
      </c>
      <c r="K197" s="2">
        <v>70</v>
      </c>
      <c r="L197" s="1">
        <v>40621</v>
      </c>
      <c r="M197" s="1">
        <v>2843470</v>
      </c>
      <c r="N197" s="1">
        <v>10</v>
      </c>
      <c r="O197" s="1">
        <v>284347</v>
      </c>
    </row>
    <row r="198" spans="1:15">
      <c r="A198" s="6">
        <v>2025</v>
      </c>
      <c r="B198" s="7">
        <v>12</v>
      </c>
      <c r="C198" s="8">
        <v>46000</v>
      </c>
      <c r="D198" s="3" t="s">
        <v>599</v>
      </c>
      <c r="E198" s="3" t="s">
        <v>336</v>
      </c>
      <c r="F198" s="3" t="s">
        <v>337</v>
      </c>
      <c r="G198" s="3" t="s">
        <v>260</v>
      </c>
      <c r="H198" s="3" t="s">
        <v>255</v>
      </c>
      <c r="I198" s="3" t="s">
        <v>346</v>
      </c>
      <c r="J198" s="3" t="s">
        <v>21</v>
      </c>
      <c r="K198" s="2">
        <v>20</v>
      </c>
      <c r="L198" s="1">
        <v>40621</v>
      </c>
      <c r="M198" s="1">
        <v>812420</v>
      </c>
      <c r="N198" s="1">
        <v>12</v>
      </c>
      <c r="O198" s="1">
        <v>97490.4</v>
      </c>
    </row>
    <row r="199" spans="1:15">
      <c r="A199" s="6">
        <v>2025</v>
      </c>
      <c r="B199" s="7">
        <v>12</v>
      </c>
      <c r="C199" s="8">
        <v>46000</v>
      </c>
      <c r="D199" s="3" t="s">
        <v>600</v>
      </c>
      <c r="E199" s="3" t="s">
        <v>553</v>
      </c>
      <c r="F199" s="3" t="s">
        <v>333</v>
      </c>
      <c r="G199" s="3" t="s">
        <v>260</v>
      </c>
      <c r="H199" s="3" t="s">
        <v>255</v>
      </c>
      <c r="I199" s="3" t="s">
        <v>358</v>
      </c>
      <c r="J199" s="3" t="s">
        <v>21</v>
      </c>
      <c r="K199" s="2">
        <v>20</v>
      </c>
      <c r="L199" s="1">
        <v>40621</v>
      </c>
      <c r="M199" s="1">
        <v>812420</v>
      </c>
      <c r="N199" s="1">
        <v>10</v>
      </c>
      <c r="O199" s="1">
        <v>81242</v>
      </c>
    </row>
    <row r="200" spans="1:15">
      <c r="A200" s="6">
        <v>2025</v>
      </c>
      <c r="B200" s="7">
        <v>12</v>
      </c>
      <c r="C200" s="8">
        <v>46000</v>
      </c>
      <c r="D200" s="3" t="s">
        <v>601</v>
      </c>
      <c r="E200" s="3" t="s">
        <v>501</v>
      </c>
      <c r="F200" s="3" t="s">
        <v>502</v>
      </c>
      <c r="G200" s="3" t="s">
        <v>260</v>
      </c>
      <c r="H200" s="3" t="s">
        <v>255</v>
      </c>
      <c r="I200" s="3" t="s">
        <v>602</v>
      </c>
      <c r="J200" s="3" t="s">
        <v>38</v>
      </c>
      <c r="K200" s="2">
        <v>20</v>
      </c>
      <c r="L200" s="1">
        <v>65000</v>
      </c>
      <c r="M200" s="1">
        <v>1300000</v>
      </c>
      <c r="N200" s="1">
        <v>8</v>
      </c>
      <c r="O200" s="1">
        <v>104000</v>
      </c>
    </row>
    <row r="201" spans="1:15">
      <c r="A201" s="6">
        <v>2025</v>
      </c>
      <c r="B201" s="7">
        <v>12</v>
      </c>
      <c r="C201" s="8">
        <v>46002</v>
      </c>
      <c r="D201" s="3" t="s">
        <v>603</v>
      </c>
      <c r="E201" s="3" t="s">
        <v>298</v>
      </c>
      <c r="F201" s="3" t="s">
        <v>253</v>
      </c>
      <c r="G201" s="3" t="s">
        <v>254</v>
      </c>
      <c r="H201" s="3" t="s">
        <v>255</v>
      </c>
      <c r="I201" s="3" t="s">
        <v>604</v>
      </c>
      <c r="J201" s="3" t="s">
        <v>21</v>
      </c>
      <c r="K201" s="2">
        <v>120</v>
      </c>
      <c r="L201" s="1">
        <v>40621</v>
      </c>
      <c r="M201" s="1">
        <v>4874520</v>
      </c>
      <c r="N201" s="1">
        <v>13</v>
      </c>
      <c r="O201" s="1">
        <v>633687.6</v>
      </c>
    </row>
    <row r="202" spans="1:15">
      <c r="A202" s="6">
        <v>2025</v>
      </c>
      <c r="B202" s="7">
        <v>12</v>
      </c>
      <c r="C202" s="8">
        <v>46003</v>
      </c>
      <c r="D202" s="3" t="s">
        <v>605</v>
      </c>
      <c r="E202" s="3" t="s">
        <v>606</v>
      </c>
      <c r="F202" s="3" t="s">
        <v>607</v>
      </c>
      <c r="G202" s="3" t="s">
        <v>254</v>
      </c>
      <c r="H202" s="3" t="s">
        <v>255</v>
      </c>
      <c r="I202" s="3" t="s">
        <v>608</v>
      </c>
      <c r="J202" s="3" t="s">
        <v>46</v>
      </c>
      <c r="K202" s="2">
        <v>20</v>
      </c>
      <c r="L202" s="1">
        <v>64700</v>
      </c>
      <c r="M202" s="1">
        <v>1294000</v>
      </c>
      <c r="N202" s="1">
        <v>15</v>
      </c>
      <c r="O202" s="1">
        <v>194100</v>
      </c>
    </row>
    <row r="203" spans="1:15">
      <c r="A203" s="6">
        <v>2025</v>
      </c>
      <c r="B203" s="7">
        <v>12</v>
      </c>
      <c r="C203" s="8">
        <v>46006</v>
      </c>
      <c r="D203" s="3" t="s">
        <v>609</v>
      </c>
      <c r="E203" s="3" t="s">
        <v>610</v>
      </c>
      <c r="F203" s="3" t="s">
        <v>611</v>
      </c>
      <c r="G203" s="3" t="s">
        <v>260</v>
      </c>
      <c r="H203" s="3" t="s">
        <v>255</v>
      </c>
      <c r="I203" s="3" t="s">
        <v>612</v>
      </c>
      <c r="J203" s="3" t="s">
        <v>21</v>
      </c>
      <c r="K203" s="2">
        <v>81</v>
      </c>
      <c r="L203" s="1">
        <v>40621</v>
      </c>
      <c r="M203" s="1">
        <v>3290301</v>
      </c>
      <c r="N203" s="1">
        <v>15</v>
      </c>
      <c r="O203" s="1">
        <v>493545.15</v>
      </c>
    </row>
    <row r="204" spans="1:15">
      <c r="A204" s="6">
        <v>2025</v>
      </c>
      <c r="B204" s="7">
        <v>12</v>
      </c>
      <c r="C204" s="8">
        <v>46006</v>
      </c>
      <c r="D204" s="3" t="s">
        <v>613</v>
      </c>
      <c r="E204" s="3" t="s">
        <v>496</v>
      </c>
      <c r="F204" s="3" t="s">
        <v>337</v>
      </c>
      <c r="G204" s="3" t="s">
        <v>260</v>
      </c>
      <c r="H204" s="3" t="s">
        <v>255</v>
      </c>
      <c r="I204" s="3" t="s">
        <v>538</v>
      </c>
      <c r="J204" s="3" t="s">
        <v>21</v>
      </c>
      <c r="K204" s="2">
        <v>20</v>
      </c>
      <c r="L204" s="1">
        <v>40621</v>
      </c>
      <c r="M204" s="1">
        <v>812420</v>
      </c>
      <c r="N204" s="1">
        <v>8</v>
      </c>
      <c r="O204" s="1">
        <v>64993.599999999999</v>
      </c>
    </row>
    <row r="205" spans="1:15">
      <c r="A205" s="6">
        <v>2025</v>
      </c>
      <c r="B205" s="7">
        <v>12</v>
      </c>
      <c r="C205" s="8">
        <v>46006</v>
      </c>
      <c r="D205" s="3" t="s">
        <v>614</v>
      </c>
      <c r="E205" s="3" t="s">
        <v>336</v>
      </c>
      <c r="F205" s="3" t="s">
        <v>337</v>
      </c>
      <c r="G205" s="3" t="s">
        <v>260</v>
      </c>
      <c r="H205" s="3" t="s">
        <v>255</v>
      </c>
      <c r="I205" s="3" t="s">
        <v>340</v>
      </c>
      <c r="J205" s="3" t="s">
        <v>21</v>
      </c>
      <c r="K205" s="2">
        <v>50</v>
      </c>
      <c r="L205" s="1">
        <v>40621</v>
      </c>
      <c r="M205" s="1">
        <v>2031050</v>
      </c>
      <c r="N205" s="1">
        <v>10</v>
      </c>
      <c r="O205" s="1">
        <v>203105</v>
      </c>
    </row>
    <row r="206" spans="1:15">
      <c r="A206" s="6">
        <v>2025</v>
      </c>
      <c r="B206" s="7">
        <v>12</v>
      </c>
      <c r="C206" s="8">
        <v>46007</v>
      </c>
      <c r="D206" s="3" t="s">
        <v>615</v>
      </c>
      <c r="E206" s="3" t="s">
        <v>463</v>
      </c>
      <c r="F206" s="3" t="s">
        <v>464</v>
      </c>
      <c r="G206" s="3" t="s">
        <v>260</v>
      </c>
      <c r="H206" s="3" t="s">
        <v>255</v>
      </c>
      <c r="I206" s="3" t="s">
        <v>465</v>
      </c>
      <c r="J206" s="3" t="s">
        <v>466</v>
      </c>
      <c r="K206" s="2">
        <v>60</v>
      </c>
      <c r="L206" s="1">
        <v>120000</v>
      </c>
      <c r="M206" s="1">
        <v>7200000</v>
      </c>
      <c r="N206" s="1">
        <v>8</v>
      </c>
      <c r="O206" s="1">
        <v>576000</v>
      </c>
    </row>
    <row r="207" spans="1:15">
      <c r="A207" s="6">
        <v>2025</v>
      </c>
      <c r="B207" s="7">
        <v>12</v>
      </c>
      <c r="C207" s="8">
        <v>46007</v>
      </c>
      <c r="D207" s="3" t="s">
        <v>616</v>
      </c>
      <c r="E207" s="3" t="s">
        <v>575</v>
      </c>
      <c r="F207" s="3" t="s">
        <v>502</v>
      </c>
      <c r="G207" s="3" t="s">
        <v>260</v>
      </c>
      <c r="H207" s="3" t="s">
        <v>255</v>
      </c>
      <c r="I207" s="3" t="s">
        <v>617</v>
      </c>
      <c r="J207" s="3" t="s">
        <v>38</v>
      </c>
      <c r="K207" s="2">
        <v>30</v>
      </c>
      <c r="L207" s="1">
        <v>65000</v>
      </c>
      <c r="M207" s="1">
        <v>1950000</v>
      </c>
      <c r="N207" s="1">
        <v>8</v>
      </c>
      <c r="O207" s="1">
        <v>156000</v>
      </c>
    </row>
    <row r="208" spans="1:15">
      <c r="A208" s="6">
        <v>2025</v>
      </c>
      <c r="B208" s="7">
        <v>12</v>
      </c>
      <c r="C208" s="8">
        <v>46008</v>
      </c>
      <c r="D208" s="3" t="s">
        <v>618</v>
      </c>
      <c r="E208" s="3" t="s">
        <v>501</v>
      </c>
      <c r="F208" s="3" t="s">
        <v>502</v>
      </c>
      <c r="G208" s="3" t="s">
        <v>260</v>
      </c>
      <c r="H208" s="3" t="s">
        <v>255</v>
      </c>
      <c r="I208" s="3" t="s">
        <v>522</v>
      </c>
      <c r="J208" s="3" t="s">
        <v>38</v>
      </c>
      <c r="K208" s="2">
        <v>30</v>
      </c>
      <c r="L208" s="1">
        <v>65000</v>
      </c>
      <c r="M208" s="1">
        <v>1950000</v>
      </c>
      <c r="N208" s="1">
        <v>8</v>
      </c>
      <c r="O208" s="1">
        <v>156000</v>
      </c>
    </row>
    <row r="209" spans="1:15">
      <c r="A209" s="6">
        <v>2025</v>
      </c>
      <c r="B209" s="7">
        <v>12</v>
      </c>
      <c r="C209" s="8">
        <v>46008</v>
      </c>
      <c r="D209" s="3" t="s">
        <v>619</v>
      </c>
      <c r="E209" s="3" t="s">
        <v>620</v>
      </c>
      <c r="F209" s="3" t="s">
        <v>621</v>
      </c>
      <c r="G209" s="3" t="s">
        <v>254</v>
      </c>
      <c r="H209" s="3" t="s">
        <v>255</v>
      </c>
      <c r="I209" s="3" t="s">
        <v>622</v>
      </c>
      <c r="J209" s="3" t="s">
        <v>466</v>
      </c>
      <c r="K209" s="2">
        <v>5</v>
      </c>
      <c r="L209" s="1">
        <v>120000</v>
      </c>
      <c r="M209" s="1">
        <v>600000</v>
      </c>
      <c r="N209" s="1">
        <v>8</v>
      </c>
      <c r="O209" s="1">
        <v>48000</v>
      </c>
    </row>
    <row r="210" spans="1:15">
      <c r="A210" s="6">
        <v>2025</v>
      </c>
      <c r="B210" s="7">
        <v>12</v>
      </c>
      <c r="C210" s="8">
        <v>46013</v>
      </c>
      <c r="D210" s="3" t="s">
        <v>623</v>
      </c>
      <c r="E210" s="3" t="s">
        <v>258</v>
      </c>
      <c r="F210" s="3" t="s">
        <v>259</v>
      </c>
      <c r="G210" s="3" t="s">
        <v>260</v>
      </c>
      <c r="H210" s="3" t="s">
        <v>255</v>
      </c>
      <c r="I210" s="3" t="s">
        <v>324</v>
      </c>
      <c r="J210" s="3" t="s">
        <v>21</v>
      </c>
      <c r="K210" s="2">
        <v>190</v>
      </c>
      <c r="L210" s="1">
        <v>40621</v>
      </c>
      <c r="M210" s="1">
        <v>7717990</v>
      </c>
      <c r="N210" s="1">
        <v>8</v>
      </c>
      <c r="O210" s="1">
        <v>617439.19999999995</v>
      </c>
    </row>
    <row r="211" spans="1:15">
      <c r="A211" s="6">
        <v>2025</v>
      </c>
      <c r="B211" s="7">
        <v>12</v>
      </c>
      <c r="C211" s="8">
        <v>46013</v>
      </c>
      <c r="D211" s="3" t="s">
        <v>624</v>
      </c>
      <c r="E211" s="3" t="s">
        <v>556</v>
      </c>
      <c r="F211" s="3" t="s">
        <v>305</v>
      </c>
      <c r="G211" s="3" t="s">
        <v>306</v>
      </c>
      <c r="H211" s="3" t="s">
        <v>255</v>
      </c>
      <c r="I211" s="3" t="s">
        <v>66</v>
      </c>
      <c r="J211" s="3" t="s">
        <v>21</v>
      </c>
      <c r="K211" s="2">
        <v>20</v>
      </c>
      <c r="L211" s="1">
        <v>40621</v>
      </c>
      <c r="M211" s="1">
        <v>812420</v>
      </c>
      <c r="N211" s="1">
        <v>10</v>
      </c>
      <c r="O211" s="1">
        <v>81242</v>
      </c>
    </row>
    <row r="212" spans="1:15">
      <c r="A212" s="6">
        <v>2025</v>
      </c>
      <c r="B212" s="7">
        <v>12</v>
      </c>
      <c r="C212" s="8">
        <v>46014</v>
      </c>
      <c r="D212" s="3" t="s">
        <v>625</v>
      </c>
      <c r="E212" s="3" t="s">
        <v>311</v>
      </c>
      <c r="F212" s="3" t="s">
        <v>305</v>
      </c>
      <c r="G212" s="3" t="s">
        <v>306</v>
      </c>
      <c r="H212" s="3" t="s">
        <v>255</v>
      </c>
      <c r="I212" s="3" t="s">
        <v>312</v>
      </c>
      <c r="J212" s="3" t="s">
        <v>21</v>
      </c>
      <c r="K212" s="2">
        <v>20</v>
      </c>
      <c r="L212" s="1">
        <v>40621</v>
      </c>
      <c r="M212" s="1">
        <v>812420</v>
      </c>
      <c r="N212" s="1">
        <v>10</v>
      </c>
      <c r="O212" s="1">
        <v>81242</v>
      </c>
    </row>
    <row r="213" spans="1:15">
      <c r="A213" s="6">
        <v>2025</v>
      </c>
      <c r="B213" s="7">
        <v>12</v>
      </c>
      <c r="C213" s="8">
        <v>46016</v>
      </c>
      <c r="D213" s="3" t="s">
        <v>626</v>
      </c>
      <c r="E213" s="3" t="s">
        <v>336</v>
      </c>
      <c r="F213" s="3" t="s">
        <v>337</v>
      </c>
      <c r="G213" s="3" t="s">
        <v>260</v>
      </c>
      <c r="H213" s="3" t="s">
        <v>255</v>
      </c>
      <c r="I213" s="3" t="s">
        <v>424</v>
      </c>
      <c r="J213" s="3" t="s">
        <v>21</v>
      </c>
      <c r="K213" s="2">
        <v>20</v>
      </c>
      <c r="L213" s="1">
        <v>40621</v>
      </c>
      <c r="M213" s="1">
        <v>812420</v>
      </c>
      <c r="N213" s="1">
        <v>13</v>
      </c>
      <c r="O213" s="1">
        <v>105614.6</v>
      </c>
    </row>
    <row r="214" spans="1:15">
      <c r="A214" s="6">
        <v>2025</v>
      </c>
      <c r="B214" s="7">
        <v>12</v>
      </c>
      <c r="C214" s="8">
        <v>46016</v>
      </c>
      <c r="D214" s="3" t="s">
        <v>627</v>
      </c>
      <c r="E214" s="3" t="s">
        <v>336</v>
      </c>
      <c r="F214" s="3" t="s">
        <v>337</v>
      </c>
      <c r="G214" s="3" t="s">
        <v>260</v>
      </c>
      <c r="H214" s="3" t="s">
        <v>255</v>
      </c>
      <c r="I214" s="3" t="s">
        <v>346</v>
      </c>
      <c r="J214" s="3" t="s">
        <v>21</v>
      </c>
      <c r="K214" s="2">
        <v>25</v>
      </c>
      <c r="L214" s="1">
        <v>40621</v>
      </c>
      <c r="M214" s="1">
        <v>1015525</v>
      </c>
      <c r="N214" s="1">
        <v>10</v>
      </c>
      <c r="O214" s="1">
        <v>101552.5</v>
      </c>
    </row>
    <row r="215" spans="1:15">
      <c r="A215" s="6">
        <v>2026</v>
      </c>
      <c r="B215" s="7">
        <v>1</v>
      </c>
      <c r="C215" s="8">
        <v>46027</v>
      </c>
      <c r="D215" s="3" t="s">
        <v>628</v>
      </c>
      <c r="E215" s="3" t="s">
        <v>298</v>
      </c>
      <c r="F215" s="3" t="s">
        <v>253</v>
      </c>
      <c r="G215" s="3" t="s">
        <v>254</v>
      </c>
      <c r="H215" s="3" t="s">
        <v>255</v>
      </c>
      <c r="I215" s="3" t="s">
        <v>256</v>
      </c>
      <c r="J215" s="3" t="s">
        <v>21</v>
      </c>
      <c r="K215" s="2">
        <v>120</v>
      </c>
      <c r="L215" s="1">
        <v>40621</v>
      </c>
      <c r="M215" s="1">
        <v>4874520</v>
      </c>
      <c r="N215" s="1">
        <v>8</v>
      </c>
      <c r="O215" s="1">
        <v>389961.6</v>
      </c>
    </row>
    <row r="216" spans="1:15">
      <c r="A216" s="6">
        <v>2026</v>
      </c>
      <c r="B216" s="7">
        <v>1</v>
      </c>
      <c r="C216" s="8">
        <v>46027</v>
      </c>
      <c r="D216" s="3" t="s">
        <v>629</v>
      </c>
      <c r="E216" s="3" t="s">
        <v>414</v>
      </c>
      <c r="F216" s="3" t="s">
        <v>305</v>
      </c>
      <c r="G216" s="3" t="s">
        <v>306</v>
      </c>
      <c r="H216" s="3" t="s">
        <v>255</v>
      </c>
      <c r="I216" s="3" t="s">
        <v>415</v>
      </c>
      <c r="J216" s="3" t="s">
        <v>21</v>
      </c>
      <c r="K216" s="2">
        <v>50</v>
      </c>
      <c r="L216" s="1">
        <v>40621</v>
      </c>
      <c r="M216" s="1">
        <v>2031050</v>
      </c>
      <c r="N216" s="1">
        <v>8</v>
      </c>
      <c r="O216" s="1">
        <v>162484</v>
      </c>
    </row>
    <row r="217" spans="1:15">
      <c r="A217" s="6">
        <v>2026</v>
      </c>
      <c r="B217" s="7">
        <v>1</v>
      </c>
      <c r="C217" s="8">
        <v>46027</v>
      </c>
      <c r="D217" s="3" t="s">
        <v>630</v>
      </c>
      <c r="E217" s="3" t="s">
        <v>501</v>
      </c>
      <c r="F217" s="3" t="s">
        <v>502</v>
      </c>
      <c r="G217" s="3" t="s">
        <v>260</v>
      </c>
      <c r="H217" s="3" t="s">
        <v>255</v>
      </c>
      <c r="I217" s="3" t="s">
        <v>503</v>
      </c>
      <c r="J217" s="3" t="s">
        <v>38</v>
      </c>
      <c r="K217" s="2">
        <v>30</v>
      </c>
      <c r="L217" s="1">
        <v>65000</v>
      </c>
      <c r="M217" s="1">
        <v>1950000</v>
      </c>
      <c r="N217" s="1">
        <v>8</v>
      </c>
      <c r="O217" s="1">
        <v>156000</v>
      </c>
    </row>
    <row r="218" spans="1:15">
      <c r="A218" s="6">
        <v>2026</v>
      </c>
      <c r="B218" s="7">
        <v>1</v>
      </c>
      <c r="C218" s="8">
        <v>46027</v>
      </c>
      <c r="D218" s="3" t="s">
        <v>631</v>
      </c>
      <c r="E218" s="3" t="s">
        <v>496</v>
      </c>
      <c r="F218" s="3" t="s">
        <v>337</v>
      </c>
      <c r="G218" s="3" t="s">
        <v>260</v>
      </c>
      <c r="H218" s="3" t="s">
        <v>255</v>
      </c>
      <c r="I218" s="3" t="s">
        <v>538</v>
      </c>
      <c r="J218" s="3" t="s">
        <v>21</v>
      </c>
      <c r="K218" s="2">
        <v>20</v>
      </c>
      <c r="L218" s="1">
        <v>40621</v>
      </c>
      <c r="M218" s="1">
        <v>812420</v>
      </c>
      <c r="N218" s="1">
        <v>8</v>
      </c>
      <c r="O218" s="1">
        <v>64993.599999999999</v>
      </c>
    </row>
    <row r="219" spans="1:15">
      <c r="A219" s="6">
        <v>2026</v>
      </c>
      <c r="B219" s="7">
        <v>1</v>
      </c>
      <c r="C219" s="8">
        <v>46028</v>
      </c>
      <c r="D219" s="3" t="s">
        <v>632</v>
      </c>
      <c r="E219" s="3" t="s">
        <v>332</v>
      </c>
      <c r="F219" s="3" t="s">
        <v>333</v>
      </c>
      <c r="G219" s="3" t="s">
        <v>260</v>
      </c>
      <c r="H219" s="3" t="s">
        <v>255</v>
      </c>
      <c r="I219" s="3" t="s">
        <v>117</v>
      </c>
      <c r="J219" s="3" t="s">
        <v>21</v>
      </c>
      <c r="K219" s="2">
        <v>49</v>
      </c>
      <c r="L219" s="1">
        <v>40621</v>
      </c>
      <c r="M219" s="1">
        <v>1990429</v>
      </c>
      <c r="N219" s="1">
        <v>8</v>
      </c>
      <c r="O219" s="1">
        <v>159234.32</v>
      </c>
    </row>
    <row r="220" spans="1:15">
      <c r="A220" s="6">
        <v>2026</v>
      </c>
      <c r="B220" s="7">
        <v>1</v>
      </c>
      <c r="C220" s="8">
        <v>46028</v>
      </c>
      <c r="D220" s="3" t="s">
        <v>632</v>
      </c>
      <c r="E220" s="3" t="s">
        <v>332</v>
      </c>
      <c r="F220" s="3" t="s">
        <v>333</v>
      </c>
      <c r="G220" s="3" t="s">
        <v>260</v>
      </c>
      <c r="H220" s="3" t="s">
        <v>255</v>
      </c>
      <c r="I220" s="3" t="s">
        <v>117</v>
      </c>
      <c r="J220" s="3" t="s">
        <v>21</v>
      </c>
      <c r="K220" s="2">
        <v>1</v>
      </c>
      <c r="L220" s="1">
        <v>40621</v>
      </c>
      <c r="M220" s="1">
        <v>40621</v>
      </c>
      <c r="N220" s="1">
        <v>8</v>
      </c>
      <c r="O220" s="1">
        <v>3249.68</v>
      </c>
    </row>
    <row r="221" spans="1:15">
      <c r="A221" s="6">
        <v>2026</v>
      </c>
      <c r="B221" s="7">
        <v>1</v>
      </c>
      <c r="C221" s="8">
        <v>46029</v>
      </c>
      <c r="D221" s="3" t="s">
        <v>633</v>
      </c>
      <c r="E221" s="3" t="s">
        <v>463</v>
      </c>
      <c r="F221" s="3" t="s">
        <v>464</v>
      </c>
      <c r="G221" s="3" t="s">
        <v>260</v>
      </c>
      <c r="H221" s="3" t="s">
        <v>255</v>
      </c>
      <c r="I221" s="3" t="s">
        <v>465</v>
      </c>
      <c r="J221" s="3" t="s">
        <v>46</v>
      </c>
      <c r="K221" s="2">
        <v>40</v>
      </c>
      <c r="L221" s="1">
        <v>64700</v>
      </c>
      <c r="M221" s="1">
        <v>2588000</v>
      </c>
      <c r="N221" s="1">
        <v>8</v>
      </c>
      <c r="O221" s="1">
        <v>207040</v>
      </c>
    </row>
    <row r="222" spans="1:15">
      <c r="A222" s="6">
        <v>2026</v>
      </c>
      <c r="B222" s="7">
        <v>1</v>
      </c>
      <c r="C222" s="8">
        <v>46030</v>
      </c>
      <c r="D222" s="3" t="s">
        <v>634</v>
      </c>
      <c r="E222" s="3" t="s">
        <v>606</v>
      </c>
      <c r="F222" s="3" t="s">
        <v>607</v>
      </c>
      <c r="G222" s="3" t="s">
        <v>254</v>
      </c>
      <c r="H222" s="3" t="s">
        <v>255</v>
      </c>
      <c r="I222" s="3" t="s">
        <v>635</v>
      </c>
      <c r="J222" s="3" t="s">
        <v>46</v>
      </c>
      <c r="K222" s="2">
        <v>20</v>
      </c>
      <c r="L222" s="1">
        <v>64700</v>
      </c>
      <c r="M222" s="1">
        <v>1294000</v>
      </c>
      <c r="N222" s="1">
        <v>13</v>
      </c>
      <c r="O222" s="1">
        <v>168220</v>
      </c>
    </row>
    <row r="223" spans="1:15">
      <c r="A223" s="6">
        <v>2026</v>
      </c>
      <c r="B223" s="7">
        <v>1</v>
      </c>
      <c r="C223" s="8">
        <v>46030</v>
      </c>
      <c r="D223" s="3" t="s">
        <v>636</v>
      </c>
      <c r="E223" s="3" t="s">
        <v>496</v>
      </c>
      <c r="F223" s="3" t="s">
        <v>337</v>
      </c>
      <c r="G223" s="3" t="s">
        <v>260</v>
      </c>
      <c r="H223" s="3" t="s">
        <v>255</v>
      </c>
      <c r="I223" s="3" t="s">
        <v>424</v>
      </c>
      <c r="J223" s="3" t="s">
        <v>21</v>
      </c>
      <c r="K223" s="2">
        <v>50</v>
      </c>
      <c r="L223" s="1">
        <v>40621</v>
      </c>
      <c r="M223" s="1">
        <v>2031050</v>
      </c>
      <c r="N223" s="1">
        <v>12</v>
      </c>
      <c r="O223" s="1">
        <v>243726</v>
      </c>
    </row>
    <row r="224" spans="1:15">
      <c r="A224" s="6">
        <v>2026</v>
      </c>
      <c r="B224" s="7">
        <v>1</v>
      </c>
      <c r="C224" s="8">
        <v>46031</v>
      </c>
      <c r="D224" s="3" t="s">
        <v>637</v>
      </c>
      <c r="E224" s="3" t="s">
        <v>638</v>
      </c>
      <c r="F224" s="3" t="s">
        <v>337</v>
      </c>
      <c r="G224" s="3" t="s">
        <v>260</v>
      </c>
      <c r="H224" s="3" t="s">
        <v>255</v>
      </c>
      <c r="I224" s="3" t="s">
        <v>639</v>
      </c>
      <c r="J224" s="3" t="s">
        <v>21</v>
      </c>
      <c r="K224" s="2">
        <v>20</v>
      </c>
      <c r="L224" s="1">
        <v>40621</v>
      </c>
      <c r="M224" s="1">
        <v>812420</v>
      </c>
      <c r="N224" s="1">
        <v>7</v>
      </c>
      <c r="O224" s="1">
        <v>56869.4</v>
      </c>
    </row>
    <row r="225" spans="1:15">
      <c r="A225" s="6">
        <v>2026</v>
      </c>
      <c r="B225" s="7">
        <v>1</v>
      </c>
      <c r="C225" s="8">
        <v>46031</v>
      </c>
      <c r="D225" s="3" t="s">
        <v>640</v>
      </c>
      <c r="E225" s="3" t="s">
        <v>463</v>
      </c>
      <c r="F225" s="3" t="s">
        <v>464</v>
      </c>
      <c r="G225" s="3" t="s">
        <v>260</v>
      </c>
      <c r="H225" s="3" t="s">
        <v>255</v>
      </c>
      <c r="I225" s="3" t="s">
        <v>479</v>
      </c>
      <c r="J225" s="3" t="s">
        <v>466</v>
      </c>
      <c r="K225" s="2">
        <v>10</v>
      </c>
      <c r="L225" s="1">
        <v>120000</v>
      </c>
      <c r="M225" s="1">
        <v>1200000</v>
      </c>
      <c r="N225" s="1">
        <v>8</v>
      </c>
      <c r="O225" s="1">
        <v>96000</v>
      </c>
    </row>
    <row r="226" spans="1:15">
      <c r="A226" s="6">
        <v>2026</v>
      </c>
      <c r="B226" s="7">
        <v>1</v>
      </c>
      <c r="C226" s="8">
        <v>46031</v>
      </c>
      <c r="D226" s="3" t="s">
        <v>640</v>
      </c>
      <c r="E226" s="3" t="s">
        <v>463</v>
      </c>
      <c r="F226" s="3" t="s">
        <v>464</v>
      </c>
      <c r="G226" s="3" t="s">
        <v>260</v>
      </c>
      <c r="H226" s="3" t="s">
        <v>255</v>
      </c>
      <c r="I226" s="3" t="s">
        <v>479</v>
      </c>
      <c r="J226" s="3" t="s">
        <v>466</v>
      </c>
      <c r="K226" s="2">
        <v>30</v>
      </c>
      <c r="L226" s="1">
        <v>120000</v>
      </c>
      <c r="M226" s="1">
        <v>3600000</v>
      </c>
      <c r="N226" s="1">
        <v>8</v>
      </c>
      <c r="O226" s="1">
        <v>288000</v>
      </c>
    </row>
    <row r="227" spans="1:15">
      <c r="A227" s="6">
        <v>2026</v>
      </c>
      <c r="B227" s="7">
        <v>1</v>
      </c>
      <c r="C227" s="8">
        <v>46031</v>
      </c>
      <c r="D227" s="3" t="s">
        <v>640</v>
      </c>
      <c r="E227" s="3" t="s">
        <v>463</v>
      </c>
      <c r="F227" s="3" t="s">
        <v>464</v>
      </c>
      <c r="G227" s="3" t="s">
        <v>260</v>
      </c>
      <c r="H227" s="3" t="s">
        <v>255</v>
      </c>
      <c r="I227" s="3" t="s">
        <v>479</v>
      </c>
      <c r="J227" s="3" t="s">
        <v>46</v>
      </c>
      <c r="K227" s="2">
        <v>40</v>
      </c>
      <c r="L227" s="1">
        <v>64700</v>
      </c>
      <c r="M227" s="1">
        <v>2588000</v>
      </c>
      <c r="N227" s="1">
        <v>8</v>
      </c>
      <c r="O227" s="1">
        <v>207040</v>
      </c>
    </row>
    <row r="228" spans="1:15">
      <c r="A228" s="6">
        <v>2026</v>
      </c>
      <c r="B228" s="7">
        <v>1</v>
      </c>
      <c r="C228" s="8">
        <v>46034</v>
      </c>
      <c r="D228" s="3" t="s">
        <v>641</v>
      </c>
      <c r="E228" s="3" t="s">
        <v>298</v>
      </c>
      <c r="F228" s="3" t="s">
        <v>253</v>
      </c>
      <c r="G228" s="3" t="s">
        <v>254</v>
      </c>
      <c r="H228" s="3" t="s">
        <v>255</v>
      </c>
      <c r="I228" s="3" t="s">
        <v>322</v>
      </c>
      <c r="J228" s="3" t="s">
        <v>21</v>
      </c>
      <c r="K228" s="2">
        <v>120</v>
      </c>
      <c r="L228" s="1">
        <v>40621</v>
      </c>
      <c r="M228" s="1">
        <v>4874520</v>
      </c>
      <c r="N228" s="1">
        <v>10</v>
      </c>
      <c r="O228" s="1">
        <v>487452</v>
      </c>
    </row>
    <row r="229" spans="1:15">
      <c r="A229" s="6">
        <v>2026</v>
      </c>
      <c r="B229" s="7">
        <v>1</v>
      </c>
      <c r="C229" s="8">
        <v>46034</v>
      </c>
      <c r="D229" s="3" t="s">
        <v>642</v>
      </c>
      <c r="E229" s="3" t="s">
        <v>496</v>
      </c>
      <c r="F229" s="3" t="s">
        <v>337</v>
      </c>
      <c r="G229" s="3" t="s">
        <v>260</v>
      </c>
      <c r="H229" s="3" t="s">
        <v>255</v>
      </c>
      <c r="I229" s="3" t="s">
        <v>538</v>
      </c>
      <c r="J229" s="3" t="s">
        <v>21</v>
      </c>
      <c r="K229" s="2">
        <v>40</v>
      </c>
      <c r="L229" s="1">
        <v>40621</v>
      </c>
      <c r="M229" s="1">
        <v>1624840</v>
      </c>
      <c r="N229" s="1">
        <v>8</v>
      </c>
      <c r="O229" s="1">
        <v>129987.2</v>
      </c>
    </row>
    <row r="230" spans="1:15">
      <c r="A230" s="6">
        <v>2026</v>
      </c>
      <c r="B230" s="7">
        <v>1</v>
      </c>
      <c r="C230" s="8">
        <v>46034</v>
      </c>
      <c r="D230" s="3" t="s">
        <v>643</v>
      </c>
      <c r="E230" s="3" t="s">
        <v>304</v>
      </c>
      <c r="F230" s="3" t="s">
        <v>305</v>
      </c>
      <c r="G230" s="3" t="s">
        <v>306</v>
      </c>
      <c r="H230" s="3" t="s">
        <v>255</v>
      </c>
      <c r="I230" s="3" t="s">
        <v>644</v>
      </c>
      <c r="J230" s="3" t="s">
        <v>21</v>
      </c>
      <c r="K230" s="2">
        <v>20</v>
      </c>
      <c r="L230" s="1">
        <v>40621</v>
      </c>
      <c r="M230" s="1">
        <v>812420</v>
      </c>
      <c r="N230" s="1">
        <v>12</v>
      </c>
      <c r="O230" s="1">
        <v>97490.4</v>
      </c>
    </row>
    <row r="231" spans="1:15">
      <c r="A231" s="6">
        <v>2026</v>
      </c>
      <c r="B231" s="7">
        <v>1</v>
      </c>
      <c r="C231" s="8">
        <v>46034</v>
      </c>
      <c r="D231" s="3" t="s">
        <v>645</v>
      </c>
      <c r="E231" s="3" t="s">
        <v>311</v>
      </c>
      <c r="F231" s="3" t="s">
        <v>305</v>
      </c>
      <c r="G231" s="3" t="s">
        <v>306</v>
      </c>
      <c r="H231" s="3" t="s">
        <v>255</v>
      </c>
      <c r="I231" s="3" t="s">
        <v>330</v>
      </c>
      <c r="J231" s="3" t="s">
        <v>21</v>
      </c>
      <c r="K231" s="2">
        <v>50</v>
      </c>
      <c r="L231" s="1">
        <v>40621</v>
      </c>
      <c r="M231" s="1">
        <v>2031050</v>
      </c>
      <c r="N231" s="1">
        <v>12</v>
      </c>
      <c r="O231" s="1">
        <v>243726</v>
      </c>
    </row>
    <row r="232" spans="1:15">
      <c r="A232" s="6">
        <v>2026</v>
      </c>
      <c r="B232" s="7">
        <v>1</v>
      </c>
      <c r="C232" s="8">
        <v>46034</v>
      </c>
      <c r="D232" s="3" t="s">
        <v>646</v>
      </c>
      <c r="E232" s="3" t="s">
        <v>260</v>
      </c>
      <c r="F232" s="3" t="s">
        <v>32</v>
      </c>
      <c r="G232" s="3" t="s">
        <v>260</v>
      </c>
      <c r="H232" s="3" t="s">
        <v>255</v>
      </c>
      <c r="I232" s="3" t="s">
        <v>412</v>
      </c>
      <c r="J232" s="3" t="s">
        <v>21</v>
      </c>
      <c r="K232" s="2">
        <v>100</v>
      </c>
      <c r="L232" s="1">
        <v>40621</v>
      </c>
      <c r="M232" s="1">
        <v>4062100</v>
      </c>
      <c r="N232" s="1">
        <v>2</v>
      </c>
      <c r="O232" s="1">
        <v>81242</v>
      </c>
    </row>
    <row r="233" spans="1:15">
      <c r="A233" s="6">
        <v>2026</v>
      </c>
      <c r="B233" s="7">
        <v>1</v>
      </c>
      <c r="C233" s="8">
        <v>46034</v>
      </c>
      <c r="D233" s="3" t="s">
        <v>647</v>
      </c>
      <c r="E233" s="3" t="s">
        <v>311</v>
      </c>
      <c r="F233" s="3" t="s">
        <v>305</v>
      </c>
      <c r="G233" s="3" t="s">
        <v>306</v>
      </c>
      <c r="H233" s="3" t="s">
        <v>255</v>
      </c>
      <c r="I233" s="3" t="s">
        <v>648</v>
      </c>
      <c r="J233" s="3" t="s">
        <v>21</v>
      </c>
      <c r="K233" s="2">
        <v>50</v>
      </c>
      <c r="L233" s="1">
        <v>40621</v>
      </c>
      <c r="M233" s="1">
        <v>2031050</v>
      </c>
      <c r="N233" s="1">
        <v>10</v>
      </c>
      <c r="O233" s="1">
        <v>203105</v>
      </c>
    </row>
    <row r="234" spans="1:15">
      <c r="A234" s="6">
        <v>2026</v>
      </c>
      <c r="B234" s="7">
        <v>1</v>
      </c>
      <c r="C234" s="8">
        <v>46035</v>
      </c>
      <c r="D234" s="3" t="s">
        <v>649</v>
      </c>
      <c r="E234" s="3" t="s">
        <v>298</v>
      </c>
      <c r="F234" s="3" t="s">
        <v>253</v>
      </c>
      <c r="G234" s="3" t="s">
        <v>254</v>
      </c>
      <c r="H234" s="3" t="s">
        <v>255</v>
      </c>
      <c r="I234" s="3" t="s">
        <v>435</v>
      </c>
      <c r="J234" s="3" t="s">
        <v>21</v>
      </c>
      <c r="K234" s="2">
        <v>60</v>
      </c>
      <c r="L234" s="1">
        <v>40621</v>
      </c>
      <c r="M234" s="1">
        <v>2437260</v>
      </c>
      <c r="N234" s="1">
        <v>13</v>
      </c>
      <c r="O234" s="1">
        <v>316843.8</v>
      </c>
    </row>
    <row r="235" spans="1:15">
      <c r="A235" s="6">
        <v>2026</v>
      </c>
      <c r="B235" s="7">
        <v>1</v>
      </c>
      <c r="C235" s="8">
        <v>46035</v>
      </c>
      <c r="D235" s="3" t="s">
        <v>650</v>
      </c>
      <c r="E235" s="3" t="s">
        <v>501</v>
      </c>
      <c r="F235" s="3" t="s">
        <v>502</v>
      </c>
      <c r="G235" s="3" t="s">
        <v>260</v>
      </c>
      <c r="H235" s="3" t="s">
        <v>255</v>
      </c>
      <c r="I235" s="3" t="s">
        <v>651</v>
      </c>
      <c r="J235" s="3" t="s">
        <v>38</v>
      </c>
      <c r="K235" s="2">
        <v>10</v>
      </c>
      <c r="L235" s="1">
        <v>65000</v>
      </c>
      <c r="M235" s="1">
        <v>650000</v>
      </c>
      <c r="N235" s="1">
        <v>8</v>
      </c>
      <c r="O235" s="1">
        <v>52000</v>
      </c>
    </row>
    <row r="236" spans="1:15">
      <c r="A236" s="6">
        <v>2026</v>
      </c>
      <c r="B236" s="7">
        <v>1</v>
      </c>
      <c r="C236" s="8">
        <v>46035</v>
      </c>
      <c r="D236" s="3" t="s">
        <v>652</v>
      </c>
      <c r="E236" s="3" t="s">
        <v>311</v>
      </c>
      <c r="F236" s="3" t="s">
        <v>305</v>
      </c>
      <c r="G236" s="3" t="s">
        <v>306</v>
      </c>
      <c r="H236" s="3" t="s">
        <v>255</v>
      </c>
      <c r="I236" s="3" t="s">
        <v>312</v>
      </c>
      <c r="J236" s="3" t="s">
        <v>21</v>
      </c>
      <c r="K236" s="2">
        <v>20</v>
      </c>
      <c r="L236" s="1">
        <v>40621</v>
      </c>
      <c r="M236" s="1">
        <v>812420</v>
      </c>
      <c r="N236" s="1">
        <v>8</v>
      </c>
      <c r="O236" s="1">
        <v>64993.599999999999</v>
      </c>
    </row>
    <row r="237" spans="1:15">
      <c r="A237" s="6">
        <v>2026</v>
      </c>
      <c r="B237" s="7">
        <v>1</v>
      </c>
      <c r="C237" s="8">
        <v>46036</v>
      </c>
      <c r="D237" s="3" t="s">
        <v>653</v>
      </c>
      <c r="E237" s="3" t="s">
        <v>414</v>
      </c>
      <c r="F237" s="3" t="s">
        <v>305</v>
      </c>
      <c r="G237" s="3" t="s">
        <v>306</v>
      </c>
      <c r="H237" s="3" t="s">
        <v>255</v>
      </c>
      <c r="I237" s="3" t="s">
        <v>415</v>
      </c>
      <c r="J237" s="3" t="s">
        <v>21</v>
      </c>
      <c r="K237" s="2">
        <v>30</v>
      </c>
      <c r="L237" s="1">
        <v>40621</v>
      </c>
      <c r="M237" s="1">
        <v>1218630</v>
      </c>
      <c r="N237" s="1">
        <v>8</v>
      </c>
      <c r="O237" s="1">
        <v>97490.4</v>
      </c>
    </row>
    <row r="238" spans="1:15">
      <c r="A238" s="6">
        <v>2026</v>
      </c>
      <c r="B238" s="7">
        <v>1</v>
      </c>
      <c r="C238" s="8">
        <v>46036</v>
      </c>
      <c r="D238" s="3" t="s">
        <v>654</v>
      </c>
      <c r="E238" s="3" t="s">
        <v>354</v>
      </c>
      <c r="F238" s="3" t="s">
        <v>355</v>
      </c>
      <c r="G238" s="3" t="s">
        <v>306</v>
      </c>
      <c r="H238" s="3" t="s">
        <v>255</v>
      </c>
      <c r="I238" s="3" t="s">
        <v>655</v>
      </c>
      <c r="J238" s="3" t="s">
        <v>21</v>
      </c>
      <c r="K238" s="2">
        <v>30</v>
      </c>
      <c r="L238" s="1">
        <v>40621</v>
      </c>
      <c r="M238" s="1">
        <v>1218630</v>
      </c>
      <c r="N238" s="1">
        <v>10</v>
      </c>
      <c r="O238" s="1">
        <v>121863</v>
      </c>
    </row>
    <row r="239" spans="1:15">
      <c r="A239" s="6">
        <v>2026</v>
      </c>
      <c r="B239" s="7">
        <v>1</v>
      </c>
      <c r="C239" s="8">
        <v>46036</v>
      </c>
      <c r="D239" s="3" t="s">
        <v>656</v>
      </c>
      <c r="E239" s="3" t="s">
        <v>414</v>
      </c>
      <c r="F239" s="3" t="s">
        <v>305</v>
      </c>
      <c r="G239" s="3" t="s">
        <v>306</v>
      </c>
      <c r="H239" s="3" t="s">
        <v>255</v>
      </c>
      <c r="I239" s="3" t="s">
        <v>422</v>
      </c>
      <c r="J239" s="3" t="s">
        <v>21</v>
      </c>
      <c r="K239" s="2">
        <v>30</v>
      </c>
      <c r="L239" s="1">
        <v>40621</v>
      </c>
      <c r="M239" s="1">
        <v>1218630</v>
      </c>
      <c r="N239" s="1">
        <v>8</v>
      </c>
      <c r="O239" s="1">
        <v>97490.4</v>
      </c>
    </row>
    <row r="240" spans="1:15">
      <c r="A240" s="6">
        <v>2026</v>
      </c>
      <c r="B240" s="7">
        <v>1</v>
      </c>
      <c r="C240" s="8">
        <v>46037</v>
      </c>
      <c r="D240" s="3" t="s">
        <v>657</v>
      </c>
      <c r="E240" s="3" t="s">
        <v>414</v>
      </c>
      <c r="F240" s="3" t="s">
        <v>305</v>
      </c>
      <c r="G240" s="3" t="s">
        <v>306</v>
      </c>
      <c r="H240" s="3" t="s">
        <v>255</v>
      </c>
      <c r="I240" s="3" t="s">
        <v>658</v>
      </c>
      <c r="J240" s="3" t="s">
        <v>21</v>
      </c>
      <c r="K240" s="2">
        <v>50</v>
      </c>
      <c r="L240" s="1">
        <v>40621</v>
      </c>
      <c r="M240" s="1">
        <v>2031050</v>
      </c>
      <c r="N240" s="1">
        <v>8</v>
      </c>
      <c r="O240" s="1">
        <v>162484</v>
      </c>
    </row>
    <row r="241" spans="1:15">
      <c r="A241" s="6">
        <v>2026</v>
      </c>
      <c r="B241" s="7">
        <v>1</v>
      </c>
      <c r="C241" s="8">
        <v>46037</v>
      </c>
      <c r="D241" s="3" t="s">
        <v>659</v>
      </c>
      <c r="E241" s="3" t="s">
        <v>332</v>
      </c>
      <c r="F241" s="3" t="s">
        <v>333</v>
      </c>
      <c r="G241" s="3" t="s">
        <v>260</v>
      </c>
      <c r="H241" s="3" t="s">
        <v>255</v>
      </c>
      <c r="I241" s="3" t="s">
        <v>439</v>
      </c>
      <c r="J241" s="3" t="s">
        <v>21</v>
      </c>
      <c r="K241" s="2">
        <v>20</v>
      </c>
      <c r="L241" s="1">
        <v>40621</v>
      </c>
      <c r="M241" s="1">
        <v>812420</v>
      </c>
      <c r="N241" s="1">
        <v>10</v>
      </c>
      <c r="O241" s="1">
        <v>81242</v>
      </c>
    </row>
    <row r="242" spans="1:15">
      <c r="A242" s="6">
        <v>2026</v>
      </c>
      <c r="B242" s="7">
        <v>1</v>
      </c>
      <c r="C242" s="8">
        <v>46038</v>
      </c>
      <c r="D242" s="3" t="s">
        <v>660</v>
      </c>
      <c r="E242" s="3" t="s">
        <v>661</v>
      </c>
      <c r="F242" s="3" t="s">
        <v>305</v>
      </c>
      <c r="G242" s="3" t="s">
        <v>306</v>
      </c>
      <c r="H242" s="3" t="s">
        <v>255</v>
      </c>
      <c r="I242" s="3" t="s">
        <v>307</v>
      </c>
      <c r="J242" s="3" t="s">
        <v>21</v>
      </c>
      <c r="K242" s="2">
        <v>48</v>
      </c>
      <c r="L242" s="1">
        <v>40621</v>
      </c>
      <c r="M242" s="1">
        <v>1949808</v>
      </c>
      <c r="N242" s="1">
        <v>12</v>
      </c>
      <c r="O242" s="1">
        <v>233976.95999999999</v>
      </c>
    </row>
    <row r="243" spans="1:15">
      <c r="A243" s="6">
        <v>2026</v>
      </c>
      <c r="B243" s="7">
        <v>1</v>
      </c>
      <c r="C243" s="8">
        <v>46038</v>
      </c>
      <c r="D243" s="3" t="s">
        <v>662</v>
      </c>
      <c r="E243" s="3" t="s">
        <v>298</v>
      </c>
      <c r="F243" s="3" t="s">
        <v>253</v>
      </c>
      <c r="G243" s="3" t="s">
        <v>254</v>
      </c>
      <c r="H243" s="3" t="s">
        <v>255</v>
      </c>
      <c r="I243" s="3" t="s">
        <v>663</v>
      </c>
      <c r="J243" s="3" t="s">
        <v>21</v>
      </c>
      <c r="K243" s="2">
        <v>60</v>
      </c>
      <c r="L243" s="1">
        <v>40621</v>
      </c>
      <c r="M243" s="1">
        <v>2437260</v>
      </c>
      <c r="N243" s="1">
        <v>13</v>
      </c>
      <c r="O243" s="1">
        <v>316843.8</v>
      </c>
    </row>
    <row r="244" spans="1:15">
      <c r="A244" s="6">
        <v>2026</v>
      </c>
      <c r="B244" s="7">
        <v>1</v>
      </c>
      <c r="C244" s="8">
        <v>46038</v>
      </c>
      <c r="D244" s="3" t="s">
        <v>664</v>
      </c>
      <c r="E244" s="3" t="s">
        <v>258</v>
      </c>
      <c r="F244" s="3" t="s">
        <v>259</v>
      </c>
      <c r="G244" s="3" t="s">
        <v>260</v>
      </c>
      <c r="H244" s="3" t="s">
        <v>255</v>
      </c>
      <c r="I244" s="3" t="s">
        <v>665</v>
      </c>
      <c r="J244" s="3" t="s">
        <v>21</v>
      </c>
      <c r="K244" s="2">
        <v>20</v>
      </c>
      <c r="L244" s="1">
        <v>40621</v>
      </c>
      <c r="M244" s="1">
        <v>812420</v>
      </c>
      <c r="N244" s="1">
        <v>8</v>
      </c>
      <c r="O244" s="1">
        <v>64993.599999999999</v>
      </c>
    </row>
    <row r="245" spans="1:15">
      <c r="A245" s="6">
        <v>2026</v>
      </c>
      <c r="B245" s="7">
        <v>1</v>
      </c>
      <c r="C245" s="8">
        <v>46041</v>
      </c>
      <c r="D245" s="3" t="s">
        <v>666</v>
      </c>
      <c r="E245" s="3" t="s">
        <v>258</v>
      </c>
      <c r="F245" s="3" t="s">
        <v>259</v>
      </c>
      <c r="G245" s="3" t="s">
        <v>260</v>
      </c>
      <c r="H245" s="3" t="s">
        <v>255</v>
      </c>
      <c r="I245" s="3" t="s">
        <v>263</v>
      </c>
      <c r="J245" s="3" t="s">
        <v>21</v>
      </c>
      <c r="K245" s="2">
        <v>40</v>
      </c>
      <c r="L245" s="1">
        <v>40621</v>
      </c>
      <c r="M245" s="1">
        <v>1624840</v>
      </c>
      <c r="N245" s="1">
        <v>13</v>
      </c>
      <c r="O245" s="1">
        <v>211229.2</v>
      </c>
    </row>
    <row r="246" spans="1:15">
      <c r="A246" s="6">
        <v>2026</v>
      </c>
      <c r="B246" s="7">
        <v>1</v>
      </c>
      <c r="C246" s="8">
        <v>46041</v>
      </c>
      <c r="D246" s="3" t="s">
        <v>667</v>
      </c>
      <c r="E246" s="3" t="s">
        <v>311</v>
      </c>
      <c r="F246" s="3" t="s">
        <v>305</v>
      </c>
      <c r="G246" s="3" t="s">
        <v>306</v>
      </c>
      <c r="H246" s="3" t="s">
        <v>255</v>
      </c>
      <c r="I246" s="3" t="s">
        <v>668</v>
      </c>
      <c r="J246" s="3" t="s">
        <v>21</v>
      </c>
      <c r="K246" s="2">
        <v>20</v>
      </c>
      <c r="L246" s="1">
        <v>40621</v>
      </c>
      <c r="M246" s="1">
        <v>812420</v>
      </c>
      <c r="N246" s="1">
        <v>10</v>
      </c>
      <c r="O246" s="1">
        <v>81242</v>
      </c>
    </row>
    <row r="247" spans="1:15">
      <c r="A247" s="6">
        <v>2026</v>
      </c>
      <c r="B247" s="7">
        <v>1</v>
      </c>
      <c r="C247" s="8">
        <v>46041</v>
      </c>
      <c r="D247" s="3" t="s">
        <v>669</v>
      </c>
      <c r="E247" s="3" t="s">
        <v>332</v>
      </c>
      <c r="F247" s="3" t="s">
        <v>333</v>
      </c>
      <c r="G247" s="3" t="s">
        <v>260</v>
      </c>
      <c r="H247" s="3" t="s">
        <v>255</v>
      </c>
      <c r="I247" s="3" t="s">
        <v>117</v>
      </c>
      <c r="J247" s="3" t="s">
        <v>21</v>
      </c>
      <c r="K247" s="2">
        <v>60</v>
      </c>
      <c r="L247" s="1">
        <v>40621</v>
      </c>
      <c r="M247" s="1">
        <v>2437260</v>
      </c>
      <c r="N247" s="1">
        <v>8</v>
      </c>
      <c r="O247" s="1">
        <v>194980.8</v>
      </c>
    </row>
    <row r="248" spans="1:15">
      <c r="A248" s="6">
        <v>2026</v>
      </c>
      <c r="B248" s="7">
        <v>1</v>
      </c>
      <c r="C248" s="8">
        <v>46041</v>
      </c>
      <c r="D248" s="3" t="s">
        <v>670</v>
      </c>
      <c r="E248" s="3" t="s">
        <v>332</v>
      </c>
      <c r="F248" s="3" t="s">
        <v>333</v>
      </c>
      <c r="G248" s="3" t="s">
        <v>260</v>
      </c>
      <c r="H248" s="3" t="s">
        <v>255</v>
      </c>
      <c r="I248" s="3" t="s">
        <v>454</v>
      </c>
      <c r="J248" s="3" t="s">
        <v>21</v>
      </c>
      <c r="K248" s="2">
        <v>40</v>
      </c>
      <c r="L248" s="1">
        <v>40621</v>
      </c>
      <c r="M248" s="1">
        <v>1624840</v>
      </c>
      <c r="N248" s="1">
        <v>10</v>
      </c>
      <c r="O248" s="1">
        <v>162484</v>
      </c>
    </row>
    <row r="249" spans="1:15">
      <c r="A249" s="6">
        <v>2026</v>
      </c>
      <c r="B249" s="7">
        <v>1</v>
      </c>
      <c r="C249" s="8">
        <v>46041</v>
      </c>
      <c r="D249" s="3" t="s">
        <v>671</v>
      </c>
      <c r="E249" s="3" t="s">
        <v>496</v>
      </c>
      <c r="F249" s="3" t="s">
        <v>337</v>
      </c>
      <c r="G249" s="3" t="s">
        <v>260</v>
      </c>
      <c r="H249" s="3" t="s">
        <v>255</v>
      </c>
      <c r="I249" s="3" t="s">
        <v>538</v>
      </c>
      <c r="J249" s="3" t="s">
        <v>21</v>
      </c>
      <c r="K249" s="2">
        <v>80</v>
      </c>
      <c r="L249" s="1">
        <v>40621</v>
      </c>
      <c r="M249" s="1">
        <v>3249680</v>
      </c>
      <c r="N249" s="1">
        <v>8</v>
      </c>
      <c r="O249" s="1">
        <v>259974.39999999999</v>
      </c>
    </row>
    <row r="250" spans="1:15">
      <c r="A250" s="6">
        <v>2026</v>
      </c>
      <c r="B250" s="7">
        <v>1</v>
      </c>
      <c r="C250" s="8">
        <v>46042</v>
      </c>
      <c r="D250" s="3" t="s">
        <v>672</v>
      </c>
      <c r="E250" s="3" t="s">
        <v>673</v>
      </c>
      <c r="F250" s="3" t="s">
        <v>674</v>
      </c>
      <c r="G250" s="3" t="s">
        <v>260</v>
      </c>
      <c r="H250" s="3" t="s">
        <v>255</v>
      </c>
      <c r="I250" s="3" t="s">
        <v>312</v>
      </c>
      <c r="J250" s="3" t="s">
        <v>466</v>
      </c>
      <c r="K250" s="2">
        <v>30</v>
      </c>
      <c r="L250" s="1">
        <v>120000</v>
      </c>
      <c r="M250" s="1">
        <v>3600000</v>
      </c>
      <c r="N250" s="1">
        <v>8</v>
      </c>
      <c r="O250" s="1">
        <v>288000</v>
      </c>
    </row>
    <row r="251" spans="1:15">
      <c r="A251" s="6">
        <v>2026</v>
      </c>
      <c r="B251" s="7">
        <v>1</v>
      </c>
      <c r="C251" s="8">
        <v>46042</v>
      </c>
      <c r="D251" s="3" t="s">
        <v>675</v>
      </c>
      <c r="E251" s="3" t="s">
        <v>638</v>
      </c>
      <c r="F251" s="3" t="s">
        <v>337</v>
      </c>
      <c r="G251" s="3" t="s">
        <v>260</v>
      </c>
      <c r="H251" s="3" t="s">
        <v>255</v>
      </c>
      <c r="I251" s="3" t="s">
        <v>639</v>
      </c>
      <c r="J251" s="3" t="s">
        <v>21</v>
      </c>
      <c r="K251" s="2">
        <v>60</v>
      </c>
      <c r="L251" s="1">
        <v>40621</v>
      </c>
      <c r="M251" s="1">
        <v>2437260</v>
      </c>
      <c r="N251" s="1">
        <v>7</v>
      </c>
      <c r="O251" s="1">
        <v>170608.2</v>
      </c>
    </row>
    <row r="252" spans="1:15">
      <c r="A252" s="6">
        <v>2026</v>
      </c>
      <c r="B252" s="7">
        <v>1</v>
      </c>
      <c r="C252" s="8">
        <v>46042</v>
      </c>
      <c r="D252" s="3" t="s">
        <v>676</v>
      </c>
      <c r="E252" s="3" t="s">
        <v>677</v>
      </c>
      <c r="F252" s="3" t="s">
        <v>464</v>
      </c>
      <c r="G252" s="3" t="s">
        <v>260</v>
      </c>
      <c r="H252" s="3" t="s">
        <v>255</v>
      </c>
      <c r="I252" s="3" t="s">
        <v>678</v>
      </c>
      <c r="J252" s="3" t="s">
        <v>46</v>
      </c>
      <c r="K252" s="2">
        <v>10</v>
      </c>
      <c r="L252" s="1">
        <v>64700</v>
      </c>
      <c r="M252" s="1">
        <v>647000</v>
      </c>
      <c r="N252" s="1">
        <v>8</v>
      </c>
      <c r="O252" s="1">
        <v>51760</v>
      </c>
    </row>
    <row r="253" spans="1:15">
      <c r="A253" s="6">
        <v>2026</v>
      </c>
      <c r="B253" s="7">
        <v>1</v>
      </c>
      <c r="C253" s="8">
        <v>46042</v>
      </c>
      <c r="D253" s="3" t="s">
        <v>676</v>
      </c>
      <c r="E253" s="3" t="s">
        <v>677</v>
      </c>
      <c r="F253" s="3" t="s">
        <v>464</v>
      </c>
      <c r="G253" s="3" t="s">
        <v>260</v>
      </c>
      <c r="H253" s="3" t="s">
        <v>255</v>
      </c>
      <c r="I253" s="3" t="s">
        <v>678</v>
      </c>
      <c r="J253" s="3" t="s">
        <v>466</v>
      </c>
      <c r="K253" s="2">
        <v>10</v>
      </c>
      <c r="L253" s="1">
        <v>120000</v>
      </c>
      <c r="M253" s="1">
        <v>1200000</v>
      </c>
      <c r="N253" s="1">
        <v>8</v>
      </c>
      <c r="O253" s="1">
        <v>96000</v>
      </c>
    </row>
    <row r="254" spans="1:15">
      <c r="A254" s="6">
        <v>2026</v>
      </c>
      <c r="B254" s="7">
        <v>1</v>
      </c>
      <c r="C254" s="8">
        <v>46043</v>
      </c>
      <c r="D254" s="3" t="s">
        <v>679</v>
      </c>
      <c r="E254" s="3" t="s">
        <v>258</v>
      </c>
      <c r="F254" s="3" t="s">
        <v>259</v>
      </c>
      <c r="G254" s="3" t="s">
        <v>260</v>
      </c>
      <c r="H254" s="3" t="s">
        <v>255</v>
      </c>
      <c r="I254" s="3" t="s">
        <v>680</v>
      </c>
      <c r="J254" s="3" t="s">
        <v>21</v>
      </c>
      <c r="K254" s="2">
        <v>20</v>
      </c>
      <c r="L254" s="1">
        <v>40621</v>
      </c>
      <c r="M254" s="1">
        <v>812420</v>
      </c>
      <c r="N254" s="1">
        <v>13</v>
      </c>
      <c r="O254" s="1">
        <v>105614.6</v>
      </c>
    </row>
    <row r="255" spans="1:15">
      <c r="A255" s="6">
        <v>2026</v>
      </c>
      <c r="B255" s="7">
        <v>1</v>
      </c>
      <c r="C255" s="8">
        <v>46043</v>
      </c>
      <c r="D255" s="3" t="s">
        <v>681</v>
      </c>
      <c r="E255" s="3" t="s">
        <v>556</v>
      </c>
      <c r="F255" s="3" t="s">
        <v>305</v>
      </c>
      <c r="G255" s="3" t="s">
        <v>306</v>
      </c>
      <c r="H255" s="3" t="s">
        <v>255</v>
      </c>
      <c r="I255" s="3" t="s">
        <v>581</v>
      </c>
      <c r="J255" s="3" t="s">
        <v>21</v>
      </c>
      <c r="K255" s="2">
        <v>25</v>
      </c>
      <c r="L255" s="1">
        <v>40621</v>
      </c>
      <c r="M255" s="1">
        <v>1015525</v>
      </c>
      <c r="N255" s="1">
        <v>13</v>
      </c>
      <c r="O255" s="1">
        <v>132018.25</v>
      </c>
    </row>
    <row r="256" spans="1:15">
      <c r="A256" s="6">
        <v>2026</v>
      </c>
      <c r="B256" s="7">
        <v>1</v>
      </c>
      <c r="C256" s="8">
        <v>46043</v>
      </c>
      <c r="D256" s="3" t="s">
        <v>682</v>
      </c>
      <c r="E256" s="3" t="s">
        <v>260</v>
      </c>
      <c r="F256" s="3" t="s">
        <v>32</v>
      </c>
      <c r="G256" s="3" t="s">
        <v>260</v>
      </c>
      <c r="H256" s="3" t="s">
        <v>255</v>
      </c>
      <c r="I256" s="3" t="s">
        <v>412</v>
      </c>
      <c r="J256" s="3" t="s">
        <v>21</v>
      </c>
      <c r="K256" s="2">
        <v>240</v>
      </c>
      <c r="L256" s="1">
        <v>40621</v>
      </c>
      <c r="M256" s="1">
        <v>9749040</v>
      </c>
      <c r="N256" s="1">
        <v>2</v>
      </c>
      <c r="O256" s="1">
        <v>194980.8</v>
      </c>
    </row>
    <row r="257" spans="1:15">
      <c r="A257" s="6">
        <v>2026</v>
      </c>
      <c r="B257" s="7">
        <v>1</v>
      </c>
      <c r="C257" s="8">
        <v>46043</v>
      </c>
      <c r="D257" s="3" t="s">
        <v>683</v>
      </c>
      <c r="E257" s="3" t="s">
        <v>673</v>
      </c>
      <c r="F257" s="3" t="s">
        <v>674</v>
      </c>
      <c r="G257" s="3" t="s">
        <v>260</v>
      </c>
      <c r="H257" s="3" t="s">
        <v>255</v>
      </c>
      <c r="I257" s="3" t="s">
        <v>684</v>
      </c>
      <c r="J257" s="3" t="s">
        <v>466</v>
      </c>
      <c r="K257" s="2">
        <v>10</v>
      </c>
      <c r="L257" s="1">
        <v>120000</v>
      </c>
      <c r="M257" s="1">
        <v>1200000</v>
      </c>
      <c r="N257" s="1">
        <v>10</v>
      </c>
      <c r="O257" s="1">
        <v>120000</v>
      </c>
    </row>
    <row r="258" spans="1:15">
      <c r="A258" s="6">
        <v>2026</v>
      </c>
      <c r="B258" s="7">
        <v>1</v>
      </c>
      <c r="C258" s="8">
        <v>46044</v>
      </c>
      <c r="D258" s="3" t="s">
        <v>685</v>
      </c>
      <c r="E258" s="3" t="s">
        <v>553</v>
      </c>
      <c r="F258" s="3" t="s">
        <v>333</v>
      </c>
      <c r="G258" s="3" t="s">
        <v>260</v>
      </c>
      <c r="H258" s="3" t="s">
        <v>255</v>
      </c>
      <c r="I258" s="3" t="s">
        <v>686</v>
      </c>
      <c r="J258" s="3" t="s">
        <v>21</v>
      </c>
      <c r="K258" s="2">
        <v>15</v>
      </c>
      <c r="L258" s="1">
        <v>40621</v>
      </c>
      <c r="M258" s="1">
        <v>609315</v>
      </c>
      <c r="N258" s="1">
        <v>12</v>
      </c>
      <c r="O258" s="1">
        <v>73117.8</v>
      </c>
    </row>
    <row r="259" spans="1:15">
      <c r="A259" s="6">
        <v>2026</v>
      </c>
      <c r="B259" s="7">
        <v>1</v>
      </c>
      <c r="C259" s="8">
        <v>46044</v>
      </c>
      <c r="D259" s="3" t="s">
        <v>687</v>
      </c>
      <c r="E259" s="3" t="s">
        <v>575</v>
      </c>
      <c r="F259" s="3" t="s">
        <v>502</v>
      </c>
      <c r="G259" s="3" t="s">
        <v>260</v>
      </c>
      <c r="H259" s="3" t="s">
        <v>255</v>
      </c>
      <c r="I259" s="3" t="s">
        <v>688</v>
      </c>
      <c r="J259" s="3" t="s">
        <v>38</v>
      </c>
      <c r="K259" s="2">
        <v>20</v>
      </c>
      <c r="L259" s="1">
        <v>65000</v>
      </c>
      <c r="M259" s="1">
        <v>1300000</v>
      </c>
      <c r="N259" s="1">
        <v>8</v>
      </c>
      <c r="O259" s="1">
        <v>104000</v>
      </c>
    </row>
    <row r="260" spans="1:15">
      <c r="A260" s="6">
        <v>2026</v>
      </c>
      <c r="B260" s="7">
        <v>1</v>
      </c>
      <c r="C260" s="8">
        <v>46044</v>
      </c>
      <c r="D260" s="3" t="s">
        <v>689</v>
      </c>
      <c r="E260" s="3" t="s">
        <v>258</v>
      </c>
      <c r="F260" s="3" t="s">
        <v>259</v>
      </c>
      <c r="G260" s="3" t="s">
        <v>260</v>
      </c>
      <c r="H260" s="3" t="s">
        <v>255</v>
      </c>
      <c r="I260" s="3" t="s">
        <v>296</v>
      </c>
      <c r="J260" s="3" t="s">
        <v>21</v>
      </c>
      <c r="K260" s="2">
        <v>40</v>
      </c>
      <c r="L260" s="1">
        <v>40621</v>
      </c>
      <c r="M260" s="1">
        <v>1624840</v>
      </c>
      <c r="N260" s="1">
        <v>10</v>
      </c>
      <c r="O260" s="1">
        <v>162484</v>
      </c>
    </row>
    <row r="261" spans="1:15">
      <c r="A261" s="6">
        <v>2026</v>
      </c>
      <c r="B261" s="7">
        <v>1</v>
      </c>
      <c r="C261" s="8">
        <v>46044</v>
      </c>
      <c r="D261" s="3" t="s">
        <v>690</v>
      </c>
      <c r="E261" s="3" t="s">
        <v>556</v>
      </c>
      <c r="F261" s="3" t="s">
        <v>305</v>
      </c>
      <c r="G261" s="3" t="s">
        <v>306</v>
      </c>
      <c r="H261" s="3" t="s">
        <v>255</v>
      </c>
      <c r="I261" s="3" t="s">
        <v>691</v>
      </c>
      <c r="J261" s="3" t="s">
        <v>21</v>
      </c>
      <c r="K261" s="2">
        <v>10</v>
      </c>
      <c r="L261" s="1">
        <v>40621</v>
      </c>
      <c r="M261" s="1">
        <v>406210</v>
      </c>
      <c r="N261" s="1">
        <v>10</v>
      </c>
      <c r="O261" s="1">
        <v>40621</v>
      </c>
    </row>
    <row r="262" spans="1:15">
      <c r="A262" s="6">
        <v>2026</v>
      </c>
      <c r="B262" s="7">
        <v>1</v>
      </c>
      <c r="C262" s="8">
        <v>46044</v>
      </c>
      <c r="D262" s="3" t="s">
        <v>692</v>
      </c>
      <c r="E262" s="3" t="s">
        <v>332</v>
      </c>
      <c r="F262" s="3" t="s">
        <v>333</v>
      </c>
      <c r="G262" s="3" t="s">
        <v>260</v>
      </c>
      <c r="H262" s="3" t="s">
        <v>255</v>
      </c>
      <c r="I262" s="3" t="s">
        <v>62</v>
      </c>
      <c r="J262" s="3" t="s">
        <v>21</v>
      </c>
      <c r="K262" s="2">
        <v>20</v>
      </c>
      <c r="L262" s="1">
        <v>40621</v>
      </c>
      <c r="M262" s="1">
        <v>812420</v>
      </c>
      <c r="N262" s="1">
        <v>12</v>
      </c>
      <c r="O262" s="1">
        <v>97490.4</v>
      </c>
    </row>
    <row r="263" spans="1:15">
      <c r="A263" s="6">
        <v>2026</v>
      </c>
      <c r="B263" s="7">
        <v>1</v>
      </c>
      <c r="C263" s="8">
        <v>46044</v>
      </c>
      <c r="D263" s="3" t="s">
        <v>693</v>
      </c>
      <c r="E263" s="3" t="s">
        <v>258</v>
      </c>
      <c r="F263" s="3" t="s">
        <v>259</v>
      </c>
      <c r="G263" s="3" t="s">
        <v>260</v>
      </c>
      <c r="H263" s="3" t="s">
        <v>255</v>
      </c>
      <c r="I263" s="3" t="s">
        <v>368</v>
      </c>
      <c r="J263" s="3" t="s">
        <v>21</v>
      </c>
      <c r="K263" s="2">
        <v>120</v>
      </c>
      <c r="L263" s="1">
        <v>40621</v>
      </c>
      <c r="M263" s="1">
        <v>4874520</v>
      </c>
      <c r="N263" s="1">
        <v>8</v>
      </c>
      <c r="O263" s="1">
        <v>389961.6</v>
      </c>
    </row>
    <row r="264" spans="1:15">
      <c r="A264" s="6">
        <v>2026</v>
      </c>
      <c r="B264" s="7">
        <v>1</v>
      </c>
      <c r="C264" s="8">
        <v>46044</v>
      </c>
      <c r="D264" s="3" t="s">
        <v>694</v>
      </c>
      <c r="E264" s="3" t="s">
        <v>332</v>
      </c>
      <c r="F264" s="3" t="s">
        <v>333</v>
      </c>
      <c r="G264" s="3" t="s">
        <v>260</v>
      </c>
      <c r="H264" s="3" t="s">
        <v>255</v>
      </c>
      <c r="I264" s="3" t="s">
        <v>439</v>
      </c>
      <c r="J264" s="3" t="s">
        <v>21</v>
      </c>
      <c r="K264" s="2">
        <v>10</v>
      </c>
      <c r="L264" s="1">
        <v>40621</v>
      </c>
      <c r="M264" s="1">
        <v>406210</v>
      </c>
      <c r="N264" s="1">
        <v>10</v>
      </c>
      <c r="O264" s="1">
        <v>40621</v>
      </c>
    </row>
    <row r="265" spans="1:15">
      <c r="A265" s="6">
        <v>2026</v>
      </c>
      <c r="B265" s="7">
        <v>1</v>
      </c>
      <c r="C265" s="8">
        <v>46048</v>
      </c>
      <c r="D265" s="3" t="s">
        <v>695</v>
      </c>
      <c r="E265" s="3" t="s">
        <v>547</v>
      </c>
      <c r="F265" s="3" t="s">
        <v>464</v>
      </c>
      <c r="G265" s="3" t="s">
        <v>260</v>
      </c>
      <c r="H265" s="3" t="s">
        <v>255</v>
      </c>
      <c r="I265" s="3" t="s">
        <v>696</v>
      </c>
      <c r="J265" s="3" t="s">
        <v>46</v>
      </c>
      <c r="K265" s="2">
        <v>20</v>
      </c>
      <c r="L265" s="1">
        <v>64700</v>
      </c>
      <c r="M265" s="1">
        <v>1294000</v>
      </c>
      <c r="N265" s="1">
        <v>10</v>
      </c>
      <c r="O265" s="1">
        <v>129400</v>
      </c>
    </row>
    <row r="266" spans="1:15">
      <c r="A266" s="6">
        <v>2026</v>
      </c>
      <c r="B266" s="7">
        <v>1</v>
      </c>
      <c r="C266" s="8">
        <v>46049</v>
      </c>
      <c r="D266" s="3" t="s">
        <v>697</v>
      </c>
      <c r="E266" s="3" t="s">
        <v>332</v>
      </c>
      <c r="F266" s="3" t="s">
        <v>333</v>
      </c>
      <c r="G266" s="3" t="s">
        <v>260</v>
      </c>
      <c r="H266" s="3" t="s">
        <v>255</v>
      </c>
      <c r="I266" s="3" t="s">
        <v>439</v>
      </c>
      <c r="J266" s="3" t="s">
        <v>21</v>
      </c>
      <c r="K266" s="2">
        <v>20</v>
      </c>
      <c r="L266" s="1">
        <v>40621</v>
      </c>
      <c r="M266" s="1">
        <v>812420</v>
      </c>
      <c r="N266" s="1">
        <v>10</v>
      </c>
      <c r="O266" s="1">
        <v>81242</v>
      </c>
    </row>
    <row r="267" spans="1:15">
      <c r="A267" s="6">
        <v>2026</v>
      </c>
      <c r="B267" s="7">
        <v>1</v>
      </c>
      <c r="C267" s="8">
        <v>46049</v>
      </c>
      <c r="D267" s="3" t="s">
        <v>698</v>
      </c>
      <c r="E267" s="3" t="s">
        <v>575</v>
      </c>
      <c r="F267" s="3" t="s">
        <v>502</v>
      </c>
      <c r="G267" s="3" t="s">
        <v>260</v>
      </c>
      <c r="H267" s="3" t="s">
        <v>255</v>
      </c>
      <c r="I267" s="3" t="s">
        <v>617</v>
      </c>
      <c r="J267" s="3" t="s">
        <v>38</v>
      </c>
      <c r="K267" s="2">
        <v>30</v>
      </c>
      <c r="L267" s="1">
        <v>65000</v>
      </c>
      <c r="M267" s="1">
        <v>1950000</v>
      </c>
      <c r="N267" s="1">
        <v>8</v>
      </c>
      <c r="O267" s="1">
        <v>156000</v>
      </c>
    </row>
    <row r="268" spans="1:15">
      <c r="A268" s="6">
        <v>2026</v>
      </c>
      <c r="B268" s="7">
        <v>1</v>
      </c>
      <c r="C268" s="8">
        <v>46049</v>
      </c>
      <c r="D268" s="3" t="s">
        <v>699</v>
      </c>
      <c r="E268" s="3" t="s">
        <v>311</v>
      </c>
      <c r="F268" s="3" t="s">
        <v>305</v>
      </c>
      <c r="G268" s="3" t="s">
        <v>306</v>
      </c>
      <c r="H268" s="3" t="s">
        <v>255</v>
      </c>
      <c r="I268" s="3" t="s">
        <v>312</v>
      </c>
      <c r="J268" s="3" t="s">
        <v>21</v>
      </c>
      <c r="K268" s="2">
        <v>20</v>
      </c>
      <c r="L268" s="1">
        <v>40621</v>
      </c>
      <c r="M268" s="1">
        <v>812420</v>
      </c>
      <c r="N268" s="1">
        <v>8</v>
      </c>
      <c r="O268" s="1">
        <v>64993.599999999999</v>
      </c>
    </row>
    <row r="269" spans="1:15">
      <c r="A269" s="6">
        <v>2026</v>
      </c>
      <c r="B269" s="7">
        <v>1</v>
      </c>
      <c r="C269" s="8">
        <v>46050</v>
      </c>
      <c r="D269" s="3" t="s">
        <v>700</v>
      </c>
      <c r="E269" s="3" t="s">
        <v>575</v>
      </c>
      <c r="F269" s="3" t="s">
        <v>502</v>
      </c>
      <c r="G269" s="3" t="s">
        <v>260</v>
      </c>
      <c r="H269" s="3" t="s">
        <v>255</v>
      </c>
      <c r="I269" s="3" t="s">
        <v>701</v>
      </c>
      <c r="J269" s="3" t="s">
        <v>38</v>
      </c>
      <c r="K269" s="2">
        <v>20</v>
      </c>
      <c r="L269" s="1">
        <v>65000</v>
      </c>
      <c r="M269" s="1">
        <v>1300000</v>
      </c>
      <c r="N269" s="1">
        <v>8</v>
      </c>
      <c r="O269" s="1">
        <v>104000</v>
      </c>
    </row>
    <row r="270" spans="1:15">
      <c r="A270" s="6">
        <v>2026</v>
      </c>
      <c r="B270" s="7">
        <v>1</v>
      </c>
      <c r="C270" s="8">
        <v>46050</v>
      </c>
      <c r="D270" s="3" t="s">
        <v>702</v>
      </c>
      <c r="E270" s="3" t="s">
        <v>703</v>
      </c>
      <c r="F270" s="3" t="s">
        <v>704</v>
      </c>
      <c r="G270" s="3" t="s">
        <v>254</v>
      </c>
      <c r="H270" s="3" t="s">
        <v>255</v>
      </c>
      <c r="I270" s="3" t="s">
        <v>705</v>
      </c>
      <c r="J270" s="3" t="s">
        <v>46</v>
      </c>
      <c r="K270" s="2">
        <v>10</v>
      </c>
      <c r="L270" s="1">
        <v>64700</v>
      </c>
      <c r="M270" s="1">
        <v>647000</v>
      </c>
      <c r="N270" s="1">
        <v>13</v>
      </c>
      <c r="O270" s="1">
        <v>84110</v>
      </c>
    </row>
    <row r="271" spans="1:15">
      <c r="A271" s="6">
        <v>2026</v>
      </c>
      <c r="B271" s="7">
        <v>1</v>
      </c>
      <c r="C271" s="8">
        <v>46050</v>
      </c>
      <c r="D271" s="3" t="s">
        <v>706</v>
      </c>
      <c r="E271" s="3" t="s">
        <v>298</v>
      </c>
      <c r="F271" s="3" t="s">
        <v>253</v>
      </c>
      <c r="G271" s="3" t="s">
        <v>254</v>
      </c>
      <c r="H271" s="3" t="s">
        <v>255</v>
      </c>
      <c r="I271" s="3" t="s">
        <v>596</v>
      </c>
      <c r="J271" s="3" t="s">
        <v>21</v>
      </c>
      <c r="K271" s="2">
        <v>120</v>
      </c>
      <c r="L271" s="1">
        <v>40621</v>
      </c>
      <c r="M271" s="1">
        <v>4874520</v>
      </c>
      <c r="N271" s="1">
        <v>13</v>
      </c>
      <c r="O271" s="1">
        <v>633687.6</v>
      </c>
    </row>
    <row r="272" spans="1:15">
      <c r="A272" s="6">
        <v>2026</v>
      </c>
      <c r="B272" s="7">
        <v>1</v>
      </c>
      <c r="C272" s="8">
        <v>46051</v>
      </c>
      <c r="D272" s="3" t="s">
        <v>707</v>
      </c>
      <c r="E272" s="3" t="s">
        <v>254</v>
      </c>
      <c r="F272" s="3" t="s">
        <v>32</v>
      </c>
      <c r="G272" s="3" t="s">
        <v>260</v>
      </c>
      <c r="H272" s="3" t="s">
        <v>255</v>
      </c>
      <c r="I272" s="3" t="s">
        <v>412</v>
      </c>
      <c r="J272" s="3" t="s">
        <v>21</v>
      </c>
      <c r="K272" s="1">
        <v>1000</v>
      </c>
      <c r="L272" s="1">
        <v>40621</v>
      </c>
      <c r="M272" s="1">
        <v>40621000</v>
      </c>
      <c r="N272" s="1">
        <v>3</v>
      </c>
      <c r="O272" s="1">
        <v>1218630</v>
      </c>
    </row>
    <row r="273" spans="1:15">
      <c r="A273" s="6">
        <v>2026</v>
      </c>
      <c r="B273" s="7">
        <v>1</v>
      </c>
      <c r="C273" s="8">
        <v>46051</v>
      </c>
      <c r="D273" s="3" t="s">
        <v>708</v>
      </c>
      <c r="E273" s="3" t="s">
        <v>336</v>
      </c>
      <c r="F273" s="3" t="s">
        <v>337</v>
      </c>
      <c r="G273" s="3" t="s">
        <v>260</v>
      </c>
      <c r="H273" s="3" t="s">
        <v>255</v>
      </c>
      <c r="I273" s="3" t="s">
        <v>445</v>
      </c>
      <c r="J273" s="3" t="s">
        <v>21</v>
      </c>
      <c r="K273" s="2">
        <v>50</v>
      </c>
      <c r="L273" s="1">
        <v>40621</v>
      </c>
      <c r="M273" s="1">
        <v>2031050</v>
      </c>
      <c r="N273" s="1">
        <v>10</v>
      </c>
      <c r="O273" s="1">
        <v>203105</v>
      </c>
    </row>
    <row r="274" spans="1:15">
      <c r="A274" s="6">
        <v>2026</v>
      </c>
      <c r="B274" s="7">
        <v>1</v>
      </c>
      <c r="C274" s="8">
        <v>46051</v>
      </c>
      <c r="D274" s="3" t="s">
        <v>709</v>
      </c>
      <c r="E274" s="3" t="s">
        <v>710</v>
      </c>
      <c r="F274" s="3" t="s">
        <v>607</v>
      </c>
      <c r="G274" s="3" t="s">
        <v>254</v>
      </c>
      <c r="H274" s="3" t="s">
        <v>255</v>
      </c>
      <c r="I274" s="3" t="s">
        <v>711</v>
      </c>
      <c r="J274" s="3" t="s">
        <v>466</v>
      </c>
      <c r="K274" s="2">
        <v>10</v>
      </c>
      <c r="L274" s="1">
        <v>120000</v>
      </c>
      <c r="M274" s="1">
        <v>1200000</v>
      </c>
      <c r="N274" s="1">
        <v>10</v>
      </c>
      <c r="O274" s="1">
        <v>120000</v>
      </c>
    </row>
    <row r="275" spans="1:15">
      <c r="A275" s="6">
        <v>2026</v>
      </c>
      <c r="B275" s="7">
        <v>1</v>
      </c>
      <c r="C275" s="8">
        <v>46051</v>
      </c>
      <c r="D275" s="3" t="s">
        <v>712</v>
      </c>
      <c r="E275" s="3" t="s">
        <v>673</v>
      </c>
      <c r="F275" s="3" t="s">
        <v>674</v>
      </c>
      <c r="G275" s="3" t="s">
        <v>260</v>
      </c>
      <c r="H275" s="3" t="s">
        <v>255</v>
      </c>
      <c r="I275" s="3" t="s">
        <v>684</v>
      </c>
      <c r="J275" s="3" t="s">
        <v>466</v>
      </c>
      <c r="K275" s="2">
        <v>20</v>
      </c>
      <c r="L275" s="1">
        <v>120000</v>
      </c>
      <c r="M275" s="1">
        <v>2400000</v>
      </c>
      <c r="N275" s="1">
        <v>10</v>
      </c>
      <c r="O275" s="1">
        <v>240000</v>
      </c>
    </row>
    <row r="276" spans="1:15">
      <c r="A276" s="6">
        <v>2026</v>
      </c>
      <c r="B276" s="7">
        <v>1</v>
      </c>
      <c r="C276" s="8">
        <v>46051</v>
      </c>
      <c r="D276" s="3" t="s">
        <v>713</v>
      </c>
      <c r="E276" s="3" t="s">
        <v>332</v>
      </c>
      <c r="F276" s="3" t="s">
        <v>333</v>
      </c>
      <c r="G276" s="3" t="s">
        <v>260</v>
      </c>
      <c r="H276" s="3" t="s">
        <v>255</v>
      </c>
      <c r="I276" s="3" t="s">
        <v>536</v>
      </c>
      <c r="J276" s="3" t="s">
        <v>21</v>
      </c>
      <c r="K276" s="2">
        <v>35</v>
      </c>
      <c r="L276" s="1">
        <v>40621</v>
      </c>
      <c r="M276" s="1">
        <v>1421735</v>
      </c>
      <c r="N276" s="1">
        <v>13</v>
      </c>
      <c r="O276" s="1">
        <v>184825.55</v>
      </c>
    </row>
    <row r="277" spans="1:15">
      <c r="A277" s="6">
        <v>2026</v>
      </c>
      <c r="B277" s="7">
        <v>1</v>
      </c>
      <c r="C277" s="8">
        <v>46051</v>
      </c>
      <c r="D277" s="3" t="s">
        <v>714</v>
      </c>
      <c r="E277" s="3" t="s">
        <v>332</v>
      </c>
      <c r="F277" s="3" t="s">
        <v>333</v>
      </c>
      <c r="G277" s="3" t="s">
        <v>260</v>
      </c>
      <c r="H277" s="3" t="s">
        <v>255</v>
      </c>
      <c r="I277" s="3" t="s">
        <v>526</v>
      </c>
      <c r="J277" s="3" t="s">
        <v>21</v>
      </c>
      <c r="K277" s="2">
        <v>33</v>
      </c>
      <c r="L277" s="1">
        <v>40621</v>
      </c>
      <c r="M277" s="1">
        <v>1340493</v>
      </c>
      <c r="N277" s="1">
        <v>8</v>
      </c>
      <c r="O277" s="1">
        <v>107239.44</v>
      </c>
    </row>
    <row r="278" spans="1:15">
      <c r="A278" s="6">
        <v>2026</v>
      </c>
      <c r="B278" s="7">
        <v>1</v>
      </c>
      <c r="C278" s="8">
        <v>46051</v>
      </c>
      <c r="D278" s="3" t="s">
        <v>715</v>
      </c>
      <c r="E278" s="3" t="s">
        <v>703</v>
      </c>
      <c r="F278" s="3" t="s">
        <v>704</v>
      </c>
      <c r="G278" s="3" t="s">
        <v>254</v>
      </c>
      <c r="H278" s="3" t="s">
        <v>255</v>
      </c>
      <c r="I278" s="3" t="s">
        <v>320</v>
      </c>
      <c r="J278" s="3" t="s">
        <v>46</v>
      </c>
      <c r="K278" s="2">
        <v>10</v>
      </c>
      <c r="L278" s="1">
        <v>64700</v>
      </c>
      <c r="M278" s="1">
        <v>647000</v>
      </c>
      <c r="N278" s="1">
        <v>10</v>
      </c>
      <c r="O278" s="1">
        <v>64700</v>
      </c>
    </row>
    <row r="279" spans="1:15">
      <c r="A279" s="6">
        <v>2026</v>
      </c>
      <c r="B279" s="7">
        <v>2</v>
      </c>
      <c r="C279" s="8">
        <v>46055</v>
      </c>
      <c r="D279" s="3" t="s">
        <v>716</v>
      </c>
      <c r="E279" s="3" t="s">
        <v>311</v>
      </c>
      <c r="F279" s="3" t="s">
        <v>305</v>
      </c>
      <c r="G279" s="3" t="s">
        <v>306</v>
      </c>
      <c r="H279" s="3" t="s">
        <v>255</v>
      </c>
      <c r="I279" s="3" t="s">
        <v>668</v>
      </c>
      <c r="J279" s="3" t="s">
        <v>21</v>
      </c>
      <c r="K279" s="2">
        <v>48</v>
      </c>
      <c r="L279" s="1">
        <v>40621</v>
      </c>
      <c r="M279" s="1">
        <v>1949808</v>
      </c>
      <c r="N279" s="1">
        <v>8</v>
      </c>
      <c r="O279" s="1">
        <v>155984.64000000001</v>
      </c>
    </row>
    <row r="280" spans="1:15">
      <c r="A280" s="6">
        <v>2026</v>
      </c>
      <c r="B280" s="7">
        <v>2</v>
      </c>
      <c r="C280" s="8">
        <v>46056</v>
      </c>
      <c r="D280" s="3" t="s">
        <v>717</v>
      </c>
      <c r="E280" s="3" t="s">
        <v>553</v>
      </c>
      <c r="F280" s="3" t="s">
        <v>333</v>
      </c>
      <c r="G280" s="3" t="s">
        <v>260</v>
      </c>
      <c r="H280" s="3" t="s">
        <v>255</v>
      </c>
      <c r="I280" s="3" t="s">
        <v>563</v>
      </c>
      <c r="J280" s="3" t="s">
        <v>21</v>
      </c>
      <c r="K280" s="2">
        <v>125</v>
      </c>
      <c r="L280" s="1">
        <v>40621</v>
      </c>
      <c r="M280" s="1">
        <v>5077625</v>
      </c>
      <c r="N280" s="1">
        <v>12</v>
      </c>
      <c r="O280" s="1">
        <v>609315</v>
      </c>
    </row>
    <row r="281" spans="1:15">
      <c r="A281" s="6">
        <v>2026</v>
      </c>
      <c r="B281" s="7">
        <v>2</v>
      </c>
      <c r="C281" s="8">
        <v>46056</v>
      </c>
      <c r="D281" s="3" t="s">
        <v>717</v>
      </c>
      <c r="E281" s="3" t="s">
        <v>553</v>
      </c>
      <c r="F281" s="3" t="s">
        <v>333</v>
      </c>
      <c r="G281" s="3" t="s">
        <v>260</v>
      </c>
      <c r="H281" s="3" t="s">
        <v>255</v>
      </c>
      <c r="I281" s="3" t="s">
        <v>563</v>
      </c>
      <c r="J281" s="3" t="s">
        <v>21</v>
      </c>
      <c r="K281" s="2">
        <v>25</v>
      </c>
      <c r="L281" s="1">
        <v>40621</v>
      </c>
      <c r="M281" s="1">
        <v>1015525</v>
      </c>
      <c r="N281" s="1">
        <v>12</v>
      </c>
      <c r="O281" s="1">
        <v>121863</v>
      </c>
    </row>
    <row r="282" spans="1:15">
      <c r="A282" s="6">
        <v>2026</v>
      </c>
      <c r="B282" s="7">
        <v>2</v>
      </c>
      <c r="C282" s="8">
        <v>46058</v>
      </c>
      <c r="D282" s="3" t="s">
        <v>718</v>
      </c>
      <c r="E282" s="3" t="s">
        <v>673</v>
      </c>
      <c r="F282" s="3" t="s">
        <v>674</v>
      </c>
      <c r="G282" s="3" t="s">
        <v>260</v>
      </c>
      <c r="H282" s="3" t="s">
        <v>255</v>
      </c>
      <c r="I282" s="3" t="s">
        <v>719</v>
      </c>
      <c r="J282" s="3" t="s">
        <v>466</v>
      </c>
      <c r="K282" s="2">
        <v>10</v>
      </c>
      <c r="L282" s="1">
        <v>120000</v>
      </c>
      <c r="M282" s="1">
        <v>1200000</v>
      </c>
      <c r="N282" s="1">
        <v>13</v>
      </c>
      <c r="O282" s="1">
        <v>156000</v>
      </c>
    </row>
    <row r="283" spans="1:15">
      <c r="A283" s="6">
        <v>2026</v>
      </c>
      <c r="B283" s="7">
        <v>2</v>
      </c>
      <c r="C283" s="8">
        <v>46058</v>
      </c>
      <c r="D283" s="3" t="s">
        <v>720</v>
      </c>
      <c r="E283" s="3" t="s">
        <v>703</v>
      </c>
      <c r="F283" s="3" t="s">
        <v>704</v>
      </c>
      <c r="G283" s="3" t="s">
        <v>254</v>
      </c>
      <c r="H283" s="3" t="s">
        <v>255</v>
      </c>
      <c r="I283" s="3" t="s">
        <v>721</v>
      </c>
      <c r="J283" s="3" t="s">
        <v>46</v>
      </c>
      <c r="K283" s="2">
        <v>10</v>
      </c>
      <c r="L283" s="1">
        <v>64700</v>
      </c>
      <c r="M283" s="1">
        <v>647000</v>
      </c>
      <c r="N283" s="1">
        <v>10</v>
      </c>
      <c r="O283" s="1">
        <v>64700</v>
      </c>
    </row>
    <row r="284" spans="1:15">
      <c r="A284" s="6">
        <v>2026</v>
      </c>
      <c r="B284" s="7">
        <v>2</v>
      </c>
      <c r="C284" s="8">
        <v>46058</v>
      </c>
      <c r="D284" s="3" t="s">
        <v>722</v>
      </c>
      <c r="E284" s="3" t="s">
        <v>673</v>
      </c>
      <c r="F284" s="3" t="s">
        <v>674</v>
      </c>
      <c r="G284" s="3" t="s">
        <v>260</v>
      </c>
      <c r="H284" s="3" t="s">
        <v>255</v>
      </c>
      <c r="I284" s="3" t="s">
        <v>684</v>
      </c>
      <c r="J284" s="3" t="s">
        <v>466</v>
      </c>
      <c r="K284" s="2">
        <v>41</v>
      </c>
      <c r="L284" s="1">
        <v>120000</v>
      </c>
      <c r="M284" s="1">
        <v>4920000</v>
      </c>
      <c r="N284" s="1">
        <v>8</v>
      </c>
      <c r="O284" s="1">
        <v>393600</v>
      </c>
    </row>
    <row r="285" spans="1:15">
      <c r="A285" s="6">
        <v>2026</v>
      </c>
      <c r="B285" s="7">
        <v>2</v>
      </c>
      <c r="C285" s="8">
        <v>46058</v>
      </c>
      <c r="D285" s="3" t="s">
        <v>723</v>
      </c>
      <c r="E285" s="3" t="s">
        <v>332</v>
      </c>
      <c r="F285" s="3" t="s">
        <v>333</v>
      </c>
      <c r="G285" s="3" t="s">
        <v>260</v>
      </c>
      <c r="H285" s="3" t="s">
        <v>255</v>
      </c>
      <c r="I285" s="3" t="s">
        <v>62</v>
      </c>
      <c r="J285" s="3" t="s">
        <v>21</v>
      </c>
      <c r="K285" s="2">
        <v>20</v>
      </c>
      <c r="L285" s="1">
        <v>40621</v>
      </c>
      <c r="M285" s="1">
        <v>812420</v>
      </c>
      <c r="N285" s="1">
        <v>10</v>
      </c>
      <c r="O285" s="1">
        <v>81242</v>
      </c>
    </row>
    <row r="286" spans="1:15">
      <c r="A286" s="6">
        <v>2026</v>
      </c>
      <c r="B286" s="7">
        <v>2</v>
      </c>
      <c r="C286" s="8">
        <v>46058</v>
      </c>
      <c r="D286" s="3" t="s">
        <v>724</v>
      </c>
      <c r="E286" s="3" t="s">
        <v>336</v>
      </c>
      <c r="F286" s="3" t="s">
        <v>337</v>
      </c>
      <c r="G286" s="3" t="s">
        <v>260</v>
      </c>
      <c r="H286" s="3" t="s">
        <v>255</v>
      </c>
      <c r="I286" s="3" t="s">
        <v>346</v>
      </c>
      <c r="J286" s="3" t="s">
        <v>21</v>
      </c>
      <c r="K286" s="2">
        <v>20</v>
      </c>
      <c r="L286" s="1">
        <v>40621</v>
      </c>
      <c r="M286" s="1">
        <v>812420</v>
      </c>
      <c r="N286" s="1">
        <v>13</v>
      </c>
      <c r="O286" s="1">
        <v>105614.6</v>
      </c>
    </row>
    <row r="287" spans="1:15">
      <c r="A287" s="6">
        <v>2026</v>
      </c>
      <c r="B287" s="7">
        <v>2</v>
      </c>
      <c r="C287" s="8">
        <v>46058</v>
      </c>
      <c r="D287" s="3" t="s">
        <v>725</v>
      </c>
      <c r="E287" s="3" t="s">
        <v>606</v>
      </c>
      <c r="F287" s="3" t="s">
        <v>607</v>
      </c>
      <c r="G287" s="3" t="s">
        <v>254</v>
      </c>
      <c r="H287" s="3" t="s">
        <v>255</v>
      </c>
      <c r="I287" s="3" t="s">
        <v>635</v>
      </c>
      <c r="J287" s="3" t="s">
        <v>46</v>
      </c>
      <c r="K287" s="2">
        <v>30</v>
      </c>
      <c r="L287" s="1">
        <v>64700</v>
      </c>
      <c r="M287" s="1">
        <v>1941000</v>
      </c>
      <c r="N287" s="1">
        <v>13</v>
      </c>
      <c r="O287" s="1">
        <v>252330</v>
      </c>
    </row>
    <row r="288" spans="1:15">
      <c r="A288" s="6">
        <v>2026</v>
      </c>
      <c r="B288" s="7">
        <v>2</v>
      </c>
      <c r="C288" s="8">
        <v>46058</v>
      </c>
      <c r="D288" s="3" t="s">
        <v>726</v>
      </c>
      <c r="E288" s="3" t="s">
        <v>258</v>
      </c>
      <c r="F288" s="3" t="s">
        <v>259</v>
      </c>
      <c r="G288" s="3" t="s">
        <v>260</v>
      </c>
      <c r="H288" s="3" t="s">
        <v>255</v>
      </c>
      <c r="I288" s="3" t="s">
        <v>665</v>
      </c>
      <c r="J288" s="3" t="s">
        <v>21</v>
      </c>
      <c r="K288" s="2">
        <v>40</v>
      </c>
      <c r="L288" s="1">
        <v>40621</v>
      </c>
      <c r="M288" s="1">
        <v>1624840</v>
      </c>
      <c r="N288" s="1">
        <v>8</v>
      </c>
      <c r="O288" s="1">
        <v>129987.2</v>
      </c>
    </row>
    <row r="289" spans="1:15">
      <c r="A289" s="6">
        <v>2026</v>
      </c>
      <c r="B289" s="7">
        <v>2</v>
      </c>
      <c r="C289" s="8">
        <v>46058</v>
      </c>
      <c r="D289" s="3" t="s">
        <v>727</v>
      </c>
      <c r="E289" s="3" t="s">
        <v>673</v>
      </c>
      <c r="F289" s="3" t="s">
        <v>674</v>
      </c>
      <c r="G289" s="3" t="s">
        <v>260</v>
      </c>
      <c r="H289" s="3" t="s">
        <v>255</v>
      </c>
      <c r="I289" s="3" t="s">
        <v>312</v>
      </c>
      <c r="J289" s="3" t="s">
        <v>466</v>
      </c>
      <c r="K289" s="2">
        <v>40</v>
      </c>
      <c r="L289" s="1">
        <v>120000</v>
      </c>
      <c r="M289" s="1">
        <v>4800000</v>
      </c>
      <c r="N289" s="1">
        <v>8</v>
      </c>
      <c r="O289" s="1">
        <v>384000</v>
      </c>
    </row>
    <row r="290" spans="1:15">
      <c r="A290" s="6">
        <v>2026</v>
      </c>
      <c r="B290" s="7">
        <v>2</v>
      </c>
      <c r="C290" s="8">
        <v>46062</v>
      </c>
      <c r="D290" s="3" t="s">
        <v>728</v>
      </c>
      <c r="E290" s="3" t="s">
        <v>336</v>
      </c>
      <c r="F290" s="3" t="s">
        <v>337</v>
      </c>
      <c r="G290" s="3" t="s">
        <v>260</v>
      </c>
      <c r="H290" s="3" t="s">
        <v>255</v>
      </c>
      <c r="I290" s="3" t="s">
        <v>445</v>
      </c>
      <c r="J290" s="3" t="s">
        <v>21</v>
      </c>
      <c r="K290" s="2">
        <v>10</v>
      </c>
      <c r="L290" s="1">
        <v>40621</v>
      </c>
      <c r="M290" s="1">
        <v>406210</v>
      </c>
      <c r="N290" s="1">
        <v>10</v>
      </c>
      <c r="O290" s="1">
        <v>40621</v>
      </c>
    </row>
    <row r="291" spans="1:15">
      <c r="A291" s="6">
        <v>2026</v>
      </c>
      <c r="B291" s="7">
        <v>2</v>
      </c>
      <c r="C291" s="8">
        <v>46062</v>
      </c>
      <c r="D291" s="3" t="s">
        <v>729</v>
      </c>
      <c r="E291" s="3" t="s">
        <v>336</v>
      </c>
      <c r="F291" s="3" t="s">
        <v>337</v>
      </c>
      <c r="G291" s="3" t="s">
        <v>260</v>
      </c>
      <c r="H291" s="3" t="s">
        <v>255</v>
      </c>
      <c r="I291" s="3" t="s">
        <v>340</v>
      </c>
      <c r="J291" s="3" t="s">
        <v>21</v>
      </c>
      <c r="K291" s="2">
        <v>50</v>
      </c>
      <c r="L291" s="1">
        <v>40621</v>
      </c>
      <c r="M291" s="1">
        <v>2031050</v>
      </c>
      <c r="N291" s="1">
        <v>8</v>
      </c>
      <c r="O291" s="1">
        <v>162484</v>
      </c>
    </row>
    <row r="292" spans="1:15">
      <c r="A292" s="6">
        <v>2026</v>
      </c>
      <c r="B292" s="7">
        <v>2</v>
      </c>
      <c r="C292" s="8">
        <v>46062</v>
      </c>
      <c r="D292" s="3" t="s">
        <v>730</v>
      </c>
      <c r="E292" s="3" t="s">
        <v>496</v>
      </c>
      <c r="F292" s="3" t="s">
        <v>337</v>
      </c>
      <c r="G292" s="3" t="s">
        <v>260</v>
      </c>
      <c r="H292" s="3" t="s">
        <v>255</v>
      </c>
      <c r="I292" s="3" t="s">
        <v>538</v>
      </c>
      <c r="J292" s="3" t="s">
        <v>21</v>
      </c>
      <c r="K292" s="2">
        <v>30</v>
      </c>
      <c r="L292" s="1">
        <v>40621</v>
      </c>
      <c r="M292" s="1">
        <v>1218630</v>
      </c>
      <c r="N292" s="1">
        <v>8</v>
      </c>
      <c r="O292" s="1">
        <v>97490.4</v>
      </c>
    </row>
    <row r="293" spans="1:15">
      <c r="A293" s="6">
        <v>2026</v>
      </c>
      <c r="B293" s="7">
        <v>2</v>
      </c>
      <c r="C293" s="8">
        <v>46062</v>
      </c>
      <c r="D293" s="3" t="s">
        <v>731</v>
      </c>
      <c r="E293" s="3" t="s">
        <v>304</v>
      </c>
      <c r="F293" s="3" t="s">
        <v>305</v>
      </c>
      <c r="G293" s="3" t="s">
        <v>306</v>
      </c>
      <c r="H293" s="3" t="s">
        <v>255</v>
      </c>
      <c r="I293" s="3" t="s">
        <v>732</v>
      </c>
      <c r="J293" s="3" t="s">
        <v>21</v>
      </c>
      <c r="K293" s="2">
        <v>20</v>
      </c>
      <c r="L293" s="1">
        <v>40621</v>
      </c>
      <c r="M293" s="1">
        <v>812420</v>
      </c>
      <c r="N293" s="1">
        <v>10</v>
      </c>
      <c r="O293" s="1">
        <v>81242</v>
      </c>
    </row>
    <row r="294" spans="1:15">
      <c r="A294" s="6">
        <v>2026</v>
      </c>
      <c r="B294" s="7">
        <v>2</v>
      </c>
      <c r="C294" s="8">
        <v>46062</v>
      </c>
      <c r="D294" s="3" t="s">
        <v>733</v>
      </c>
      <c r="E294" s="3" t="s">
        <v>332</v>
      </c>
      <c r="F294" s="3" t="s">
        <v>333</v>
      </c>
      <c r="G294" s="3" t="s">
        <v>260</v>
      </c>
      <c r="H294" s="3" t="s">
        <v>255</v>
      </c>
      <c r="I294" s="3" t="s">
        <v>454</v>
      </c>
      <c r="J294" s="3" t="s">
        <v>21</v>
      </c>
      <c r="K294" s="2">
        <v>20</v>
      </c>
      <c r="L294" s="1">
        <v>40621</v>
      </c>
      <c r="M294" s="1">
        <v>812420</v>
      </c>
      <c r="N294" s="1">
        <v>10</v>
      </c>
      <c r="O294" s="1">
        <v>81242</v>
      </c>
    </row>
    <row r="295" spans="1:15">
      <c r="A295" s="6">
        <v>2026</v>
      </c>
      <c r="B295" s="7">
        <v>2</v>
      </c>
      <c r="C295" s="8">
        <v>46064</v>
      </c>
      <c r="D295" s="3" t="s">
        <v>734</v>
      </c>
      <c r="E295" s="3" t="s">
        <v>710</v>
      </c>
      <c r="F295" s="3" t="s">
        <v>607</v>
      </c>
      <c r="G295" s="3" t="s">
        <v>254</v>
      </c>
      <c r="H295" s="3" t="s">
        <v>255</v>
      </c>
      <c r="I295" s="3" t="s">
        <v>665</v>
      </c>
      <c r="J295" s="3" t="s">
        <v>466</v>
      </c>
      <c r="K295" s="2">
        <v>20</v>
      </c>
      <c r="L295" s="1">
        <v>120000</v>
      </c>
      <c r="M295" s="1">
        <v>2400000</v>
      </c>
      <c r="N295" s="1">
        <v>8</v>
      </c>
      <c r="O295" s="1">
        <v>192000</v>
      </c>
    </row>
    <row r="296" spans="1:15">
      <c r="A296" s="6">
        <v>2026</v>
      </c>
      <c r="B296" s="7">
        <v>2</v>
      </c>
      <c r="C296" s="8">
        <v>46064</v>
      </c>
      <c r="D296" s="3" t="s">
        <v>734</v>
      </c>
      <c r="E296" s="3" t="s">
        <v>710</v>
      </c>
      <c r="F296" s="3" t="s">
        <v>607</v>
      </c>
      <c r="G296" s="3" t="s">
        <v>254</v>
      </c>
      <c r="H296" s="3" t="s">
        <v>255</v>
      </c>
      <c r="I296" s="3" t="s">
        <v>665</v>
      </c>
      <c r="J296" s="3" t="s">
        <v>46</v>
      </c>
      <c r="K296" s="2">
        <v>20</v>
      </c>
      <c r="L296" s="1">
        <v>64700</v>
      </c>
      <c r="M296" s="1">
        <v>1294000</v>
      </c>
      <c r="N296" s="1">
        <v>8</v>
      </c>
      <c r="O296" s="1">
        <v>103520</v>
      </c>
    </row>
    <row r="297" spans="1:15">
      <c r="A297" s="6">
        <v>2026</v>
      </c>
      <c r="B297" s="7">
        <v>2</v>
      </c>
      <c r="C297" s="8">
        <v>46065</v>
      </c>
      <c r="D297" s="3" t="s">
        <v>735</v>
      </c>
      <c r="E297" s="3" t="s">
        <v>736</v>
      </c>
      <c r="F297" s="3" t="s">
        <v>704</v>
      </c>
      <c r="G297" s="3" t="s">
        <v>254</v>
      </c>
      <c r="H297" s="3" t="s">
        <v>255</v>
      </c>
      <c r="I297" s="3" t="s">
        <v>737</v>
      </c>
      <c r="J297" s="3" t="s">
        <v>46</v>
      </c>
      <c r="K297" s="2">
        <v>10</v>
      </c>
      <c r="L297" s="1">
        <v>64700</v>
      </c>
      <c r="M297" s="1">
        <v>647000</v>
      </c>
      <c r="N297" s="1">
        <v>14</v>
      </c>
      <c r="O297" s="1">
        <v>90580</v>
      </c>
    </row>
    <row r="298" spans="1:15">
      <c r="A298" s="6">
        <v>2026</v>
      </c>
      <c r="B298" s="7">
        <v>2</v>
      </c>
      <c r="C298" s="8">
        <v>46066</v>
      </c>
      <c r="D298" s="3" t="s">
        <v>738</v>
      </c>
      <c r="E298" s="3" t="s">
        <v>258</v>
      </c>
      <c r="F298" s="3" t="s">
        <v>259</v>
      </c>
      <c r="G298" s="3" t="s">
        <v>260</v>
      </c>
      <c r="H298" s="3" t="s">
        <v>255</v>
      </c>
      <c r="I298" s="3" t="s">
        <v>368</v>
      </c>
      <c r="J298" s="3" t="s">
        <v>21</v>
      </c>
      <c r="K298" s="2">
        <v>120</v>
      </c>
      <c r="L298" s="1">
        <v>40621</v>
      </c>
      <c r="M298" s="1">
        <v>4874520</v>
      </c>
      <c r="N298" s="1">
        <v>8</v>
      </c>
      <c r="O298" s="1">
        <v>389961.6</v>
      </c>
    </row>
    <row r="299" spans="1:15">
      <c r="A299" s="6">
        <v>2026</v>
      </c>
      <c r="B299" s="7">
        <v>2</v>
      </c>
      <c r="C299" s="8">
        <v>46066</v>
      </c>
      <c r="D299" s="3" t="s">
        <v>739</v>
      </c>
      <c r="E299" s="3" t="s">
        <v>414</v>
      </c>
      <c r="F299" s="3" t="s">
        <v>305</v>
      </c>
      <c r="G299" s="3" t="s">
        <v>306</v>
      </c>
      <c r="H299" s="3" t="s">
        <v>255</v>
      </c>
      <c r="I299" s="3" t="s">
        <v>415</v>
      </c>
      <c r="J299" s="3" t="s">
        <v>21</v>
      </c>
      <c r="K299" s="2">
        <v>50</v>
      </c>
      <c r="L299" s="1">
        <v>40621</v>
      </c>
      <c r="M299" s="1">
        <v>2031050</v>
      </c>
      <c r="N299" s="1">
        <v>8</v>
      </c>
      <c r="O299" s="1">
        <v>162484</v>
      </c>
    </row>
    <row r="300" spans="1:15">
      <c r="A300" s="6">
        <v>2026</v>
      </c>
      <c r="B300" s="7">
        <v>2</v>
      </c>
      <c r="C300" s="8">
        <v>46069</v>
      </c>
      <c r="D300" s="3" t="s">
        <v>740</v>
      </c>
      <c r="E300" s="3" t="s">
        <v>332</v>
      </c>
      <c r="F300" s="3" t="s">
        <v>333</v>
      </c>
      <c r="G300" s="3" t="s">
        <v>260</v>
      </c>
      <c r="H300" s="3" t="s">
        <v>255</v>
      </c>
      <c r="I300" s="3" t="s">
        <v>62</v>
      </c>
      <c r="J300" s="3" t="s">
        <v>21</v>
      </c>
      <c r="K300" s="2">
        <v>20</v>
      </c>
      <c r="L300" s="1">
        <v>40621</v>
      </c>
      <c r="M300" s="1">
        <v>812420</v>
      </c>
      <c r="N300" s="1">
        <v>12</v>
      </c>
      <c r="O300" s="1">
        <v>97490.4</v>
      </c>
    </row>
    <row r="301" spans="1:15">
      <c r="A301" s="6">
        <v>2026</v>
      </c>
      <c r="B301" s="7">
        <v>2</v>
      </c>
      <c r="C301" s="8">
        <v>46069</v>
      </c>
      <c r="D301" s="3" t="s">
        <v>741</v>
      </c>
      <c r="E301" s="3" t="s">
        <v>496</v>
      </c>
      <c r="F301" s="3" t="s">
        <v>337</v>
      </c>
      <c r="G301" s="3" t="s">
        <v>260</v>
      </c>
      <c r="H301" s="3" t="s">
        <v>255</v>
      </c>
      <c r="I301" s="3" t="s">
        <v>538</v>
      </c>
      <c r="J301" s="3" t="s">
        <v>21</v>
      </c>
      <c r="K301" s="2">
        <v>60</v>
      </c>
      <c r="L301" s="1">
        <v>40621</v>
      </c>
      <c r="M301" s="1">
        <v>2437260</v>
      </c>
      <c r="N301" s="1">
        <v>8</v>
      </c>
      <c r="O301" s="1">
        <v>194980.8</v>
      </c>
    </row>
    <row r="302" spans="1:15">
      <c r="A302" s="6">
        <v>2026</v>
      </c>
      <c r="B302" s="7">
        <v>2</v>
      </c>
      <c r="C302" s="8">
        <v>46069</v>
      </c>
      <c r="D302" s="3" t="s">
        <v>742</v>
      </c>
      <c r="E302" s="3" t="s">
        <v>332</v>
      </c>
      <c r="F302" s="3" t="s">
        <v>333</v>
      </c>
      <c r="G302" s="3" t="s">
        <v>260</v>
      </c>
      <c r="H302" s="3" t="s">
        <v>255</v>
      </c>
      <c r="I302" s="3" t="s">
        <v>289</v>
      </c>
      <c r="J302" s="3" t="s">
        <v>21</v>
      </c>
      <c r="K302" s="2">
        <v>100</v>
      </c>
      <c r="L302" s="1">
        <v>40621</v>
      </c>
      <c r="M302" s="1">
        <v>4062100</v>
      </c>
      <c r="N302" s="1">
        <v>10</v>
      </c>
      <c r="O302" s="1">
        <v>406210</v>
      </c>
    </row>
    <row r="303" spans="1:15">
      <c r="A303" s="6">
        <v>2026</v>
      </c>
      <c r="B303" s="7">
        <v>2</v>
      </c>
      <c r="C303" s="8">
        <v>46069</v>
      </c>
      <c r="D303" s="3" t="s">
        <v>743</v>
      </c>
      <c r="E303" s="3" t="s">
        <v>496</v>
      </c>
      <c r="F303" s="3" t="s">
        <v>337</v>
      </c>
      <c r="G303" s="3" t="s">
        <v>260</v>
      </c>
      <c r="H303" s="3" t="s">
        <v>255</v>
      </c>
      <c r="I303" s="3" t="s">
        <v>571</v>
      </c>
      <c r="J303" s="3" t="s">
        <v>21</v>
      </c>
      <c r="K303" s="2">
        <v>40</v>
      </c>
      <c r="L303" s="1">
        <v>40621</v>
      </c>
      <c r="M303" s="1">
        <v>1624840</v>
      </c>
      <c r="N303" s="1">
        <v>8</v>
      </c>
      <c r="O303" s="1">
        <v>129987.2</v>
      </c>
    </row>
    <row r="304" spans="1:15">
      <c r="A304" s="6">
        <v>2026</v>
      </c>
      <c r="B304" s="7">
        <v>2</v>
      </c>
      <c r="C304" s="8">
        <v>46070</v>
      </c>
      <c r="D304" s="3" t="s">
        <v>744</v>
      </c>
      <c r="E304" s="3" t="s">
        <v>673</v>
      </c>
      <c r="F304" s="3" t="s">
        <v>674</v>
      </c>
      <c r="G304" s="3" t="s">
        <v>260</v>
      </c>
      <c r="H304" s="3" t="s">
        <v>255</v>
      </c>
      <c r="I304" s="3" t="s">
        <v>684</v>
      </c>
      <c r="J304" s="3" t="s">
        <v>466</v>
      </c>
      <c r="K304" s="2">
        <v>50</v>
      </c>
      <c r="L304" s="1">
        <v>120000</v>
      </c>
      <c r="M304" s="1">
        <v>6000000</v>
      </c>
      <c r="N304" s="1">
        <v>8</v>
      </c>
      <c r="O304" s="1">
        <v>480000</v>
      </c>
    </row>
    <row r="305" spans="1:15">
      <c r="A305" s="6">
        <v>2026</v>
      </c>
      <c r="B305" s="7">
        <v>2</v>
      </c>
      <c r="C305" s="8">
        <v>46071</v>
      </c>
      <c r="D305" s="3" t="s">
        <v>745</v>
      </c>
      <c r="E305" s="3" t="s">
        <v>489</v>
      </c>
      <c r="F305" s="3" t="s">
        <v>464</v>
      </c>
      <c r="G305" s="3" t="s">
        <v>260</v>
      </c>
      <c r="H305" s="3" t="s">
        <v>255</v>
      </c>
      <c r="I305" s="3" t="s">
        <v>529</v>
      </c>
      <c r="J305" s="3" t="s">
        <v>466</v>
      </c>
      <c r="K305" s="2">
        <v>30</v>
      </c>
      <c r="L305" s="1">
        <v>120000</v>
      </c>
      <c r="M305" s="1">
        <v>3600000</v>
      </c>
      <c r="N305" s="1">
        <v>10</v>
      </c>
      <c r="O305" s="1">
        <v>360000</v>
      </c>
    </row>
    <row r="306" spans="1:15">
      <c r="A306" s="6">
        <v>2026</v>
      </c>
      <c r="B306" s="7">
        <v>2</v>
      </c>
      <c r="C306" s="8">
        <v>46071</v>
      </c>
      <c r="D306" s="3" t="s">
        <v>746</v>
      </c>
      <c r="E306" s="3" t="s">
        <v>575</v>
      </c>
      <c r="F306" s="3" t="s">
        <v>502</v>
      </c>
      <c r="G306" s="3" t="s">
        <v>260</v>
      </c>
      <c r="H306" s="3" t="s">
        <v>255</v>
      </c>
      <c r="I306" s="3" t="s">
        <v>688</v>
      </c>
      <c r="J306" s="3" t="s">
        <v>38</v>
      </c>
      <c r="K306" s="2">
        <v>30</v>
      </c>
      <c r="L306" s="1">
        <v>65000</v>
      </c>
      <c r="M306" s="1">
        <v>1950000</v>
      </c>
      <c r="N306" s="1">
        <v>8</v>
      </c>
      <c r="O306" s="1">
        <v>156000</v>
      </c>
    </row>
    <row r="307" spans="1:15">
      <c r="A307" s="6">
        <v>2026</v>
      </c>
      <c r="B307" s="7">
        <v>2</v>
      </c>
      <c r="C307" s="8">
        <v>46072</v>
      </c>
      <c r="D307" s="3" t="s">
        <v>747</v>
      </c>
      <c r="E307" s="3" t="s">
        <v>336</v>
      </c>
      <c r="F307" s="3" t="s">
        <v>337</v>
      </c>
      <c r="G307" s="3" t="s">
        <v>260</v>
      </c>
      <c r="H307" s="3" t="s">
        <v>255</v>
      </c>
      <c r="I307" s="3" t="s">
        <v>445</v>
      </c>
      <c r="J307" s="3" t="s">
        <v>21</v>
      </c>
      <c r="K307" s="2">
        <v>50</v>
      </c>
      <c r="L307" s="1">
        <v>40621</v>
      </c>
      <c r="M307" s="1">
        <v>2031050</v>
      </c>
      <c r="N307" s="1">
        <v>10</v>
      </c>
      <c r="O307" s="1">
        <v>203105</v>
      </c>
    </row>
    <row r="308" spans="1:15">
      <c r="A308" s="6">
        <v>2026</v>
      </c>
      <c r="B308" s="7">
        <v>2</v>
      </c>
      <c r="C308" s="8">
        <v>46072</v>
      </c>
      <c r="D308" s="3" t="s">
        <v>748</v>
      </c>
      <c r="E308" s="3" t="s">
        <v>463</v>
      </c>
      <c r="F308" s="3" t="s">
        <v>464</v>
      </c>
      <c r="G308" s="3" t="s">
        <v>260</v>
      </c>
      <c r="H308" s="3" t="s">
        <v>255</v>
      </c>
      <c r="I308" s="3" t="s">
        <v>678</v>
      </c>
      <c r="J308" s="3" t="s">
        <v>466</v>
      </c>
      <c r="K308" s="2">
        <v>20</v>
      </c>
      <c r="L308" s="1">
        <v>120000</v>
      </c>
      <c r="M308" s="1">
        <v>2400000</v>
      </c>
      <c r="N308" s="1">
        <v>8</v>
      </c>
      <c r="O308" s="1">
        <v>192000</v>
      </c>
    </row>
    <row r="309" spans="1:15">
      <c r="A309" s="6">
        <v>2026</v>
      </c>
      <c r="B309" s="7">
        <v>2</v>
      </c>
      <c r="C309" s="8">
        <v>46072</v>
      </c>
      <c r="D309" s="3" t="s">
        <v>749</v>
      </c>
      <c r="E309" s="3" t="s">
        <v>332</v>
      </c>
      <c r="F309" s="3" t="s">
        <v>333</v>
      </c>
      <c r="G309" s="3" t="s">
        <v>260</v>
      </c>
      <c r="H309" s="3" t="s">
        <v>255</v>
      </c>
      <c r="I309" s="3" t="s">
        <v>526</v>
      </c>
      <c r="J309" s="3" t="s">
        <v>21</v>
      </c>
      <c r="K309" s="2">
        <v>17</v>
      </c>
      <c r="L309" s="1">
        <v>40621</v>
      </c>
      <c r="M309" s="1">
        <v>690557</v>
      </c>
      <c r="N309" s="1">
        <v>8</v>
      </c>
      <c r="O309" s="1">
        <v>55244.56</v>
      </c>
    </row>
    <row r="310" spans="1:15">
      <c r="A310" s="6">
        <v>2026</v>
      </c>
      <c r="B310" s="7">
        <v>2</v>
      </c>
      <c r="C310" s="8">
        <v>46072</v>
      </c>
      <c r="D310" s="3" t="s">
        <v>750</v>
      </c>
      <c r="E310" s="3" t="s">
        <v>736</v>
      </c>
      <c r="F310" s="3" t="s">
        <v>704</v>
      </c>
      <c r="G310" s="3" t="s">
        <v>254</v>
      </c>
      <c r="H310" s="3" t="s">
        <v>255</v>
      </c>
      <c r="I310" s="3" t="s">
        <v>443</v>
      </c>
      <c r="J310" s="3" t="s">
        <v>46</v>
      </c>
      <c r="K310" s="2">
        <v>30</v>
      </c>
      <c r="L310" s="1">
        <v>64700</v>
      </c>
      <c r="M310" s="1">
        <v>1941000</v>
      </c>
      <c r="N310" s="1">
        <v>8</v>
      </c>
      <c r="O310" s="1">
        <v>155280</v>
      </c>
    </row>
    <row r="311" spans="1:15">
      <c r="A311" s="6">
        <v>2026</v>
      </c>
      <c r="B311" s="7">
        <v>2</v>
      </c>
      <c r="C311" s="8">
        <v>46073</v>
      </c>
      <c r="D311" s="3" t="s">
        <v>751</v>
      </c>
      <c r="E311" s="3" t="s">
        <v>414</v>
      </c>
      <c r="F311" s="3" t="s">
        <v>305</v>
      </c>
      <c r="G311" s="3" t="s">
        <v>306</v>
      </c>
      <c r="H311" s="3" t="s">
        <v>255</v>
      </c>
      <c r="I311" s="3" t="s">
        <v>456</v>
      </c>
      <c r="J311" s="3" t="s">
        <v>21</v>
      </c>
      <c r="K311" s="2">
        <v>22</v>
      </c>
      <c r="L311" s="1">
        <v>40621</v>
      </c>
      <c r="M311" s="1">
        <v>893662</v>
      </c>
      <c r="N311" s="1">
        <v>8</v>
      </c>
      <c r="O311" s="1">
        <v>71492.960000000006</v>
      </c>
    </row>
    <row r="312" spans="1:15">
      <c r="A312" s="6">
        <v>2026</v>
      </c>
      <c r="B312" s="7">
        <v>2</v>
      </c>
      <c r="C312" s="8">
        <v>46076</v>
      </c>
      <c r="D312" s="3" t="s">
        <v>752</v>
      </c>
      <c r="E312" s="3" t="s">
        <v>496</v>
      </c>
      <c r="F312" s="3" t="s">
        <v>337</v>
      </c>
      <c r="G312" s="3" t="s">
        <v>260</v>
      </c>
      <c r="H312" s="3" t="s">
        <v>255</v>
      </c>
      <c r="I312" s="3" t="s">
        <v>538</v>
      </c>
      <c r="J312" s="3" t="s">
        <v>21</v>
      </c>
      <c r="K312" s="2">
        <v>50</v>
      </c>
      <c r="L312" s="1">
        <v>40621</v>
      </c>
      <c r="M312" s="1">
        <v>2031050</v>
      </c>
      <c r="N312" s="1">
        <v>8</v>
      </c>
      <c r="O312" s="1">
        <v>162484</v>
      </c>
    </row>
    <row r="313" spans="1:15">
      <c r="A313" s="6">
        <v>2026</v>
      </c>
      <c r="B313" s="7">
        <v>2</v>
      </c>
      <c r="C313" s="8">
        <v>46076</v>
      </c>
      <c r="D313" s="3" t="s">
        <v>753</v>
      </c>
      <c r="E313" s="3" t="s">
        <v>556</v>
      </c>
      <c r="F313" s="3" t="s">
        <v>305</v>
      </c>
      <c r="G313" s="3" t="s">
        <v>306</v>
      </c>
      <c r="H313" s="3" t="s">
        <v>255</v>
      </c>
      <c r="I313" s="3" t="s">
        <v>754</v>
      </c>
      <c r="J313" s="3" t="s">
        <v>21</v>
      </c>
      <c r="K313" s="2">
        <v>15</v>
      </c>
      <c r="L313" s="1">
        <v>40621</v>
      </c>
      <c r="M313" s="1">
        <v>609315</v>
      </c>
      <c r="N313" s="1">
        <v>10</v>
      </c>
      <c r="O313" s="1">
        <v>60931.5</v>
      </c>
    </row>
    <row r="314" spans="1:15">
      <c r="A314" s="6">
        <v>2026</v>
      </c>
      <c r="B314" s="7">
        <v>2</v>
      </c>
      <c r="C314" s="8">
        <v>46076</v>
      </c>
      <c r="D314" s="3" t="s">
        <v>755</v>
      </c>
      <c r="E314" s="3" t="s">
        <v>673</v>
      </c>
      <c r="F314" s="3" t="s">
        <v>674</v>
      </c>
      <c r="G314" s="3" t="s">
        <v>260</v>
      </c>
      <c r="H314" s="3" t="s">
        <v>255</v>
      </c>
      <c r="I314" s="3" t="s">
        <v>312</v>
      </c>
      <c r="J314" s="3" t="s">
        <v>466</v>
      </c>
      <c r="K314" s="2">
        <v>30</v>
      </c>
      <c r="L314" s="1">
        <v>120000</v>
      </c>
      <c r="M314" s="1">
        <v>3600000</v>
      </c>
      <c r="N314" s="1">
        <v>8</v>
      </c>
      <c r="O314" s="1">
        <v>288000</v>
      </c>
    </row>
    <row r="315" spans="1:15">
      <c r="A315" s="6">
        <v>2026</v>
      </c>
      <c r="B315" s="7">
        <v>2</v>
      </c>
      <c r="C315" s="8">
        <v>46076</v>
      </c>
      <c r="D315" s="3" t="s">
        <v>756</v>
      </c>
      <c r="E315" s="3" t="s">
        <v>673</v>
      </c>
      <c r="F315" s="3" t="s">
        <v>674</v>
      </c>
      <c r="G315" s="3" t="s">
        <v>260</v>
      </c>
      <c r="H315" s="3" t="s">
        <v>255</v>
      </c>
      <c r="I315" s="3" t="s">
        <v>719</v>
      </c>
      <c r="J315" s="3" t="s">
        <v>466</v>
      </c>
      <c r="K315" s="2">
        <v>20</v>
      </c>
      <c r="L315" s="1">
        <v>120000</v>
      </c>
      <c r="M315" s="1">
        <v>2400000</v>
      </c>
      <c r="N315" s="1">
        <v>13</v>
      </c>
      <c r="O315" s="1">
        <v>312000</v>
      </c>
    </row>
    <row r="316" spans="1:15">
      <c r="A316" s="6">
        <v>2026</v>
      </c>
      <c r="B316" s="7">
        <v>2</v>
      </c>
      <c r="C316" s="8">
        <v>46076</v>
      </c>
      <c r="D316" s="3" t="s">
        <v>757</v>
      </c>
      <c r="E316" s="3" t="s">
        <v>332</v>
      </c>
      <c r="F316" s="3" t="s">
        <v>333</v>
      </c>
      <c r="G316" s="3" t="s">
        <v>260</v>
      </c>
      <c r="H316" s="3" t="s">
        <v>255</v>
      </c>
      <c r="I316" s="3" t="s">
        <v>469</v>
      </c>
      <c r="J316" s="3" t="s">
        <v>21</v>
      </c>
      <c r="K316" s="2">
        <v>7</v>
      </c>
      <c r="L316" s="1">
        <v>40621</v>
      </c>
      <c r="M316" s="1">
        <v>284347</v>
      </c>
      <c r="N316" s="1">
        <v>10</v>
      </c>
      <c r="O316" s="1">
        <v>28434.7</v>
      </c>
    </row>
    <row r="317" spans="1:15">
      <c r="A317" s="6">
        <v>2026</v>
      </c>
      <c r="B317" s="7">
        <v>2</v>
      </c>
      <c r="C317" s="8">
        <v>46076</v>
      </c>
      <c r="D317" s="3" t="s">
        <v>757</v>
      </c>
      <c r="E317" s="3" t="s">
        <v>332</v>
      </c>
      <c r="F317" s="3" t="s">
        <v>333</v>
      </c>
      <c r="G317" s="3" t="s">
        <v>260</v>
      </c>
      <c r="H317" s="3" t="s">
        <v>255</v>
      </c>
      <c r="I317" s="3" t="s">
        <v>469</v>
      </c>
      <c r="J317" s="3" t="s">
        <v>21</v>
      </c>
      <c r="K317" s="2">
        <v>13</v>
      </c>
      <c r="L317" s="1">
        <v>40621</v>
      </c>
      <c r="M317" s="1">
        <v>528073</v>
      </c>
      <c r="N317" s="1">
        <v>10</v>
      </c>
      <c r="O317" s="1">
        <v>52807.3</v>
      </c>
    </row>
    <row r="318" spans="1:15">
      <c r="A318" s="6">
        <v>2026</v>
      </c>
      <c r="B318" s="7">
        <v>2</v>
      </c>
      <c r="C318" s="8">
        <v>46077</v>
      </c>
      <c r="D318" s="3" t="s">
        <v>758</v>
      </c>
      <c r="E318" s="3" t="s">
        <v>759</v>
      </c>
      <c r="F318" s="3" t="s">
        <v>607</v>
      </c>
      <c r="G318" s="3" t="s">
        <v>254</v>
      </c>
      <c r="H318" s="3" t="s">
        <v>255</v>
      </c>
      <c r="I318" s="3" t="s">
        <v>760</v>
      </c>
      <c r="J318" s="3" t="s">
        <v>466</v>
      </c>
      <c r="K318" s="2">
        <v>20</v>
      </c>
      <c r="L318" s="1">
        <v>120000</v>
      </c>
      <c r="M318" s="1">
        <v>2400000</v>
      </c>
      <c r="N318" s="1">
        <v>8</v>
      </c>
      <c r="O318" s="1">
        <v>192000</v>
      </c>
    </row>
    <row r="319" spans="1:15">
      <c r="A319" s="6">
        <v>2026</v>
      </c>
      <c r="B319" s="7">
        <v>2</v>
      </c>
      <c r="C319" s="8">
        <v>46077</v>
      </c>
      <c r="D319" s="3" t="s">
        <v>758</v>
      </c>
      <c r="E319" s="3" t="s">
        <v>759</v>
      </c>
      <c r="F319" s="3" t="s">
        <v>607</v>
      </c>
      <c r="G319" s="3" t="s">
        <v>254</v>
      </c>
      <c r="H319" s="3" t="s">
        <v>255</v>
      </c>
      <c r="I319" s="3" t="s">
        <v>760</v>
      </c>
      <c r="J319" s="3" t="s">
        <v>46</v>
      </c>
      <c r="K319" s="2">
        <v>50</v>
      </c>
      <c r="L319" s="1">
        <v>64700</v>
      </c>
      <c r="M319" s="1">
        <v>3235000</v>
      </c>
      <c r="N319" s="1">
        <v>8</v>
      </c>
      <c r="O319" s="1">
        <v>258800</v>
      </c>
    </row>
    <row r="320" spans="1:15">
      <c r="A320" s="6">
        <v>2026</v>
      </c>
      <c r="B320" s="7">
        <v>2</v>
      </c>
      <c r="C320" s="8">
        <v>46078</v>
      </c>
      <c r="D320" s="3" t="s">
        <v>761</v>
      </c>
      <c r="E320" s="3" t="s">
        <v>414</v>
      </c>
      <c r="F320" s="3" t="s">
        <v>305</v>
      </c>
      <c r="G320" s="3" t="s">
        <v>306</v>
      </c>
      <c r="H320" s="3" t="s">
        <v>255</v>
      </c>
      <c r="I320" s="3" t="s">
        <v>422</v>
      </c>
      <c r="J320" s="3" t="s">
        <v>21</v>
      </c>
      <c r="K320" s="2">
        <v>50</v>
      </c>
      <c r="L320" s="1">
        <v>40621</v>
      </c>
      <c r="M320" s="1">
        <v>2031050</v>
      </c>
      <c r="N320" s="1">
        <v>8</v>
      </c>
      <c r="O320" s="1">
        <v>162484</v>
      </c>
    </row>
    <row r="321" spans="1:15">
      <c r="A321" s="6">
        <v>2026</v>
      </c>
      <c r="B321" s="7">
        <v>2</v>
      </c>
      <c r="C321" s="8">
        <v>46079</v>
      </c>
      <c r="D321" s="3" t="s">
        <v>762</v>
      </c>
      <c r="E321" s="3" t="s">
        <v>332</v>
      </c>
      <c r="F321" s="3" t="s">
        <v>333</v>
      </c>
      <c r="G321" s="3" t="s">
        <v>260</v>
      </c>
      <c r="H321" s="3" t="s">
        <v>255</v>
      </c>
      <c r="I321" s="3" t="s">
        <v>361</v>
      </c>
      <c r="J321" s="3" t="s">
        <v>21</v>
      </c>
      <c r="K321" s="2">
        <v>20</v>
      </c>
      <c r="L321" s="1">
        <v>40621</v>
      </c>
      <c r="M321" s="1">
        <v>812420</v>
      </c>
      <c r="N321" s="1">
        <v>8</v>
      </c>
      <c r="O321" s="1">
        <v>64993.599999999999</v>
      </c>
    </row>
    <row r="322" spans="1:15">
      <c r="A322" s="6">
        <v>2026</v>
      </c>
      <c r="B322" s="7">
        <v>2</v>
      </c>
      <c r="C322" s="8">
        <v>46079</v>
      </c>
      <c r="D322" s="3" t="s">
        <v>763</v>
      </c>
      <c r="E322" s="3" t="s">
        <v>258</v>
      </c>
      <c r="F322" s="3" t="s">
        <v>259</v>
      </c>
      <c r="G322" s="3" t="s">
        <v>260</v>
      </c>
      <c r="H322" s="3" t="s">
        <v>255</v>
      </c>
      <c r="I322" s="3" t="s">
        <v>296</v>
      </c>
      <c r="J322" s="3" t="s">
        <v>21</v>
      </c>
      <c r="K322" s="2">
        <v>43</v>
      </c>
      <c r="L322" s="1">
        <v>40621</v>
      </c>
      <c r="M322" s="1">
        <v>1746703</v>
      </c>
      <c r="N322" s="1">
        <v>10</v>
      </c>
      <c r="O322" s="1">
        <v>174670.3</v>
      </c>
    </row>
    <row r="323" spans="1:15">
      <c r="A323" s="6">
        <v>2026</v>
      </c>
      <c r="B323" s="7">
        <v>2</v>
      </c>
      <c r="C323" s="8">
        <v>46079</v>
      </c>
      <c r="D323" s="3" t="s">
        <v>764</v>
      </c>
      <c r="E323" s="3" t="s">
        <v>332</v>
      </c>
      <c r="F323" s="3" t="s">
        <v>333</v>
      </c>
      <c r="G323" s="3" t="s">
        <v>260</v>
      </c>
      <c r="H323" s="3" t="s">
        <v>255</v>
      </c>
      <c r="I323" s="3" t="s">
        <v>526</v>
      </c>
      <c r="J323" s="3" t="s">
        <v>21</v>
      </c>
      <c r="K323" s="2">
        <v>18</v>
      </c>
      <c r="L323" s="1">
        <v>40621</v>
      </c>
      <c r="M323" s="1">
        <v>731178</v>
      </c>
      <c r="N323" s="1">
        <v>8</v>
      </c>
      <c r="O323" s="1">
        <v>58494.239999999998</v>
      </c>
    </row>
    <row r="324" spans="1:15">
      <c r="A324" s="6">
        <v>2026</v>
      </c>
      <c r="B324" s="7">
        <v>2</v>
      </c>
      <c r="C324" s="8">
        <v>46079</v>
      </c>
      <c r="D324" s="3" t="s">
        <v>765</v>
      </c>
      <c r="E324" s="3" t="s">
        <v>414</v>
      </c>
      <c r="F324" s="3" t="s">
        <v>305</v>
      </c>
      <c r="G324" s="3" t="s">
        <v>306</v>
      </c>
      <c r="H324" s="3" t="s">
        <v>255</v>
      </c>
      <c r="I324" s="3" t="s">
        <v>415</v>
      </c>
      <c r="J324" s="3" t="s">
        <v>21</v>
      </c>
      <c r="K324" s="2">
        <v>100</v>
      </c>
      <c r="L324" s="1">
        <v>40621</v>
      </c>
      <c r="M324" s="1">
        <v>4062100</v>
      </c>
      <c r="N324" s="1">
        <v>8</v>
      </c>
      <c r="O324" s="1">
        <v>324968</v>
      </c>
    </row>
    <row r="325" spans="1:15">
      <c r="A325" s="6">
        <v>2026</v>
      </c>
      <c r="B325" s="7">
        <v>2</v>
      </c>
      <c r="C325" s="8">
        <v>46080</v>
      </c>
      <c r="D325" s="3" t="s">
        <v>766</v>
      </c>
      <c r="E325" s="3" t="s">
        <v>547</v>
      </c>
      <c r="F325" s="3" t="s">
        <v>464</v>
      </c>
      <c r="G325" s="3" t="s">
        <v>260</v>
      </c>
      <c r="H325" s="3" t="s">
        <v>255</v>
      </c>
      <c r="I325" s="3" t="s">
        <v>696</v>
      </c>
      <c r="J325" s="3" t="s">
        <v>46</v>
      </c>
      <c r="K325" s="2">
        <v>40</v>
      </c>
      <c r="L325" s="1">
        <v>64700</v>
      </c>
      <c r="M325" s="1">
        <v>2588000</v>
      </c>
      <c r="N325" s="1">
        <v>8</v>
      </c>
      <c r="O325" s="1">
        <v>207040</v>
      </c>
    </row>
    <row r="326" spans="1:15">
      <c r="A326" s="6">
        <v>2026</v>
      </c>
      <c r="B326" s="7">
        <v>2</v>
      </c>
      <c r="C326" s="8">
        <v>46080</v>
      </c>
      <c r="D326" s="3" t="s">
        <v>767</v>
      </c>
      <c r="E326" s="3" t="s">
        <v>414</v>
      </c>
      <c r="F326" s="3" t="s">
        <v>305</v>
      </c>
      <c r="G326" s="3" t="s">
        <v>306</v>
      </c>
      <c r="H326" s="3" t="s">
        <v>255</v>
      </c>
      <c r="I326" s="3" t="s">
        <v>60</v>
      </c>
      <c r="J326" s="3" t="s">
        <v>21</v>
      </c>
      <c r="K326" s="2">
        <v>40</v>
      </c>
      <c r="L326" s="1">
        <v>40621</v>
      </c>
      <c r="M326" s="1">
        <v>1624840</v>
      </c>
      <c r="N326" s="1">
        <v>12</v>
      </c>
      <c r="O326" s="1">
        <v>194980.8</v>
      </c>
    </row>
    <row r="327" spans="1:15">
      <c r="A327" s="6">
        <v>2026</v>
      </c>
      <c r="B327" s="7">
        <v>2</v>
      </c>
      <c r="C327" s="8">
        <v>46080</v>
      </c>
      <c r="D327" s="3" t="s">
        <v>768</v>
      </c>
      <c r="E327" s="3" t="s">
        <v>769</v>
      </c>
      <c r="F327" s="3" t="s">
        <v>355</v>
      </c>
      <c r="G327" s="3" t="s">
        <v>306</v>
      </c>
      <c r="H327" s="3" t="s">
        <v>255</v>
      </c>
      <c r="I327" s="3" t="s">
        <v>770</v>
      </c>
      <c r="J327" s="3" t="s">
        <v>21</v>
      </c>
      <c r="K327" s="2">
        <v>60</v>
      </c>
      <c r="L327" s="1">
        <v>40621</v>
      </c>
      <c r="M327" s="1">
        <v>2437260</v>
      </c>
      <c r="N327" s="1">
        <v>15</v>
      </c>
      <c r="O327" s="1">
        <v>365589</v>
      </c>
    </row>
    <row r="328" spans="1:15">
      <c r="A328" s="6">
        <v>2026</v>
      </c>
      <c r="B328" s="7">
        <v>2</v>
      </c>
      <c r="C328" s="8">
        <v>46080</v>
      </c>
      <c r="D328" s="3" t="s">
        <v>771</v>
      </c>
      <c r="E328" s="3" t="s">
        <v>710</v>
      </c>
      <c r="F328" s="3" t="s">
        <v>607</v>
      </c>
      <c r="G328" s="3" t="s">
        <v>254</v>
      </c>
      <c r="H328" s="3" t="s">
        <v>255</v>
      </c>
      <c r="I328" s="3" t="s">
        <v>772</v>
      </c>
      <c r="J328" s="3" t="s">
        <v>46</v>
      </c>
      <c r="K328" s="2">
        <v>10</v>
      </c>
      <c r="L328" s="1">
        <v>64700</v>
      </c>
      <c r="M328" s="1">
        <v>647000</v>
      </c>
      <c r="N328" s="1">
        <v>8</v>
      </c>
      <c r="O328" s="1">
        <v>51760</v>
      </c>
    </row>
    <row r="329" spans="1:15">
      <c r="A329" s="6">
        <v>2026</v>
      </c>
      <c r="B329" s="7">
        <v>3</v>
      </c>
      <c r="C329" s="8">
        <v>46083</v>
      </c>
      <c r="D329" s="3" t="s">
        <v>773</v>
      </c>
      <c r="E329" s="3" t="s">
        <v>638</v>
      </c>
      <c r="F329" s="3" t="s">
        <v>337</v>
      </c>
      <c r="G329" s="3" t="s">
        <v>260</v>
      </c>
      <c r="H329" s="3" t="s">
        <v>255</v>
      </c>
      <c r="I329" s="3" t="s">
        <v>639</v>
      </c>
      <c r="J329" s="3" t="s">
        <v>21</v>
      </c>
      <c r="K329" s="2">
        <v>40</v>
      </c>
      <c r="L329" s="1">
        <v>40621</v>
      </c>
      <c r="M329" s="1">
        <v>1624840</v>
      </c>
      <c r="N329" s="1">
        <v>7</v>
      </c>
      <c r="O329" s="1">
        <v>113738.8</v>
      </c>
    </row>
    <row r="330" spans="1:15">
      <c r="A330" s="6">
        <v>2026</v>
      </c>
      <c r="B330" s="7">
        <v>3</v>
      </c>
      <c r="C330" s="8">
        <v>46083</v>
      </c>
      <c r="D330" s="3" t="s">
        <v>774</v>
      </c>
      <c r="E330" s="3" t="s">
        <v>332</v>
      </c>
      <c r="F330" s="3" t="s">
        <v>333</v>
      </c>
      <c r="G330" s="3" t="s">
        <v>260</v>
      </c>
      <c r="H330" s="3" t="s">
        <v>255</v>
      </c>
      <c r="I330" s="3" t="s">
        <v>526</v>
      </c>
      <c r="J330" s="3" t="s">
        <v>21</v>
      </c>
      <c r="K330" s="2">
        <v>16</v>
      </c>
      <c r="L330" s="1">
        <v>40621</v>
      </c>
      <c r="M330" s="1">
        <v>649936</v>
      </c>
      <c r="N330" s="1">
        <v>8</v>
      </c>
      <c r="O330" s="1">
        <v>51994.879999999997</v>
      </c>
    </row>
    <row r="331" spans="1:15">
      <c r="A331" s="6">
        <v>2026</v>
      </c>
      <c r="B331" s="7">
        <v>3</v>
      </c>
      <c r="C331" s="8">
        <v>46084</v>
      </c>
      <c r="D331" s="3" t="s">
        <v>775</v>
      </c>
      <c r="E331" s="3" t="s">
        <v>575</v>
      </c>
      <c r="F331" s="3" t="s">
        <v>502</v>
      </c>
      <c r="G331" s="3" t="s">
        <v>260</v>
      </c>
      <c r="H331" s="3" t="s">
        <v>255</v>
      </c>
      <c r="I331" s="3" t="s">
        <v>617</v>
      </c>
      <c r="J331" s="3" t="s">
        <v>38</v>
      </c>
      <c r="K331" s="2">
        <v>50</v>
      </c>
      <c r="L331" s="1">
        <v>65000</v>
      </c>
      <c r="M331" s="1">
        <v>3250000</v>
      </c>
      <c r="N331" s="1">
        <v>8</v>
      </c>
      <c r="O331" s="1">
        <v>260000</v>
      </c>
    </row>
    <row r="332" spans="1:15">
      <c r="A332" s="6">
        <v>2026</v>
      </c>
      <c r="B332" s="7">
        <v>3</v>
      </c>
      <c r="C332" s="8">
        <v>46085</v>
      </c>
      <c r="D332" s="3" t="s">
        <v>776</v>
      </c>
      <c r="E332" s="3" t="s">
        <v>673</v>
      </c>
      <c r="F332" s="3" t="s">
        <v>674</v>
      </c>
      <c r="G332" s="3" t="s">
        <v>260</v>
      </c>
      <c r="H332" s="3" t="s">
        <v>255</v>
      </c>
      <c r="I332" s="3" t="s">
        <v>684</v>
      </c>
      <c r="J332" s="3" t="s">
        <v>466</v>
      </c>
      <c r="K332" s="2">
        <v>40</v>
      </c>
      <c r="L332" s="1">
        <v>120000</v>
      </c>
      <c r="M332" s="1">
        <v>4800000</v>
      </c>
      <c r="N332" s="1">
        <v>8</v>
      </c>
      <c r="O332" s="1">
        <v>384000</v>
      </c>
    </row>
    <row r="333" spans="1:15">
      <c r="A333" s="6">
        <v>2026</v>
      </c>
      <c r="B333" s="7">
        <v>3</v>
      </c>
      <c r="C333" s="8">
        <v>46085</v>
      </c>
      <c r="D333" s="3" t="s">
        <v>777</v>
      </c>
      <c r="E333" s="3" t="s">
        <v>673</v>
      </c>
      <c r="F333" s="3" t="s">
        <v>674</v>
      </c>
      <c r="G333" s="3" t="s">
        <v>260</v>
      </c>
      <c r="H333" s="3" t="s">
        <v>255</v>
      </c>
      <c r="I333" s="3" t="s">
        <v>312</v>
      </c>
      <c r="J333" s="3" t="s">
        <v>466</v>
      </c>
      <c r="K333" s="2">
        <v>30</v>
      </c>
      <c r="L333" s="1">
        <v>120000</v>
      </c>
      <c r="M333" s="1">
        <v>3600000</v>
      </c>
      <c r="N333" s="1">
        <v>8</v>
      </c>
      <c r="O333" s="1">
        <v>288000</v>
      </c>
    </row>
    <row r="334" spans="1:15">
      <c r="A334" s="6">
        <v>2026</v>
      </c>
      <c r="B334" s="7">
        <v>3</v>
      </c>
      <c r="C334" s="8">
        <v>46086</v>
      </c>
      <c r="D334" s="3" t="s">
        <v>778</v>
      </c>
      <c r="E334" s="3" t="s">
        <v>336</v>
      </c>
      <c r="F334" s="3" t="s">
        <v>337</v>
      </c>
      <c r="G334" s="3" t="s">
        <v>260</v>
      </c>
      <c r="H334" s="3" t="s">
        <v>255</v>
      </c>
      <c r="I334" s="3" t="s">
        <v>424</v>
      </c>
      <c r="J334" s="3" t="s">
        <v>21</v>
      </c>
      <c r="K334" s="2">
        <v>30</v>
      </c>
      <c r="L334" s="1">
        <v>40621</v>
      </c>
      <c r="M334" s="1">
        <v>1218630</v>
      </c>
      <c r="N334" s="1">
        <v>13</v>
      </c>
      <c r="O334" s="1">
        <v>158421.9</v>
      </c>
    </row>
    <row r="335" spans="1:15">
      <c r="A335" s="6">
        <v>2026</v>
      </c>
      <c r="B335" s="7">
        <v>3</v>
      </c>
      <c r="C335" s="8">
        <v>46086</v>
      </c>
      <c r="D335" s="3" t="s">
        <v>779</v>
      </c>
      <c r="E335" s="3" t="s">
        <v>332</v>
      </c>
      <c r="F335" s="3" t="s">
        <v>333</v>
      </c>
      <c r="G335" s="3" t="s">
        <v>260</v>
      </c>
      <c r="H335" s="3" t="s">
        <v>255</v>
      </c>
      <c r="I335" s="3" t="s">
        <v>117</v>
      </c>
      <c r="J335" s="3" t="s">
        <v>21</v>
      </c>
      <c r="K335" s="2">
        <v>60</v>
      </c>
      <c r="L335" s="1">
        <v>40621</v>
      </c>
      <c r="M335" s="1">
        <v>2437260</v>
      </c>
      <c r="N335" s="1">
        <v>8</v>
      </c>
      <c r="O335" s="1">
        <v>194980.8</v>
      </c>
    </row>
    <row r="336" spans="1:15">
      <c r="A336" s="6">
        <v>2026</v>
      </c>
      <c r="B336" s="7">
        <v>3</v>
      </c>
      <c r="C336" s="8">
        <v>46091</v>
      </c>
      <c r="D336" s="3" t="s">
        <v>780</v>
      </c>
      <c r="E336" s="3" t="s">
        <v>336</v>
      </c>
      <c r="F336" s="3" t="s">
        <v>337</v>
      </c>
      <c r="G336" s="3" t="s">
        <v>260</v>
      </c>
      <c r="H336" s="3" t="s">
        <v>255</v>
      </c>
      <c r="I336" s="3" t="s">
        <v>445</v>
      </c>
      <c r="J336" s="3" t="s">
        <v>21</v>
      </c>
      <c r="K336" s="2">
        <v>50</v>
      </c>
      <c r="L336" s="1">
        <v>40621</v>
      </c>
      <c r="M336" s="1">
        <v>2031050</v>
      </c>
      <c r="N336" s="1">
        <v>10</v>
      </c>
      <c r="O336" s="1">
        <v>203105</v>
      </c>
    </row>
    <row r="337" spans="1:15">
      <c r="A337" s="6">
        <v>2026</v>
      </c>
      <c r="B337" s="7">
        <v>3</v>
      </c>
      <c r="C337" s="8">
        <v>46091</v>
      </c>
      <c r="D337" s="3" t="s">
        <v>781</v>
      </c>
      <c r="E337" s="3" t="s">
        <v>496</v>
      </c>
      <c r="F337" s="3" t="s">
        <v>337</v>
      </c>
      <c r="G337" s="3" t="s">
        <v>260</v>
      </c>
      <c r="H337" s="3" t="s">
        <v>255</v>
      </c>
      <c r="I337" s="3" t="s">
        <v>782</v>
      </c>
      <c r="J337" s="3" t="s">
        <v>21</v>
      </c>
      <c r="K337" s="2">
        <v>10</v>
      </c>
      <c r="L337" s="1">
        <v>40621</v>
      </c>
      <c r="M337" s="1">
        <v>406210</v>
      </c>
      <c r="N337" s="1">
        <v>13</v>
      </c>
      <c r="O337" s="1">
        <v>52807.3</v>
      </c>
    </row>
    <row r="338" spans="1:15">
      <c r="A338" s="6">
        <v>2026</v>
      </c>
      <c r="B338" s="7">
        <v>3</v>
      </c>
      <c r="C338" s="8">
        <v>46092</v>
      </c>
      <c r="D338" s="3" t="s">
        <v>783</v>
      </c>
      <c r="E338" s="3" t="s">
        <v>547</v>
      </c>
      <c r="F338" s="3" t="s">
        <v>464</v>
      </c>
      <c r="G338" s="3" t="s">
        <v>260</v>
      </c>
      <c r="H338" s="3" t="s">
        <v>255</v>
      </c>
      <c r="I338" s="3" t="s">
        <v>784</v>
      </c>
      <c r="J338" s="3" t="s">
        <v>46</v>
      </c>
      <c r="K338" s="2">
        <v>20</v>
      </c>
      <c r="L338" s="1">
        <v>64700</v>
      </c>
      <c r="M338" s="1">
        <v>1294000</v>
      </c>
      <c r="N338" s="1">
        <v>13</v>
      </c>
      <c r="O338" s="1">
        <v>168220</v>
      </c>
    </row>
    <row r="339" spans="1:15">
      <c r="A339" s="6">
        <v>2026</v>
      </c>
      <c r="B339" s="7">
        <v>3</v>
      </c>
      <c r="C339" s="8">
        <v>46092</v>
      </c>
      <c r="D339" s="3" t="s">
        <v>785</v>
      </c>
      <c r="E339" s="3" t="s">
        <v>677</v>
      </c>
      <c r="F339" s="3" t="s">
        <v>464</v>
      </c>
      <c r="G339" s="3" t="s">
        <v>260</v>
      </c>
      <c r="H339" s="3" t="s">
        <v>255</v>
      </c>
      <c r="I339" s="3" t="s">
        <v>678</v>
      </c>
      <c r="J339" s="3" t="s">
        <v>46</v>
      </c>
      <c r="K339" s="2">
        <v>10</v>
      </c>
      <c r="L339" s="1">
        <v>64700</v>
      </c>
      <c r="M339" s="1">
        <v>647000</v>
      </c>
      <c r="N339" s="1">
        <v>8</v>
      </c>
      <c r="O339" s="1">
        <v>51760</v>
      </c>
    </row>
    <row r="340" spans="1:15">
      <c r="A340" s="6">
        <v>2026</v>
      </c>
      <c r="B340" s="7">
        <v>3</v>
      </c>
      <c r="C340" s="8">
        <v>46092</v>
      </c>
      <c r="D340" s="3" t="s">
        <v>786</v>
      </c>
      <c r="E340" s="3" t="s">
        <v>300</v>
      </c>
      <c r="F340" s="3" t="s">
        <v>301</v>
      </c>
      <c r="G340" s="3" t="s">
        <v>260</v>
      </c>
      <c r="H340" s="3" t="s">
        <v>255</v>
      </c>
      <c r="I340" s="3" t="s">
        <v>787</v>
      </c>
      <c r="J340" s="3" t="s">
        <v>21</v>
      </c>
      <c r="K340" s="2">
        <v>10</v>
      </c>
      <c r="L340" s="1">
        <v>40621</v>
      </c>
      <c r="M340" s="1">
        <v>406210</v>
      </c>
      <c r="N340" s="1">
        <v>15</v>
      </c>
      <c r="O340" s="1">
        <v>60931.5</v>
      </c>
    </row>
    <row r="341" spans="1:15">
      <c r="A341" s="6">
        <v>2026</v>
      </c>
      <c r="B341" s="7">
        <v>3</v>
      </c>
      <c r="C341" s="8">
        <v>46092</v>
      </c>
      <c r="D341" s="3" t="s">
        <v>788</v>
      </c>
      <c r="E341" s="3" t="s">
        <v>332</v>
      </c>
      <c r="F341" s="3" t="s">
        <v>333</v>
      </c>
      <c r="G341" s="3" t="s">
        <v>260</v>
      </c>
      <c r="H341" s="3" t="s">
        <v>255</v>
      </c>
      <c r="I341" s="3" t="s">
        <v>375</v>
      </c>
      <c r="J341" s="3" t="s">
        <v>21</v>
      </c>
      <c r="K341" s="2">
        <v>50</v>
      </c>
      <c r="L341" s="1">
        <v>40621</v>
      </c>
      <c r="M341" s="1">
        <v>2031050</v>
      </c>
      <c r="N341" s="1">
        <v>10</v>
      </c>
      <c r="O341" s="1">
        <v>203105</v>
      </c>
    </row>
    <row r="342" spans="1:15">
      <c r="A342" s="6">
        <v>2026</v>
      </c>
      <c r="B342" s="7">
        <v>3</v>
      </c>
      <c r="C342" s="8">
        <v>46092</v>
      </c>
      <c r="D342" s="3" t="s">
        <v>789</v>
      </c>
      <c r="E342" s="3" t="s">
        <v>501</v>
      </c>
      <c r="F342" s="3" t="s">
        <v>502</v>
      </c>
      <c r="G342" s="3" t="s">
        <v>260</v>
      </c>
      <c r="H342" s="3" t="s">
        <v>255</v>
      </c>
      <c r="I342" s="3" t="s">
        <v>508</v>
      </c>
      <c r="J342" s="3" t="s">
        <v>38</v>
      </c>
      <c r="K342" s="2">
        <v>30</v>
      </c>
      <c r="L342" s="1">
        <v>65000</v>
      </c>
      <c r="M342" s="1">
        <v>1950000</v>
      </c>
      <c r="N342" s="1">
        <v>11</v>
      </c>
      <c r="O342" s="1">
        <v>214500</v>
      </c>
    </row>
    <row r="343" spans="1:15">
      <c r="A343" s="6">
        <v>2026</v>
      </c>
      <c r="B343" s="7">
        <v>3</v>
      </c>
      <c r="C343" s="8">
        <v>46092</v>
      </c>
      <c r="D343" s="3" t="s">
        <v>790</v>
      </c>
      <c r="E343" s="3" t="s">
        <v>677</v>
      </c>
      <c r="F343" s="3" t="s">
        <v>464</v>
      </c>
      <c r="G343" s="3" t="s">
        <v>260</v>
      </c>
      <c r="H343" s="3" t="s">
        <v>255</v>
      </c>
      <c r="I343" s="3" t="s">
        <v>791</v>
      </c>
      <c r="J343" s="3" t="s">
        <v>466</v>
      </c>
      <c r="K343" s="2">
        <v>11</v>
      </c>
      <c r="L343" s="1">
        <v>120000</v>
      </c>
      <c r="M343" s="1">
        <v>1320000</v>
      </c>
      <c r="N343" s="1">
        <v>12</v>
      </c>
      <c r="O343" s="1">
        <v>158400</v>
      </c>
    </row>
    <row r="344" spans="1:15">
      <c r="A344" s="6">
        <v>2026</v>
      </c>
      <c r="B344" s="7">
        <v>3</v>
      </c>
      <c r="C344" s="8">
        <v>46092</v>
      </c>
      <c r="D344" s="3" t="s">
        <v>790</v>
      </c>
      <c r="E344" s="3" t="s">
        <v>677</v>
      </c>
      <c r="F344" s="3" t="s">
        <v>464</v>
      </c>
      <c r="G344" s="3" t="s">
        <v>260</v>
      </c>
      <c r="H344" s="3" t="s">
        <v>255</v>
      </c>
      <c r="I344" s="3" t="s">
        <v>791</v>
      </c>
      <c r="J344" s="3" t="s">
        <v>466</v>
      </c>
      <c r="K344" s="2">
        <v>9</v>
      </c>
      <c r="L344" s="1">
        <v>120000</v>
      </c>
      <c r="M344" s="1">
        <v>1080000</v>
      </c>
      <c r="N344" s="1">
        <v>12</v>
      </c>
      <c r="O344" s="1">
        <v>129600</v>
      </c>
    </row>
    <row r="345" spans="1:15">
      <c r="A345" s="6">
        <v>2026</v>
      </c>
      <c r="B345" s="7">
        <v>3</v>
      </c>
      <c r="C345" s="8">
        <v>46093</v>
      </c>
      <c r="D345" s="3" t="s">
        <v>792</v>
      </c>
      <c r="E345" s="3" t="s">
        <v>710</v>
      </c>
      <c r="F345" s="3" t="s">
        <v>607</v>
      </c>
      <c r="G345" s="3" t="s">
        <v>254</v>
      </c>
      <c r="H345" s="3" t="s">
        <v>255</v>
      </c>
      <c r="I345" s="3" t="s">
        <v>793</v>
      </c>
      <c r="J345" s="3" t="s">
        <v>466</v>
      </c>
      <c r="K345" s="2">
        <v>20</v>
      </c>
      <c r="L345" s="1">
        <v>120000</v>
      </c>
      <c r="M345" s="1">
        <v>2400000</v>
      </c>
      <c r="N345" s="1">
        <v>8</v>
      </c>
      <c r="O345" s="1">
        <v>192000</v>
      </c>
    </row>
    <row r="346" spans="1:15">
      <c r="A346" s="6">
        <v>2026</v>
      </c>
      <c r="B346" s="7">
        <v>3</v>
      </c>
      <c r="C346" s="8">
        <v>46093</v>
      </c>
      <c r="D346" s="3" t="s">
        <v>794</v>
      </c>
      <c r="E346" s="3" t="s">
        <v>677</v>
      </c>
      <c r="F346" s="3" t="s">
        <v>464</v>
      </c>
      <c r="G346" s="3" t="s">
        <v>260</v>
      </c>
      <c r="H346" s="3" t="s">
        <v>255</v>
      </c>
      <c r="I346" s="3" t="s">
        <v>479</v>
      </c>
      <c r="J346" s="3" t="s">
        <v>466</v>
      </c>
      <c r="K346" s="2">
        <v>50</v>
      </c>
      <c r="L346" s="1">
        <v>120000</v>
      </c>
      <c r="M346" s="1">
        <v>6000000</v>
      </c>
      <c r="N346" s="1">
        <v>8</v>
      </c>
      <c r="O346" s="1">
        <v>480000</v>
      </c>
    </row>
    <row r="347" spans="1:15">
      <c r="A347" s="6">
        <v>2026</v>
      </c>
      <c r="B347" s="7">
        <v>3</v>
      </c>
      <c r="C347" s="8">
        <v>46093</v>
      </c>
      <c r="D347" s="3" t="s">
        <v>795</v>
      </c>
      <c r="E347" s="3" t="s">
        <v>575</v>
      </c>
      <c r="F347" s="3" t="s">
        <v>502</v>
      </c>
      <c r="G347" s="3" t="s">
        <v>260</v>
      </c>
      <c r="H347" s="3" t="s">
        <v>255</v>
      </c>
      <c r="I347" s="3" t="s">
        <v>617</v>
      </c>
      <c r="J347" s="3" t="s">
        <v>38</v>
      </c>
      <c r="K347" s="2">
        <v>60</v>
      </c>
      <c r="L347" s="1">
        <v>65000</v>
      </c>
      <c r="M347" s="1">
        <v>3900000</v>
      </c>
      <c r="N347" s="1">
        <v>8</v>
      </c>
      <c r="O347" s="1">
        <v>312000</v>
      </c>
    </row>
    <row r="348" spans="1:15">
      <c r="A348" s="6">
        <v>2026</v>
      </c>
      <c r="B348" s="7">
        <v>3</v>
      </c>
      <c r="C348" s="8">
        <v>46093</v>
      </c>
      <c r="D348" s="3" t="s">
        <v>795</v>
      </c>
      <c r="E348" s="3" t="s">
        <v>575</v>
      </c>
      <c r="F348" s="3" t="s">
        <v>502</v>
      </c>
      <c r="G348" s="3" t="s">
        <v>260</v>
      </c>
      <c r="H348" s="3" t="s">
        <v>255</v>
      </c>
      <c r="I348" s="3" t="s">
        <v>617</v>
      </c>
      <c r="J348" s="3" t="s">
        <v>38</v>
      </c>
      <c r="K348" s="2">
        <v>40</v>
      </c>
      <c r="L348" s="1">
        <v>65000</v>
      </c>
      <c r="M348" s="1">
        <v>2600000</v>
      </c>
      <c r="N348" s="1">
        <v>8</v>
      </c>
      <c r="O348" s="1">
        <v>208000</v>
      </c>
    </row>
    <row r="349" spans="1:15">
      <c r="A349" s="6">
        <v>2026</v>
      </c>
      <c r="B349" s="7">
        <v>3</v>
      </c>
      <c r="C349" s="8">
        <v>46093</v>
      </c>
      <c r="D349" s="3" t="s">
        <v>796</v>
      </c>
      <c r="E349" s="3" t="s">
        <v>673</v>
      </c>
      <c r="F349" s="3" t="s">
        <v>674</v>
      </c>
      <c r="G349" s="3" t="s">
        <v>260</v>
      </c>
      <c r="H349" s="3" t="s">
        <v>255</v>
      </c>
      <c r="I349" s="3" t="s">
        <v>312</v>
      </c>
      <c r="J349" s="3" t="s">
        <v>466</v>
      </c>
      <c r="K349" s="2">
        <v>30</v>
      </c>
      <c r="L349" s="1">
        <v>120000</v>
      </c>
      <c r="M349" s="1">
        <v>3600000</v>
      </c>
      <c r="N349" s="1">
        <v>8</v>
      </c>
      <c r="O349" s="1">
        <v>288000</v>
      </c>
    </row>
    <row r="350" spans="1:15">
      <c r="A350" s="6">
        <v>2026</v>
      </c>
      <c r="B350" s="7">
        <v>3</v>
      </c>
      <c r="C350" s="8">
        <v>46093</v>
      </c>
      <c r="D350" s="3" t="s">
        <v>797</v>
      </c>
      <c r="E350" s="3" t="s">
        <v>332</v>
      </c>
      <c r="F350" s="3" t="s">
        <v>333</v>
      </c>
      <c r="G350" s="3" t="s">
        <v>260</v>
      </c>
      <c r="H350" s="3" t="s">
        <v>255</v>
      </c>
      <c r="I350" s="3" t="s">
        <v>454</v>
      </c>
      <c r="J350" s="3" t="s">
        <v>21</v>
      </c>
      <c r="K350" s="2">
        <v>14</v>
      </c>
      <c r="L350" s="1">
        <v>40621</v>
      </c>
      <c r="M350" s="1">
        <v>568694</v>
      </c>
      <c r="N350" s="1">
        <v>10</v>
      </c>
      <c r="O350" s="1">
        <v>56869.4</v>
      </c>
    </row>
    <row r="351" spans="1:15">
      <c r="A351" s="6">
        <v>2026</v>
      </c>
      <c r="B351" s="7">
        <v>3</v>
      </c>
      <c r="C351" s="8">
        <v>46094</v>
      </c>
      <c r="D351" s="3" t="s">
        <v>798</v>
      </c>
      <c r="E351" s="3" t="s">
        <v>703</v>
      </c>
      <c r="F351" s="3" t="s">
        <v>704</v>
      </c>
      <c r="G351" s="3" t="s">
        <v>254</v>
      </c>
      <c r="H351" s="3" t="s">
        <v>255</v>
      </c>
      <c r="I351" s="3" t="s">
        <v>799</v>
      </c>
      <c r="J351" s="3" t="s">
        <v>46</v>
      </c>
      <c r="K351" s="2">
        <v>5</v>
      </c>
      <c r="L351" s="1">
        <v>64700</v>
      </c>
      <c r="M351" s="1">
        <v>323500</v>
      </c>
      <c r="N351" s="1">
        <v>13</v>
      </c>
      <c r="O351" s="1">
        <v>42055</v>
      </c>
    </row>
    <row r="352" spans="1:15">
      <c r="A352" s="6">
        <v>2026</v>
      </c>
      <c r="B352" s="7">
        <v>3</v>
      </c>
      <c r="C352" s="8">
        <v>46094</v>
      </c>
      <c r="D352" s="3" t="s">
        <v>800</v>
      </c>
      <c r="E352" s="3" t="s">
        <v>801</v>
      </c>
      <c r="F352" s="3" t="s">
        <v>704</v>
      </c>
      <c r="G352" s="3" t="s">
        <v>254</v>
      </c>
      <c r="H352" s="3" t="s">
        <v>255</v>
      </c>
      <c r="I352" s="3" t="s">
        <v>802</v>
      </c>
      <c r="J352" s="3" t="s">
        <v>46</v>
      </c>
      <c r="K352" s="2">
        <v>50</v>
      </c>
      <c r="L352" s="1">
        <v>64700</v>
      </c>
      <c r="M352" s="1">
        <v>3235000</v>
      </c>
      <c r="N352" s="1">
        <v>5</v>
      </c>
      <c r="O352" s="1">
        <v>161750</v>
      </c>
    </row>
    <row r="353" spans="1:15">
      <c r="A353" s="6">
        <v>2026</v>
      </c>
      <c r="B353" s="7">
        <v>3</v>
      </c>
      <c r="C353" s="8">
        <v>46094</v>
      </c>
      <c r="D353" s="3" t="s">
        <v>803</v>
      </c>
      <c r="E353" s="3" t="s">
        <v>801</v>
      </c>
      <c r="F353" s="3" t="s">
        <v>704</v>
      </c>
      <c r="G353" s="3" t="s">
        <v>254</v>
      </c>
      <c r="H353" s="3" t="s">
        <v>255</v>
      </c>
      <c r="I353" s="3" t="s">
        <v>802</v>
      </c>
      <c r="J353" s="3" t="s">
        <v>466</v>
      </c>
      <c r="K353" s="2">
        <v>50</v>
      </c>
      <c r="L353" s="1">
        <v>120000</v>
      </c>
      <c r="M353" s="1">
        <v>6000000</v>
      </c>
      <c r="N353" s="1">
        <v>3</v>
      </c>
      <c r="O353" s="1">
        <v>180000</v>
      </c>
    </row>
    <row r="354" spans="1:15">
      <c r="A354" s="6">
        <v>2026</v>
      </c>
      <c r="B354" s="7">
        <v>3</v>
      </c>
      <c r="C354" s="8">
        <v>46097</v>
      </c>
      <c r="D354" s="3" t="s">
        <v>804</v>
      </c>
      <c r="E354" s="3" t="s">
        <v>496</v>
      </c>
      <c r="F354" s="3" t="s">
        <v>337</v>
      </c>
      <c r="G354" s="3" t="s">
        <v>260</v>
      </c>
      <c r="H354" s="3" t="s">
        <v>255</v>
      </c>
      <c r="I354" s="3" t="s">
        <v>538</v>
      </c>
      <c r="J354" s="3" t="s">
        <v>21</v>
      </c>
      <c r="K354" s="2">
        <v>60</v>
      </c>
      <c r="L354" s="1">
        <v>40621</v>
      </c>
      <c r="M354" s="1">
        <v>2437260</v>
      </c>
      <c r="N354" s="1">
        <v>8</v>
      </c>
      <c r="O354" s="1">
        <v>194980.8</v>
      </c>
    </row>
    <row r="355" spans="1:15">
      <c r="A355" s="6">
        <v>2026</v>
      </c>
      <c r="B355" s="7">
        <v>3</v>
      </c>
      <c r="C355" s="8">
        <v>46097</v>
      </c>
      <c r="D355" s="3" t="s">
        <v>805</v>
      </c>
      <c r="E355" s="3" t="s">
        <v>304</v>
      </c>
      <c r="F355" s="3" t="s">
        <v>305</v>
      </c>
      <c r="G355" s="3" t="s">
        <v>306</v>
      </c>
      <c r="H355" s="3" t="s">
        <v>255</v>
      </c>
      <c r="I355" s="3" t="s">
        <v>684</v>
      </c>
      <c r="J355" s="3" t="s">
        <v>21</v>
      </c>
      <c r="K355" s="2">
        <v>10</v>
      </c>
      <c r="L355" s="1">
        <v>40621</v>
      </c>
      <c r="M355" s="1">
        <v>406210</v>
      </c>
      <c r="N355" s="1">
        <v>8</v>
      </c>
      <c r="O355" s="1">
        <v>32496.799999999999</v>
      </c>
    </row>
    <row r="356" spans="1:15">
      <c r="A356" s="6">
        <v>2026</v>
      </c>
      <c r="B356" s="7">
        <v>3</v>
      </c>
      <c r="C356" s="8">
        <v>46097</v>
      </c>
      <c r="D356" s="3" t="s">
        <v>806</v>
      </c>
      <c r="E356" s="3" t="s">
        <v>489</v>
      </c>
      <c r="F356" s="3" t="s">
        <v>464</v>
      </c>
      <c r="G356" s="3" t="s">
        <v>260</v>
      </c>
      <c r="H356" s="3" t="s">
        <v>255</v>
      </c>
      <c r="I356" s="3" t="s">
        <v>529</v>
      </c>
      <c r="J356" s="3" t="s">
        <v>466</v>
      </c>
      <c r="K356" s="2">
        <v>20</v>
      </c>
      <c r="L356" s="1">
        <v>120000</v>
      </c>
      <c r="M356" s="1">
        <v>2400000</v>
      </c>
      <c r="N356" s="1">
        <v>10</v>
      </c>
      <c r="O356" s="1">
        <v>240000</v>
      </c>
    </row>
    <row r="357" spans="1:15">
      <c r="A357" s="6">
        <v>2026</v>
      </c>
      <c r="B357" s="7">
        <v>3</v>
      </c>
      <c r="C357" s="8">
        <v>46097</v>
      </c>
      <c r="D357" s="3" t="s">
        <v>807</v>
      </c>
      <c r="E357" s="3" t="s">
        <v>336</v>
      </c>
      <c r="F357" s="3" t="s">
        <v>337</v>
      </c>
      <c r="G357" s="3" t="s">
        <v>260</v>
      </c>
      <c r="H357" s="3" t="s">
        <v>255</v>
      </c>
      <c r="I357" s="3" t="s">
        <v>378</v>
      </c>
      <c r="J357" s="3" t="s">
        <v>21</v>
      </c>
      <c r="K357" s="2">
        <v>15</v>
      </c>
      <c r="L357" s="1">
        <v>40621</v>
      </c>
      <c r="M357" s="1">
        <v>609315</v>
      </c>
      <c r="N357" s="1">
        <v>8</v>
      </c>
      <c r="O357" s="1">
        <v>48745.2</v>
      </c>
    </row>
    <row r="358" spans="1:15">
      <c r="A358" s="6">
        <v>2026</v>
      </c>
      <c r="B358" s="7">
        <v>3</v>
      </c>
      <c r="C358" s="8">
        <v>46097</v>
      </c>
      <c r="D358" s="3" t="s">
        <v>808</v>
      </c>
      <c r="E358" s="3" t="s">
        <v>489</v>
      </c>
      <c r="F358" s="3" t="s">
        <v>464</v>
      </c>
      <c r="G358" s="3" t="s">
        <v>260</v>
      </c>
      <c r="H358" s="3" t="s">
        <v>255</v>
      </c>
      <c r="I358" s="3" t="s">
        <v>498</v>
      </c>
      <c r="J358" s="3" t="s">
        <v>466</v>
      </c>
      <c r="K358" s="2">
        <v>10</v>
      </c>
      <c r="L358" s="1">
        <v>120000</v>
      </c>
      <c r="M358" s="1">
        <v>1200000</v>
      </c>
      <c r="N358" s="1">
        <v>10</v>
      </c>
      <c r="O358" s="1">
        <v>120000</v>
      </c>
    </row>
    <row r="359" spans="1:15">
      <c r="A359" s="6">
        <v>2026</v>
      </c>
      <c r="B359" s="7">
        <v>3</v>
      </c>
      <c r="C359" s="8">
        <v>46099</v>
      </c>
      <c r="D359" s="3" t="s">
        <v>809</v>
      </c>
      <c r="E359" s="3" t="s">
        <v>575</v>
      </c>
      <c r="F359" s="3" t="s">
        <v>502</v>
      </c>
      <c r="G359" s="3" t="s">
        <v>260</v>
      </c>
      <c r="H359" s="3" t="s">
        <v>255</v>
      </c>
      <c r="I359" s="3" t="s">
        <v>701</v>
      </c>
      <c r="J359" s="3" t="s">
        <v>38</v>
      </c>
      <c r="K359" s="2">
        <v>20</v>
      </c>
      <c r="L359" s="1">
        <v>65000</v>
      </c>
      <c r="M359" s="1">
        <v>1300000</v>
      </c>
      <c r="N359" s="1">
        <v>8</v>
      </c>
      <c r="O359" s="1">
        <v>104000</v>
      </c>
    </row>
    <row r="360" spans="1:15">
      <c r="A360" s="6">
        <v>2026</v>
      </c>
      <c r="B360" s="7">
        <v>3</v>
      </c>
      <c r="C360" s="8">
        <v>46099</v>
      </c>
      <c r="D360" s="3" t="s">
        <v>810</v>
      </c>
      <c r="E360" s="3" t="s">
        <v>489</v>
      </c>
      <c r="F360" s="3" t="s">
        <v>464</v>
      </c>
      <c r="G360" s="3" t="s">
        <v>260</v>
      </c>
      <c r="H360" s="3" t="s">
        <v>255</v>
      </c>
      <c r="I360" s="3" t="s">
        <v>811</v>
      </c>
      <c r="J360" s="3" t="s">
        <v>466</v>
      </c>
      <c r="K360" s="2">
        <v>3</v>
      </c>
      <c r="L360" s="1">
        <v>120000</v>
      </c>
      <c r="M360" s="1">
        <v>360000</v>
      </c>
      <c r="N360" s="1">
        <v>12</v>
      </c>
      <c r="O360" s="1">
        <v>43200</v>
      </c>
    </row>
    <row r="361" spans="1:15">
      <c r="A361" s="6">
        <v>2026</v>
      </c>
      <c r="B361" s="7">
        <v>3</v>
      </c>
      <c r="C361" s="8">
        <v>46100</v>
      </c>
      <c r="D361" s="3" t="s">
        <v>812</v>
      </c>
      <c r="E361" s="3" t="s">
        <v>258</v>
      </c>
      <c r="F361" s="3" t="s">
        <v>259</v>
      </c>
      <c r="G361" s="3" t="s">
        <v>260</v>
      </c>
      <c r="H361" s="3" t="s">
        <v>255</v>
      </c>
      <c r="I361" s="3" t="s">
        <v>665</v>
      </c>
      <c r="J361" s="3" t="s">
        <v>21</v>
      </c>
      <c r="K361" s="2">
        <v>20</v>
      </c>
      <c r="L361" s="1">
        <v>40621</v>
      </c>
      <c r="M361" s="1">
        <v>812420</v>
      </c>
      <c r="N361" s="1">
        <v>8</v>
      </c>
      <c r="O361" s="1">
        <v>64993.599999999999</v>
      </c>
    </row>
    <row r="362" spans="1:15">
      <c r="A362" s="6">
        <v>2026</v>
      </c>
      <c r="B362" s="7">
        <v>3</v>
      </c>
      <c r="C362" s="8">
        <v>46105</v>
      </c>
      <c r="D362" s="3" t="s">
        <v>813</v>
      </c>
      <c r="E362" s="3" t="s">
        <v>501</v>
      </c>
      <c r="F362" s="3" t="s">
        <v>502</v>
      </c>
      <c r="G362" s="3" t="s">
        <v>260</v>
      </c>
      <c r="H362" s="3" t="s">
        <v>255</v>
      </c>
      <c r="I362" s="3" t="s">
        <v>508</v>
      </c>
      <c r="J362" s="3" t="s">
        <v>38</v>
      </c>
      <c r="K362" s="2">
        <v>40</v>
      </c>
      <c r="L362" s="1">
        <v>65000</v>
      </c>
      <c r="M362" s="1">
        <v>2600000</v>
      </c>
      <c r="N362" s="1">
        <v>8</v>
      </c>
      <c r="O362" s="1">
        <v>208000</v>
      </c>
    </row>
    <row r="363" spans="1:15">
      <c r="A363" s="6">
        <v>2026</v>
      </c>
      <c r="B363" s="7">
        <v>3</v>
      </c>
      <c r="C363" s="8">
        <v>46105</v>
      </c>
      <c r="D363" s="3" t="s">
        <v>814</v>
      </c>
      <c r="E363" s="3" t="s">
        <v>496</v>
      </c>
      <c r="F363" s="3" t="s">
        <v>337</v>
      </c>
      <c r="G363" s="3" t="s">
        <v>260</v>
      </c>
      <c r="H363" s="3" t="s">
        <v>255</v>
      </c>
      <c r="I363" s="3" t="s">
        <v>815</v>
      </c>
      <c r="J363" s="3" t="s">
        <v>21</v>
      </c>
      <c r="K363" s="2">
        <v>10</v>
      </c>
      <c r="L363" s="1">
        <v>40621</v>
      </c>
      <c r="M363" s="1">
        <v>406210</v>
      </c>
      <c r="N363" s="1">
        <v>10</v>
      </c>
      <c r="O363" s="1">
        <v>40621</v>
      </c>
    </row>
    <row r="364" spans="1:15">
      <c r="A364" s="6">
        <v>2026</v>
      </c>
      <c r="B364" s="7">
        <v>3</v>
      </c>
      <c r="C364" s="8">
        <v>46105</v>
      </c>
      <c r="D364" s="3" t="s">
        <v>816</v>
      </c>
      <c r="E364" s="3" t="s">
        <v>759</v>
      </c>
      <c r="F364" s="3" t="s">
        <v>607</v>
      </c>
      <c r="G364" s="3" t="s">
        <v>254</v>
      </c>
      <c r="H364" s="3" t="s">
        <v>255</v>
      </c>
      <c r="I364" s="3" t="s">
        <v>817</v>
      </c>
      <c r="J364" s="3" t="s">
        <v>46</v>
      </c>
      <c r="K364" s="2">
        <v>10</v>
      </c>
      <c r="L364" s="1">
        <v>64700</v>
      </c>
      <c r="M364" s="1">
        <v>647000</v>
      </c>
      <c r="N364" s="1">
        <v>15</v>
      </c>
      <c r="O364" s="1">
        <v>97050</v>
      </c>
    </row>
    <row r="365" spans="1:15">
      <c r="A365" s="6">
        <v>2026</v>
      </c>
      <c r="B365" s="7">
        <v>3</v>
      </c>
      <c r="C365" s="8">
        <v>46105</v>
      </c>
      <c r="D365" s="3" t="s">
        <v>818</v>
      </c>
      <c r="E365" s="3" t="s">
        <v>575</v>
      </c>
      <c r="F365" s="3" t="s">
        <v>502</v>
      </c>
      <c r="G365" s="3" t="s">
        <v>260</v>
      </c>
      <c r="H365" s="3" t="s">
        <v>255</v>
      </c>
      <c r="I365" s="3" t="s">
        <v>819</v>
      </c>
      <c r="J365" s="3" t="s">
        <v>38</v>
      </c>
      <c r="K365" s="2">
        <v>30</v>
      </c>
      <c r="L365" s="1">
        <v>65000</v>
      </c>
      <c r="M365" s="1">
        <v>1950000</v>
      </c>
      <c r="N365" s="1">
        <v>8</v>
      </c>
      <c r="O365" s="1">
        <v>156000</v>
      </c>
    </row>
    <row r="366" spans="1:15">
      <c r="A366" s="6">
        <v>2026</v>
      </c>
      <c r="B366" s="7">
        <v>3</v>
      </c>
      <c r="C366" s="8">
        <v>46105</v>
      </c>
      <c r="D366" s="3" t="s">
        <v>820</v>
      </c>
      <c r="E366" s="3" t="s">
        <v>304</v>
      </c>
      <c r="F366" s="3" t="s">
        <v>305</v>
      </c>
      <c r="G366" s="3" t="s">
        <v>306</v>
      </c>
      <c r="H366" s="3" t="s">
        <v>255</v>
      </c>
      <c r="I366" s="3" t="s">
        <v>382</v>
      </c>
      <c r="J366" s="3" t="s">
        <v>21</v>
      </c>
      <c r="K366" s="2">
        <v>10</v>
      </c>
      <c r="L366" s="1">
        <v>40621</v>
      </c>
      <c r="M366" s="1">
        <v>406210</v>
      </c>
      <c r="N366" s="1">
        <v>8</v>
      </c>
      <c r="O366" s="1">
        <v>32496.799999999999</v>
      </c>
    </row>
    <row r="367" spans="1:15">
      <c r="A367" s="6">
        <v>2026</v>
      </c>
      <c r="B367" s="7">
        <v>3</v>
      </c>
      <c r="C367" s="8">
        <v>46106</v>
      </c>
      <c r="D367" s="3" t="s">
        <v>821</v>
      </c>
      <c r="E367" s="3" t="s">
        <v>673</v>
      </c>
      <c r="F367" s="3" t="s">
        <v>674</v>
      </c>
      <c r="G367" s="3" t="s">
        <v>260</v>
      </c>
      <c r="H367" s="3" t="s">
        <v>255</v>
      </c>
      <c r="I367" s="3" t="s">
        <v>822</v>
      </c>
      <c r="J367" s="3" t="s">
        <v>466</v>
      </c>
      <c r="K367" s="2">
        <v>20</v>
      </c>
      <c r="L367" s="1">
        <v>120000</v>
      </c>
      <c r="M367" s="1">
        <v>2400000</v>
      </c>
      <c r="N367" s="1">
        <v>10</v>
      </c>
      <c r="O367" s="1">
        <v>240000</v>
      </c>
    </row>
    <row r="368" spans="1:15">
      <c r="A368" s="6">
        <v>2026</v>
      </c>
      <c r="B368" s="7">
        <v>3</v>
      </c>
      <c r="C368" s="8">
        <v>46106</v>
      </c>
      <c r="D368" s="3" t="s">
        <v>823</v>
      </c>
      <c r="E368" s="3" t="s">
        <v>673</v>
      </c>
      <c r="F368" s="3" t="s">
        <v>674</v>
      </c>
      <c r="G368" s="3" t="s">
        <v>260</v>
      </c>
      <c r="H368" s="3" t="s">
        <v>255</v>
      </c>
      <c r="I368" s="3" t="s">
        <v>684</v>
      </c>
      <c r="J368" s="3" t="s">
        <v>466</v>
      </c>
      <c r="K368" s="2">
        <v>40</v>
      </c>
      <c r="L368" s="1">
        <v>120000</v>
      </c>
      <c r="M368" s="1">
        <v>4800000</v>
      </c>
      <c r="N368" s="1">
        <v>8</v>
      </c>
      <c r="O368" s="1">
        <v>384000</v>
      </c>
    </row>
    <row r="369" spans="1:15">
      <c r="A369" s="6">
        <v>2026</v>
      </c>
      <c r="B369" s="7">
        <v>3</v>
      </c>
      <c r="C369" s="8">
        <v>46106</v>
      </c>
      <c r="D369" s="3" t="s">
        <v>824</v>
      </c>
      <c r="E369" s="3" t="s">
        <v>677</v>
      </c>
      <c r="F369" s="3" t="s">
        <v>464</v>
      </c>
      <c r="G369" s="3" t="s">
        <v>260</v>
      </c>
      <c r="H369" s="3" t="s">
        <v>255</v>
      </c>
      <c r="I369" s="3" t="s">
        <v>825</v>
      </c>
      <c r="J369" s="3" t="s">
        <v>466</v>
      </c>
      <c r="K369" s="2">
        <v>10</v>
      </c>
      <c r="L369" s="1">
        <v>120000</v>
      </c>
      <c r="M369" s="1">
        <v>1200000</v>
      </c>
      <c r="N369" s="1">
        <v>12</v>
      </c>
      <c r="O369" s="1">
        <v>144000</v>
      </c>
    </row>
    <row r="370" spans="1:15">
      <c r="A370" s="6">
        <v>2026</v>
      </c>
      <c r="B370" s="7">
        <v>3</v>
      </c>
      <c r="C370" s="8">
        <v>46106</v>
      </c>
      <c r="D370" s="3" t="s">
        <v>826</v>
      </c>
      <c r="E370" s="3" t="s">
        <v>258</v>
      </c>
      <c r="F370" s="3" t="s">
        <v>259</v>
      </c>
      <c r="G370" s="3" t="s">
        <v>260</v>
      </c>
      <c r="H370" s="3" t="s">
        <v>255</v>
      </c>
      <c r="I370" s="3" t="s">
        <v>296</v>
      </c>
      <c r="J370" s="3" t="s">
        <v>21</v>
      </c>
      <c r="K370" s="2">
        <v>50</v>
      </c>
      <c r="L370" s="1">
        <v>40621</v>
      </c>
      <c r="M370" s="1">
        <v>2031050</v>
      </c>
      <c r="N370" s="1">
        <v>10</v>
      </c>
      <c r="O370" s="1">
        <v>203105</v>
      </c>
    </row>
    <row r="371" spans="1:15">
      <c r="A371" s="6">
        <v>2026</v>
      </c>
      <c r="B371" s="7">
        <v>3</v>
      </c>
      <c r="C371" s="8">
        <v>46106</v>
      </c>
      <c r="D371" s="3" t="s">
        <v>827</v>
      </c>
      <c r="E371" s="3" t="s">
        <v>414</v>
      </c>
      <c r="F371" s="3" t="s">
        <v>305</v>
      </c>
      <c r="G371" s="3" t="s">
        <v>306</v>
      </c>
      <c r="H371" s="3" t="s">
        <v>255</v>
      </c>
      <c r="I371" s="3" t="s">
        <v>456</v>
      </c>
      <c r="J371" s="3" t="s">
        <v>21</v>
      </c>
      <c r="K371" s="2">
        <v>17</v>
      </c>
      <c r="L371" s="1">
        <v>40621</v>
      </c>
      <c r="M371" s="1">
        <v>690557</v>
      </c>
      <c r="N371" s="1">
        <v>8</v>
      </c>
      <c r="O371" s="1">
        <v>55244.56</v>
      </c>
    </row>
    <row r="372" spans="1:15">
      <c r="A372" s="6">
        <v>2026</v>
      </c>
      <c r="B372" s="7">
        <v>3</v>
      </c>
      <c r="C372" s="8">
        <v>46107</v>
      </c>
      <c r="D372" s="3" t="s">
        <v>828</v>
      </c>
      <c r="E372" s="3" t="s">
        <v>336</v>
      </c>
      <c r="F372" s="3" t="s">
        <v>337</v>
      </c>
      <c r="G372" s="3" t="s">
        <v>260</v>
      </c>
      <c r="H372" s="3" t="s">
        <v>255</v>
      </c>
      <c r="I372" s="3" t="s">
        <v>445</v>
      </c>
      <c r="J372" s="3" t="s">
        <v>21</v>
      </c>
      <c r="K372" s="2">
        <v>20</v>
      </c>
      <c r="L372" s="1">
        <v>40621</v>
      </c>
      <c r="M372" s="1">
        <v>812420</v>
      </c>
      <c r="N372" s="1">
        <v>10</v>
      </c>
      <c r="O372" s="1">
        <v>81242</v>
      </c>
    </row>
    <row r="373" spans="1:15">
      <c r="A373" s="6">
        <v>2026</v>
      </c>
      <c r="B373" s="7">
        <v>3</v>
      </c>
      <c r="C373" s="8">
        <v>46107</v>
      </c>
      <c r="D373" s="3" t="s">
        <v>829</v>
      </c>
      <c r="E373" s="3" t="s">
        <v>336</v>
      </c>
      <c r="F373" s="3" t="s">
        <v>337</v>
      </c>
      <c r="G373" s="3" t="s">
        <v>260</v>
      </c>
      <c r="H373" s="3" t="s">
        <v>255</v>
      </c>
      <c r="I373" s="3" t="s">
        <v>346</v>
      </c>
      <c r="J373" s="3" t="s">
        <v>21</v>
      </c>
      <c r="K373" s="2">
        <v>14</v>
      </c>
      <c r="L373" s="1">
        <v>40621</v>
      </c>
      <c r="M373" s="1">
        <v>568694</v>
      </c>
      <c r="N373" s="1">
        <v>12</v>
      </c>
      <c r="O373" s="1">
        <v>68243.28</v>
      </c>
    </row>
    <row r="374" spans="1:15">
      <c r="A374" s="6">
        <v>2026</v>
      </c>
      <c r="B374" s="7">
        <v>3</v>
      </c>
      <c r="C374" s="8">
        <v>46107</v>
      </c>
      <c r="D374" s="3" t="s">
        <v>829</v>
      </c>
      <c r="E374" s="3" t="s">
        <v>336</v>
      </c>
      <c r="F374" s="3" t="s">
        <v>337</v>
      </c>
      <c r="G374" s="3" t="s">
        <v>260</v>
      </c>
      <c r="H374" s="3" t="s">
        <v>255</v>
      </c>
      <c r="I374" s="3" t="s">
        <v>346</v>
      </c>
      <c r="J374" s="3" t="s">
        <v>21</v>
      </c>
      <c r="K374" s="2">
        <v>16</v>
      </c>
      <c r="L374" s="1">
        <v>40621</v>
      </c>
      <c r="M374" s="1">
        <v>649936</v>
      </c>
      <c r="N374" s="1">
        <v>12</v>
      </c>
      <c r="O374" s="1">
        <v>77992.320000000007</v>
      </c>
    </row>
    <row r="375" spans="1:15">
      <c r="A375" s="6">
        <v>2026</v>
      </c>
      <c r="B375" s="7">
        <v>3</v>
      </c>
      <c r="C375" s="8">
        <v>46107</v>
      </c>
      <c r="D375" s="3" t="s">
        <v>830</v>
      </c>
      <c r="E375" s="3" t="s">
        <v>332</v>
      </c>
      <c r="F375" s="3" t="s">
        <v>333</v>
      </c>
      <c r="G375" s="3" t="s">
        <v>260</v>
      </c>
      <c r="H375" s="3" t="s">
        <v>255</v>
      </c>
      <c r="I375" s="3" t="s">
        <v>62</v>
      </c>
      <c r="J375" s="3" t="s">
        <v>21</v>
      </c>
      <c r="K375" s="2">
        <v>10</v>
      </c>
      <c r="L375" s="1">
        <v>40621</v>
      </c>
      <c r="M375" s="1">
        <v>406210</v>
      </c>
      <c r="N375" s="1">
        <v>12</v>
      </c>
      <c r="O375" s="1">
        <v>48745.2</v>
      </c>
    </row>
    <row r="376" spans="1:15">
      <c r="A376" s="6">
        <v>2026</v>
      </c>
      <c r="B376" s="7">
        <v>3</v>
      </c>
      <c r="C376" s="8">
        <v>46107</v>
      </c>
      <c r="D376" s="3" t="s">
        <v>831</v>
      </c>
      <c r="E376" s="3" t="s">
        <v>710</v>
      </c>
      <c r="F376" s="3" t="s">
        <v>607</v>
      </c>
      <c r="G376" s="3" t="s">
        <v>254</v>
      </c>
      <c r="H376" s="3" t="s">
        <v>255</v>
      </c>
      <c r="I376" s="3" t="s">
        <v>665</v>
      </c>
      <c r="J376" s="3" t="s">
        <v>466</v>
      </c>
      <c r="K376" s="2">
        <v>20</v>
      </c>
      <c r="L376" s="1">
        <v>120000</v>
      </c>
      <c r="M376" s="1">
        <v>2400000</v>
      </c>
      <c r="N376" s="1">
        <v>8</v>
      </c>
      <c r="O376" s="1">
        <v>192000</v>
      </c>
    </row>
    <row r="377" spans="1:15">
      <c r="A377" s="6">
        <v>2026</v>
      </c>
      <c r="B377" s="7">
        <v>3</v>
      </c>
      <c r="C377" s="8">
        <v>46108</v>
      </c>
      <c r="D377" s="3" t="s">
        <v>832</v>
      </c>
      <c r="E377" s="3" t="s">
        <v>489</v>
      </c>
      <c r="F377" s="3" t="s">
        <v>464</v>
      </c>
      <c r="G377" s="3" t="s">
        <v>260</v>
      </c>
      <c r="H377" s="3" t="s">
        <v>255</v>
      </c>
      <c r="I377" s="3" t="s">
        <v>811</v>
      </c>
      <c r="J377" s="3" t="s">
        <v>466</v>
      </c>
      <c r="K377" s="2">
        <v>5</v>
      </c>
      <c r="L377" s="1">
        <v>120000</v>
      </c>
      <c r="M377" s="1">
        <v>600000</v>
      </c>
      <c r="N377" s="1">
        <v>10</v>
      </c>
      <c r="O377" s="1">
        <v>60000</v>
      </c>
    </row>
    <row r="378" spans="1:15">
      <c r="A378" s="6">
        <v>2026</v>
      </c>
      <c r="B378" s="7">
        <v>3</v>
      </c>
      <c r="C378" s="8">
        <v>46108</v>
      </c>
      <c r="D378" s="3" t="s">
        <v>833</v>
      </c>
      <c r="E378" s="3" t="s">
        <v>556</v>
      </c>
      <c r="F378" s="3" t="s">
        <v>305</v>
      </c>
      <c r="G378" s="3" t="s">
        <v>306</v>
      </c>
      <c r="H378" s="3" t="s">
        <v>255</v>
      </c>
      <c r="I378" s="3" t="s">
        <v>834</v>
      </c>
      <c r="J378" s="3" t="s">
        <v>21</v>
      </c>
      <c r="K378" s="2">
        <v>30</v>
      </c>
      <c r="L378" s="1">
        <v>40621</v>
      </c>
      <c r="M378" s="1">
        <v>1218630</v>
      </c>
      <c r="N378" s="1">
        <v>8</v>
      </c>
      <c r="O378" s="1">
        <v>97490.4</v>
      </c>
    </row>
    <row r="379" spans="1:15">
      <c r="A379" s="6">
        <v>2026</v>
      </c>
      <c r="B379" s="7">
        <v>3</v>
      </c>
      <c r="C379" s="8">
        <v>46108</v>
      </c>
      <c r="D379" s="3" t="s">
        <v>835</v>
      </c>
      <c r="E379" s="3" t="s">
        <v>489</v>
      </c>
      <c r="F379" s="3" t="s">
        <v>464</v>
      </c>
      <c r="G379" s="3" t="s">
        <v>260</v>
      </c>
      <c r="H379" s="3" t="s">
        <v>255</v>
      </c>
      <c r="I379" s="3" t="s">
        <v>529</v>
      </c>
      <c r="J379" s="3" t="s">
        <v>466</v>
      </c>
      <c r="K379" s="2">
        <v>20</v>
      </c>
      <c r="L379" s="1">
        <v>120000</v>
      </c>
      <c r="M379" s="1">
        <v>2400000</v>
      </c>
      <c r="N379" s="1">
        <v>10</v>
      </c>
      <c r="O379" s="1">
        <v>240000</v>
      </c>
    </row>
    <row r="380" spans="1:15">
      <c r="A380" s="6">
        <v>2026</v>
      </c>
      <c r="B380" s="7">
        <v>3</v>
      </c>
      <c r="C380" s="8">
        <v>46111</v>
      </c>
      <c r="D380" s="3" t="s">
        <v>836</v>
      </c>
      <c r="E380" s="3" t="s">
        <v>673</v>
      </c>
      <c r="F380" s="3" t="s">
        <v>674</v>
      </c>
      <c r="G380" s="3" t="s">
        <v>260</v>
      </c>
      <c r="H380" s="3" t="s">
        <v>255</v>
      </c>
      <c r="I380" s="3" t="s">
        <v>49</v>
      </c>
      <c r="J380" s="3" t="s">
        <v>466</v>
      </c>
      <c r="K380" s="2">
        <v>20</v>
      </c>
      <c r="L380" s="1">
        <v>120000</v>
      </c>
      <c r="M380" s="1">
        <v>2400000</v>
      </c>
      <c r="N380" s="1">
        <v>13</v>
      </c>
      <c r="O380" s="1">
        <v>312000</v>
      </c>
    </row>
    <row r="381" spans="1:15">
      <c r="A381" s="6">
        <v>2026</v>
      </c>
      <c r="B381" s="7">
        <v>3</v>
      </c>
      <c r="C381" s="8">
        <v>46111</v>
      </c>
      <c r="D381" s="3" t="s">
        <v>837</v>
      </c>
      <c r="E381" s="3" t="s">
        <v>496</v>
      </c>
      <c r="F381" s="3" t="s">
        <v>337</v>
      </c>
      <c r="G381" s="3" t="s">
        <v>260</v>
      </c>
      <c r="H381" s="3" t="s">
        <v>255</v>
      </c>
      <c r="I381" s="3" t="s">
        <v>538</v>
      </c>
      <c r="J381" s="3" t="s">
        <v>21</v>
      </c>
      <c r="K381" s="2">
        <v>60</v>
      </c>
      <c r="L381" s="1">
        <v>40621</v>
      </c>
      <c r="M381" s="1">
        <v>2437260</v>
      </c>
      <c r="N381" s="1">
        <v>8</v>
      </c>
      <c r="O381" s="1">
        <v>194980.8</v>
      </c>
    </row>
    <row r="382" spans="1:15">
      <c r="A382" s="6">
        <v>2026</v>
      </c>
      <c r="B382" s="7">
        <v>3</v>
      </c>
      <c r="C382" s="8">
        <v>46111</v>
      </c>
      <c r="D382" s="3" t="s">
        <v>838</v>
      </c>
      <c r="E382" s="3" t="s">
        <v>332</v>
      </c>
      <c r="F382" s="3" t="s">
        <v>333</v>
      </c>
      <c r="G382" s="3" t="s">
        <v>260</v>
      </c>
      <c r="H382" s="3" t="s">
        <v>255</v>
      </c>
      <c r="I382" s="3" t="s">
        <v>573</v>
      </c>
      <c r="J382" s="3" t="s">
        <v>21</v>
      </c>
      <c r="K382" s="2">
        <v>100</v>
      </c>
      <c r="L382" s="1">
        <v>40621</v>
      </c>
      <c r="M382" s="1">
        <v>4062100</v>
      </c>
      <c r="N382" s="1">
        <v>10</v>
      </c>
      <c r="O382" s="1">
        <v>406210</v>
      </c>
    </row>
    <row r="383" spans="1:15">
      <c r="A383" s="6">
        <v>2026</v>
      </c>
      <c r="B383" s="7">
        <v>3</v>
      </c>
      <c r="C383" s="8">
        <v>46111</v>
      </c>
      <c r="D383" s="3" t="s">
        <v>839</v>
      </c>
      <c r="E383" s="3" t="s">
        <v>673</v>
      </c>
      <c r="F383" s="3" t="s">
        <v>674</v>
      </c>
      <c r="G383" s="3" t="s">
        <v>260</v>
      </c>
      <c r="H383" s="3" t="s">
        <v>255</v>
      </c>
      <c r="I383" s="3" t="s">
        <v>312</v>
      </c>
      <c r="J383" s="3" t="s">
        <v>466</v>
      </c>
      <c r="K383" s="2">
        <v>30</v>
      </c>
      <c r="L383" s="1">
        <v>120000</v>
      </c>
      <c r="M383" s="1">
        <v>3600000</v>
      </c>
      <c r="N383" s="1">
        <v>8</v>
      </c>
      <c r="O383" s="1">
        <v>288000</v>
      </c>
    </row>
    <row r="384" spans="1:15">
      <c r="A384" s="6">
        <v>2026</v>
      </c>
      <c r="B384" s="7">
        <v>3</v>
      </c>
      <c r="C384" s="8">
        <v>46111</v>
      </c>
      <c r="D384" s="3" t="s">
        <v>840</v>
      </c>
      <c r="E384" s="3" t="s">
        <v>463</v>
      </c>
      <c r="F384" s="3" t="s">
        <v>464</v>
      </c>
      <c r="G384" s="3" t="s">
        <v>260</v>
      </c>
      <c r="H384" s="3" t="s">
        <v>255</v>
      </c>
      <c r="I384" s="3" t="s">
        <v>465</v>
      </c>
      <c r="J384" s="3" t="s">
        <v>466</v>
      </c>
      <c r="K384" s="2">
        <v>33</v>
      </c>
      <c r="L384" s="1">
        <v>120000</v>
      </c>
      <c r="M384" s="1">
        <v>3960000</v>
      </c>
      <c r="N384" s="1">
        <v>8</v>
      </c>
      <c r="O384" s="1">
        <v>316800</v>
      </c>
    </row>
    <row r="385" spans="1:15">
      <c r="A385" s="6">
        <v>2026</v>
      </c>
      <c r="B385" s="7">
        <v>3</v>
      </c>
      <c r="C385" s="8">
        <v>46111</v>
      </c>
      <c r="D385" s="3" t="s">
        <v>840</v>
      </c>
      <c r="E385" s="3" t="s">
        <v>463</v>
      </c>
      <c r="F385" s="3" t="s">
        <v>464</v>
      </c>
      <c r="G385" s="3" t="s">
        <v>260</v>
      </c>
      <c r="H385" s="3" t="s">
        <v>255</v>
      </c>
      <c r="I385" s="3" t="s">
        <v>465</v>
      </c>
      <c r="J385" s="3" t="s">
        <v>466</v>
      </c>
      <c r="K385" s="2">
        <v>7</v>
      </c>
      <c r="L385" s="1">
        <v>120000</v>
      </c>
      <c r="M385" s="1">
        <v>840000</v>
      </c>
      <c r="N385" s="1">
        <v>8</v>
      </c>
      <c r="O385" s="1">
        <v>67200</v>
      </c>
    </row>
    <row r="386" spans="1:15">
      <c r="A386" s="6">
        <v>2026</v>
      </c>
      <c r="B386" s="7">
        <v>3</v>
      </c>
      <c r="C386" s="8">
        <v>46112</v>
      </c>
      <c r="D386" s="3" t="s">
        <v>841</v>
      </c>
      <c r="E386" s="3" t="s">
        <v>414</v>
      </c>
      <c r="F386" s="3" t="s">
        <v>305</v>
      </c>
      <c r="G386" s="3" t="s">
        <v>306</v>
      </c>
      <c r="H386" s="3" t="s">
        <v>255</v>
      </c>
      <c r="I386" s="3" t="s">
        <v>60</v>
      </c>
      <c r="J386" s="3" t="s">
        <v>21</v>
      </c>
      <c r="K386" s="2">
        <v>50</v>
      </c>
      <c r="L386" s="1">
        <v>40621</v>
      </c>
      <c r="M386" s="1">
        <v>2031050</v>
      </c>
      <c r="N386" s="1">
        <v>12</v>
      </c>
      <c r="O386" s="1">
        <v>243726</v>
      </c>
    </row>
    <row r="387" spans="1:15">
      <c r="A387" s="6">
        <v>2026</v>
      </c>
      <c r="B387" s="7">
        <v>3</v>
      </c>
      <c r="C387" s="8">
        <v>46112</v>
      </c>
      <c r="D387" s="3" t="s">
        <v>842</v>
      </c>
      <c r="E387" s="3" t="s">
        <v>298</v>
      </c>
      <c r="F387" s="3" t="s">
        <v>253</v>
      </c>
      <c r="G387" s="3" t="s">
        <v>254</v>
      </c>
      <c r="H387" s="3" t="s">
        <v>255</v>
      </c>
      <c r="I387" s="3" t="s">
        <v>322</v>
      </c>
      <c r="J387" s="3" t="s">
        <v>21</v>
      </c>
      <c r="K387" s="2">
        <v>116</v>
      </c>
      <c r="L387" s="1">
        <v>40621</v>
      </c>
      <c r="M387" s="1">
        <v>4712036</v>
      </c>
      <c r="N387" s="1">
        <v>13</v>
      </c>
      <c r="O387" s="1">
        <v>612564.68000000005</v>
      </c>
    </row>
    <row r="388" spans="1:15">
      <c r="A388" s="6">
        <v>2026</v>
      </c>
      <c r="B388" s="7">
        <v>3</v>
      </c>
      <c r="C388" s="8">
        <v>46112</v>
      </c>
      <c r="D388" s="3" t="s">
        <v>842</v>
      </c>
      <c r="E388" s="3" t="s">
        <v>298</v>
      </c>
      <c r="F388" s="3" t="s">
        <v>253</v>
      </c>
      <c r="G388" s="3" t="s">
        <v>254</v>
      </c>
      <c r="H388" s="3" t="s">
        <v>255</v>
      </c>
      <c r="I388" s="3" t="s">
        <v>322</v>
      </c>
      <c r="J388" s="3" t="s">
        <v>21</v>
      </c>
      <c r="K388" s="2">
        <v>4</v>
      </c>
      <c r="L388" s="1">
        <v>40621</v>
      </c>
      <c r="M388" s="1">
        <v>162484</v>
      </c>
      <c r="N388" s="1">
        <v>13</v>
      </c>
      <c r="O388" s="1">
        <v>21122.92</v>
      </c>
    </row>
    <row r="389" spans="1:15">
      <c r="A389" s="6">
        <v>2026</v>
      </c>
      <c r="B389" s="7">
        <v>3</v>
      </c>
      <c r="C389" s="8">
        <v>46112</v>
      </c>
      <c r="D389" s="3" t="s">
        <v>843</v>
      </c>
      <c r="E389" s="3" t="s">
        <v>575</v>
      </c>
      <c r="F389" s="3" t="s">
        <v>502</v>
      </c>
      <c r="G389" s="3" t="s">
        <v>260</v>
      </c>
      <c r="H389" s="3" t="s">
        <v>255</v>
      </c>
      <c r="I389" s="3" t="s">
        <v>617</v>
      </c>
      <c r="J389" s="3" t="s">
        <v>38</v>
      </c>
      <c r="K389" s="2">
        <v>400</v>
      </c>
      <c r="L389" s="1">
        <v>65000</v>
      </c>
      <c r="M389" s="1">
        <v>26000000</v>
      </c>
      <c r="N389" s="1">
        <v>8</v>
      </c>
      <c r="O389" s="1">
        <v>2080000</v>
      </c>
    </row>
    <row r="390" spans="1:15">
      <c r="A390" s="6">
        <v>2026</v>
      </c>
      <c r="B390" s="7">
        <v>3</v>
      </c>
      <c r="C390" s="8">
        <v>46112</v>
      </c>
      <c r="D390" s="3" t="s">
        <v>257</v>
      </c>
      <c r="E390" s="3" t="s">
        <v>489</v>
      </c>
      <c r="F390" s="3" t="s">
        <v>464</v>
      </c>
      <c r="G390" s="3" t="s">
        <v>260</v>
      </c>
      <c r="H390" s="3" t="s">
        <v>255</v>
      </c>
      <c r="I390" s="3" t="s">
        <v>529</v>
      </c>
      <c r="J390" s="3" t="s">
        <v>466</v>
      </c>
      <c r="K390" s="2">
        <v>30</v>
      </c>
      <c r="L390" s="1">
        <v>120000</v>
      </c>
      <c r="M390" s="1">
        <v>3600000</v>
      </c>
      <c r="N390" s="1">
        <v>12</v>
      </c>
      <c r="O390" s="1">
        <v>432000</v>
      </c>
    </row>
    <row r="391" spans="1:15">
      <c r="A391" s="6">
        <v>2026</v>
      </c>
      <c r="B391" s="7">
        <v>4</v>
      </c>
      <c r="C391" s="8">
        <v>46113</v>
      </c>
      <c r="D391" s="3" t="s">
        <v>844</v>
      </c>
      <c r="E391" s="3" t="s">
        <v>414</v>
      </c>
      <c r="F391" s="3" t="s">
        <v>305</v>
      </c>
      <c r="G391" s="3" t="s">
        <v>306</v>
      </c>
      <c r="H391" s="3" t="s">
        <v>255</v>
      </c>
      <c r="I391" s="3" t="s">
        <v>422</v>
      </c>
      <c r="J391" s="3" t="s">
        <v>21</v>
      </c>
      <c r="K391" s="2">
        <v>50</v>
      </c>
      <c r="L391" s="1">
        <v>40621</v>
      </c>
      <c r="M391" s="1">
        <v>2031050</v>
      </c>
      <c r="N391" s="1">
        <v>8</v>
      </c>
      <c r="O391" s="1">
        <v>162484</v>
      </c>
    </row>
    <row r="392" spans="1:15">
      <c r="A392" s="6">
        <v>2026</v>
      </c>
      <c r="B392" s="7">
        <v>4</v>
      </c>
      <c r="C392" s="8">
        <v>46114</v>
      </c>
      <c r="D392" s="3" t="s">
        <v>845</v>
      </c>
      <c r="E392" s="3" t="s">
        <v>258</v>
      </c>
      <c r="F392" s="3" t="s">
        <v>259</v>
      </c>
      <c r="G392" s="3" t="s">
        <v>260</v>
      </c>
      <c r="H392" s="3" t="s">
        <v>255</v>
      </c>
      <c r="I392" s="3" t="s">
        <v>368</v>
      </c>
      <c r="J392" s="3" t="s">
        <v>21</v>
      </c>
      <c r="K392" s="2">
        <v>120</v>
      </c>
      <c r="L392" s="1">
        <v>40621</v>
      </c>
      <c r="M392" s="1">
        <v>4874520</v>
      </c>
      <c r="N392" s="1">
        <v>8</v>
      </c>
      <c r="O392" s="1">
        <v>389961.6</v>
      </c>
    </row>
    <row r="393" spans="1:15">
      <c r="A393" s="6">
        <v>2026</v>
      </c>
      <c r="B393" s="7">
        <v>4</v>
      </c>
      <c r="C393" s="8">
        <v>46114</v>
      </c>
      <c r="D393" s="3" t="s">
        <v>846</v>
      </c>
      <c r="E393" s="3" t="s">
        <v>673</v>
      </c>
      <c r="F393" s="3" t="s">
        <v>674</v>
      </c>
      <c r="G393" s="3" t="s">
        <v>260</v>
      </c>
      <c r="H393" s="3" t="s">
        <v>255</v>
      </c>
      <c r="I393" s="3" t="s">
        <v>847</v>
      </c>
      <c r="J393" s="3" t="s">
        <v>466</v>
      </c>
      <c r="K393" s="2">
        <v>15</v>
      </c>
      <c r="L393" s="1">
        <v>120000</v>
      </c>
      <c r="M393" s="1">
        <v>1800000</v>
      </c>
      <c r="N393" s="1">
        <v>13</v>
      </c>
      <c r="O393" s="1">
        <v>234000</v>
      </c>
    </row>
    <row r="394" spans="1:15">
      <c r="A394" s="6">
        <v>2026</v>
      </c>
      <c r="B394" s="7">
        <v>4</v>
      </c>
      <c r="C394" s="8">
        <v>46114</v>
      </c>
      <c r="D394" s="3" t="s">
        <v>848</v>
      </c>
      <c r="E394" s="3" t="s">
        <v>606</v>
      </c>
      <c r="F394" s="3" t="s">
        <v>607</v>
      </c>
      <c r="G394" s="3" t="s">
        <v>254</v>
      </c>
      <c r="H394" s="3" t="s">
        <v>255</v>
      </c>
      <c r="I394" s="3" t="s">
        <v>849</v>
      </c>
      <c r="J394" s="3" t="s">
        <v>46</v>
      </c>
      <c r="K394" s="2">
        <v>20</v>
      </c>
      <c r="L394" s="1">
        <v>64700</v>
      </c>
      <c r="M394" s="1">
        <v>1294000</v>
      </c>
      <c r="N394" s="1">
        <v>15</v>
      </c>
      <c r="O394" s="1">
        <v>194100</v>
      </c>
    </row>
    <row r="395" spans="1:15">
      <c r="A395" s="6">
        <v>2026</v>
      </c>
      <c r="B395" s="7">
        <v>4</v>
      </c>
      <c r="C395" s="8">
        <v>46115</v>
      </c>
      <c r="D395" s="3" t="s">
        <v>850</v>
      </c>
      <c r="E395" s="3" t="s">
        <v>851</v>
      </c>
      <c r="F395" s="3" t="s">
        <v>305</v>
      </c>
      <c r="G395" s="3" t="s">
        <v>306</v>
      </c>
      <c r="H395" s="3" t="s">
        <v>255</v>
      </c>
      <c r="I395" s="3" t="s">
        <v>307</v>
      </c>
      <c r="J395" s="3" t="s">
        <v>21</v>
      </c>
      <c r="K395" s="2">
        <v>25</v>
      </c>
      <c r="L395" s="1">
        <v>40621</v>
      </c>
      <c r="M395" s="1">
        <v>1015525</v>
      </c>
      <c r="N395" s="1">
        <v>13</v>
      </c>
      <c r="O395" s="1">
        <v>132018.25</v>
      </c>
    </row>
    <row r="396" spans="1:15">
      <c r="A396" s="6">
        <v>2026</v>
      </c>
      <c r="B396" s="7">
        <v>4</v>
      </c>
      <c r="C396" s="8">
        <v>46115</v>
      </c>
      <c r="D396" s="3" t="s">
        <v>852</v>
      </c>
      <c r="E396" s="3" t="s">
        <v>501</v>
      </c>
      <c r="F396" s="3" t="s">
        <v>502</v>
      </c>
      <c r="G396" s="3" t="s">
        <v>260</v>
      </c>
      <c r="H396" s="3" t="s">
        <v>255</v>
      </c>
      <c r="I396" s="3" t="s">
        <v>508</v>
      </c>
      <c r="J396" s="3" t="s">
        <v>38</v>
      </c>
      <c r="K396" s="2">
        <v>60</v>
      </c>
      <c r="L396" s="1">
        <v>65000</v>
      </c>
      <c r="M396" s="1">
        <v>3900000</v>
      </c>
      <c r="N396" s="1">
        <v>8</v>
      </c>
      <c r="O396" s="1">
        <v>312000</v>
      </c>
    </row>
    <row r="397" spans="1:15">
      <c r="A397" s="6">
        <v>2026</v>
      </c>
      <c r="B397" s="7">
        <v>4</v>
      </c>
      <c r="C397" s="8">
        <v>46115</v>
      </c>
      <c r="D397" s="3" t="s">
        <v>853</v>
      </c>
      <c r="E397" s="3" t="s">
        <v>414</v>
      </c>
      <c r="F397" s="3" t="s">
        <v>305</v>
      </c>
      <c r="G397" s="3" t="s">
        <v>306</v>
      </c>
      <c r="H397" s="3" t="s">
        <v>255</v>
      </c>
      <c r="I397" s="3" t="s">
        <v>448</v>
      </c>
      <c r="J397" s="3" t="s">
        <v>21</v>
      </c>
      <c r="K397" s="2">
        <v>39</v>
      </c>
      <c r="L397" s="1">
        <v>40621</v>
      </c>
      <c r="M397" s="1">
        <v>1584219</v>
      </c>
      <c r="N397" s="1">
        <v>12</v>
      </c>
      <c r="O397" s="1">
        <v>190106.28</v>
      </c>
    </row>
    <row r="398" spans="1:15">
      <c r="A398" s="6">
        <v>2026</v>
      </c>
      <c r="B398" s="7">
        <v>4</v>
      </c>
      <c r="C398" s="8">
        <v>46115</v>
      </c>
      <c r="D398" s="3" t="s">
        <v>853</v>
      </c>
      <c r="E398" s="3" t="s">
        <v>414</v>
      </c>
      <c r="F398" s="3" t="s">
        <v>305</v>
      </c>
      <c r="G398" s="3" t="s">
        <v>306</v>
      </c>
      <c r="H398" s="3" t="s">
        <v>255</v>
      </c>
      <c r="I398" s="3" t="s">
        <v>448</v>
      </c>
      <c r="J398" s="3" t="s">
        <v>21</v>
      </c>
      <c r="K398" s="2">
        <v>11</v>
      </c>
      <c r="L398" s="1">
        <v>40621</v>
      </c>
      <c r="M398" s="1">
        <v>446831</v>
      </c>
      <c r="N398" s="1">
        <v>12</v>
      </c>
      <c r="O398" s="1">
        <v>53619.72</v>
      </c>
    </row>
    <row r="399" spans="1:15">
      <c r="A399" s="6">
        <v>2026</v>
      </c>
      <c r="B399" s="7">
        <v>4</v>
      </c>
      <c r="C399" s="8">
        <v>46115</v>
      </c>
      <c r="D399" s="3" t="s">
        <v>854</v>
      </c>
      <c r="E399" s="3" t="s">
        <v>414</v>
      </c>
      <c r="F399" s="3" t="s">
        <v>305</v>
      </c>
      <c r="G399" s="3" t="s">
        <v>306</v>
      </c>
      <c r="H399" s="3" t="s">
        <v>255</v>
      </c>
      <c r="I399" s="3" t="s">
        <v>456</v>
      </c>
      <c r="J399" s="3" t="s">
        <v>21</v>
      </c>
      <c r="K399" s="2">
        <v>30</v>
      </c>
      <c r="L399" s="1">
        <v>40621</v>
      </c>
      <c r="M399" s="1">
        <v>1218630</v>
      </c>
      <c r="N399" s="1">
        <v>8</v>
      </c>
      <c r="O399" s="1">
        <v>97490.4</v>
      </c>
    </row>
    <row r="400" spans="1:15">
      <c r="A400" s="6">
        <v>2026</v>
      </c>
      <c r="B400" s="7">
        <v>4</v>
      </c>
      <c r="C400" s="8">
        <v>46118</v>
      </c>
      <c r="D400" s="3" t="s">
        <v>855</v>
      </c>
      <c r="E400" s="3" t="s">
        <v>336</v>
      </c>
      <c r="F400" s="3" t="s">
        <v>337</v>
      </c>
      <c r="G400" s="3" t="s">
        <v>260</v>
      </c>
      <c r="H400" s="3" t="s">
        <v>255</v>
      </c>
      <c r="I400" s="3" t="s">
        <v>346</v>
      </c>
      <c r="J400" s="3" t="s">
        <v>21</v>
      </c>
      <c r="K400" s="2">
        <v>20</v>
      </c>
      <c r="L400" s="1">
        <v>40621</v>
      </c>
      <c r="M400" s="1">
        <v>812420</v>
      </c>
      <c r="N400" s="1">
        <v>10</v>
      </c>
      <c r="O400" s="1">
        <v>81242</v>
      </c>
    </row>
    <row r="401" spans="1:15">
      <c r="A401" s="6">
        <v>2026</v>
      </c>
      <c r="B401" s="7">
        <v>4</v>
      </c>
      <c r="C401" s="8">
        <v>46118</v>
      </c>
      <c r="D401" s="3" t="s">
        <v>856</v>
      </c>
      <c r="E401" s="3" t="s">
        <v>336</v>
      </c>
      <c r="F401" s="3" t="s">
        <v>337</v>
      </c>
      <c r="G401" s="3" t="s">
        <v>260</v>
      </c>
      <c r="H401" s="3" t="s">
        <v>255</v>
      </c>
      <c r="I401" s="3" t="s">
        <v>344</v>
      </c>
      <c r="J401" s="3" t="s">
        <v>21</v>
      </c>
      <c r="K401" s="2">
        <v>10</v>
      </c>
      <c r="L401" s="1">
        <v>40621</v>
      </c>
      <c r="M401" s="1">
        <v>406210</v>
      </c>
      <c r="N401" s="1">
        <v>10</v>
      </c>
      <c r="O401" s="1">
        <v>40621</v>
      </c>
    </row>
    <row r="402" spans="1:15">
      <c r="A402" s="6">
        <v>2026</v>
      </c>
      <c r="B402" s="7">
        <v>4</v>
      </c>
      <c r="C402" s="8">
        <v>46118</v>
      </c>
      <c r="D402" s="3" t="s">
        <v>857</v>
      </c>
      <c r="E402" s="3" t="s">
        <v>332</v>
      </c>
      <c r="F402" s="3" t="s">
        <v>333</v>
      </c>
      <c r="G402" s="3" t="s">
        <v>260</v>
      </c>
      <c r="H402" s="3" t="s">
        <v>255</v>
      </c>
      <c r="I402" s="3" t="s">
        <v>439</v>
      </c>
      <c r="J402" s="3" t="s">
        <v>21</v>
      </c>
      <c r="K402" s="2">
        <v>30</v>
      </c>
      <c r="L402" s="1">
        <v>40621</v>
      </c>
      <c r="M402" s="1">
        <v>1218630</v>
      </c>
      <c r="N402" s="1">
        <v>10</v>
      </c>
      <c r="O402" s="1">
        <v>121863</v>
      </c>
    </row>
    <row r="403" spans="1:15">
      <c r="A403" s="6">
        <v>2026</v>
      </c>
      <c r="B403" s="7">
        <v>4</v>
      </c>
      <c r="C403" s="8">
        <v>46118</v>
      </c>
      <c r="D403" s="3" t="s">
        <v>858</v>
      </c>
      <c r="E403" s="3" t="s">
        <v>547</v>
      </c>
      <c r="F403" s="3" t="s">
        <v>464</v>
      </c>
      <c r="G403" s="3" t="s">
        <v>260</v>
      </c>
      <c r="H403" s="3" t="s">
        <v>255</v>
      </c>
      <c r="I403" s="3" t="s">
        <v>859</v>
      </c>
      <c r="J403" s="3" t="s">
        <v>46</v>
      </c>
      <c r="K403" s="2">
        <v>20</v>
      </c>
      <c r="L403" s="1">
        <v>64700</v>
      </c>
      <c r="M403" s="1">
        <v>1294000</v>
      </c>
      <c r="N403" s="1">
        <v>12</v>
      </c>
      <c r="O403" s="1">
        <v>155280</v>
      </c>
    </row>
    <row r="404" spans="1:15">
      <c r="A404" s="6">
        <v>2026</v>
      </c>
      <c r="B404" s="7">
        <v>4</v>
      </c>
      <c r="C404" s="8">
        <v>46118</v>
      </c>
      <c r="D404" s="3" t="s">
        <v>860</v>
      </c>
      <c r="E404" s="3" t="s">
        <v>463</v>
      </c>
      <c r="F404" s="3" t="s">
        <v>464</v>
      </c>
      <c r="G404" s="3" t="s">
        <v>260</v>
      </c>
      <c r="H404" s="3" t="s">
        <v>255</v>
      </c>
      <c r="I404" s="3" t="s">
        <v>479</v>
      </c>
      <c r="J404" s="3" t="s">
        <v>46</v>
      </c>
      <c r="K404" s="2">
        <v>15</v>
      </c>
      <c r="L404" s="1">
        <v>64700</v>
      </c>
      <c r="M404" s="1">
        <v>970500</v>
      </c>
      <c r="N404" s="1">
        <v>8</v>
      </c>
      <c r="O404" s="1">
        <v>77640</v>
      </c>
    </row>
    <row r="405" spans="1:15">
      <c r="A405" s="6">
        <v>2026</v>
      </c>
      <c r="B405" s="7">
        <v>4</v>
      </c>
      <c r="C405" s="8">
        <v>46119</v>
      </c>
      <c r="D405" s="3" t="s">
        <v>861</v>
      </c>
      <c r="E405" s="3" t="s">
        <v>271</v>
      </c>
      <c r="F405" s="3" t="s">
        <v>272</v>
      </c>
      <c r="G405" s="3" t="s">
        <v>273</v>
      </c>
      <c r="H405" s="3" t="s">
        <v>255</v>
      </c>
      <c r="I405" s="3" t="s">
        <v>417</v>
      </c>
      <c r="J405" s="3" t="s">
        <v>41</v>
      </c>
      <c r="K405" s="2">
        <v>200</v>
      </c>
      <c r="L405" s="1">
        <v>90000</v>
      </c>
      <c r="M405" s="1">
        <v>18000000</v>
      </c>
      <c r="N405" s="1">
        <v>15</v>
      </c>
      <c r="O405" s="1">
        <v>2700000</v>
      </c>
    </row>
    <row r="406" spans="1:15">
      <c r="A406" s="6">
        <v>2026</v>
      </c>
      <c r="B406" s="7">
        <v>4</v>
      </c>
      <c r="C406" s="8">
        <v>46119</v>
      </c>
      <c r="D406" s="3" t="s">
        <v>862</v>
      </c>
      <c r="E406" s="3" t="s">
        <v>863</v>
      </c>
      <c r="F406" s="3" t="s">
        <v>864</v>
      </c>
      <c r="G406" s="3" t="s">
        <v>273</v>
      </c>
      <c r="H406" s="3" t="s">
        <v>255</v>
      </c>
      <c r="I406" s="3" t="s">
        <v>865</v>
      </c>
      <c r="J406" s="3" t="s">
        <v>41</v>
      </c>
      <c r="K406" s="2">
        <v>200</v>
      </c>
      <c r="L406" s="1">
        <v>90000</v>
      </c>
      <c r="M406" s="1">
        <v>18000000</v>
      </c>
      <c r="N406" s="1">
        <v>5</v>
      </c>
      <c r="O406" s="1">
        <v>900000</v>
      </c>
    </row>
    <row r="407" spans="1:15">
      <c r="A407" s="6">
        <v>2026</v>
      </c>
      <c r="B407" s="7">
        <v>4</v>
      </c>
      <c r="C407" s="8">
        <v>46119</v>
      </c>
      <c r="D407" s="3" t="s">
        <v>866</v>
      </c>
      <c r="E407" s="3" t="s">
        <v>703</v>
      </c>
      <c r="F407" s="3" t="s">
        <v>704</v>
      </c>
      <c r="G407" s="3" t="s">
        <v>254</v>
      </c>
      <c r="H407" s="3" t="s">
        <v>255</v>
      </c>
      <c r="I407" s="3" t="s">
        <v>867</v>
      </c>
      <c r="J407" s="3" t="s">
        <v>46</v>
      </c>
      <c r="K407" s="2">
        <v>28</v>
      </c>
      <c r="L407" s="1">
        <v>64700</v>
      </c>
      <c r="M407" s="1">
        <v>1811600</v>
      </c>
      <c r="N407" s="1">
        <v>10</v>
      </c>
      <c r="O407" s="1">
        <v>181160</v>
      </c>
    </row>
    <row r="408" spans="1:15">
      <c r="A408" s="6">
        <v>2026</v>
      </c>
      <c r="B408" s="7">
        <v>4</v>
      </c>
      <c r="C408" s="8">
        <v>46120</v>
      </c>
      <c r="D408" s="3" t="s">
        <v>868</v>
      </c>
      <c r="E408" s="3" t="s">
        <v>489</v>
      </c>
      <c r="F408" s="3" t="s">
        <v>464</v>
      </c>
      <c r="G408" s="3" t="s">
        <v>260</v>
      </c>
      <c r="H408" s="3" t="s">
        <v>255</v>
      </c>
      <c r="I408" s="3" t="s">
        <v>529</v>
      </c>
      <c r="J408" s="3" t="s">
        <v>466</v>
      </c>
      <c r="K408" s="2">
        <v>30</v>
      </c>
      <c r="L408" s="1">
        <v>120000</v>
      </c>
      <c r="M408" s="1">
        <v>3600000</v>
      </c>
      <c r="N408" s="1">
        <v>10</v>
      </c>
      <c r="O408" s="1">
        <v>360000</v>
      </c>
    </row>
    <row r="409" spans="1:15">
      <c r="A409" s="6">
        <v>2026</v>
      </c>
      <c r="B409" s="7">
        <v>4</v>
      </c>
      <c r="C409" s="8">
        <v>46121</v>
      </c>
      <c r="D409" s="3" t="s">
        <v>869</v>
      </c>
      <c r="E409" s="3" t="s">
        <v>870</v>
      </c>
      <c r="F409" s="3" t="s">
        <v>871</v>
      </c>
      <c r="G409" s="3" t="s">
        <v>273</v>
      </c>
      <c r="H409" s="3" t="s">
        <v>255</v>
      </c>
      <c r="I409" s="3" t="s">
        <v>872</v>
      </c>
      <c r="J409" s="3" t="s">
        <v>41</v>
      </c>
      <c r="K409" s="2">
        <v>30</v>
      </c>
      <c r="L409" s="1">
        <v>90000</v>
      </c>
      <c r="M409" s="1">
        <v>2700000</v>
      </c>
      <c r="N409" s="1">
        <v>15</v>
      </c>
      <c r="O409" s="1">
        <v>405000</v>
      </c>
    </row>
    <row r="410" spans="1:15">
      <c r="A410" s="6">
        <v>2026</v>
      </c>
      <c r="B410" s="7">
        <v>4</v>
      </c>
      <c r="C410" s="8">
        <v>46121</v>
      </c>
      <c r="D410" s="3" t="s">
        <v>869</v>
      </c>
      <c r="E410" s="3" t="s">
        <v>870</v>
      </c>
      <c r="F410" s="3" t="s">
        <v>871</v>
      </c>
      <c r="G410" s="3" t="s">
        <v>273</v>
      </c>
      <c r="H410" s="3" t="s">
        <v>255</v>
      </c>
      <c r="I410" s="3" t="s">
        <v>872</v>
      </c>
      <c r="J410" s="3" t="s">
        <v>466</v>
      </c>
      <c r="K410" s="2">
        <v>30</v>
      </c>
      <c r="L410" s="1">
        <v>120000</v>
      </c>
      <c r="M410" s="1">
        <v>3600000</v>
      </c>
      <c r="N410" s="1">
        <v>15</v>
      </c>
      <c r="O410" s="1">
        <v>540000</v>
      </c>
    </row>
    <row r="411" spans="1:15">
      <c r="A411" s="6">
        <v>2026</v>
      </c>
      <c r="B411" s="7">
        <v>4</v>
      </c>
      <c r="C411" s="8">
        <v>46121</v>
      </c>
      <c r="D411" s="3" t="s">
        <v>873</v>
      </c>
      <c r="E411" s="3" t="s">
        <v>874</v>
      </c>
      <c r="F411" s="3" t="s">
        <v>875</v>
      </c>
      <c r="G411" s="3" t="s">
        <v>273</v>
      </c>
      <c r="H411" s="3" t="s">
        <v>255</v>
      </c>
      <c r="I411" s="3" t="s">
        <v>876</v>
      </c>
      <c r="J411" s="3" t="s">
        <v>466</v>
      </c>
      <c r="K411" s="2">
        <v>47</v>
      </c>
      <c r="L411" s="1">
        <v>120000</v>
      </c>
      <c r="M411" s="1">
        <v>5640000</v>
      </c>
      <c r="N411" s="1">
        <v>13.49</v>
      </c>
      <c r="O411" s="1">
        <v>760836</v>
      </c>
    </row>
    <row r="412" spans="1:15">
      <c r="A412" s="6">
        <v>2026</v>
      </c>
      <c r="B412" s="7">
        <v>4</v>
      </c>
      <c r="C412" s="8">
        <v>46121</v>
      </c>
      <c r="D412" s="3" t="s">
        <v>877</v>
      </c>
      <c r="E412" s="3" t="s">
        <v>332</v>
      </c>
      <c r="F412" s="3" t="s">
        <v>333</v>
      </c>
      <c r="G412" s="3" t="s">
        <v>260</v>
      </c>
      <c r="H412" s="3" t="s">
        <v>255</v>
      </c>
      <c r="I412" s="3" t="s">
        <v>289</v>
      </c>
      <c r="J412" s="3" t="s">
        <v>21</v>
      </c>
      <c r="K412" s="2">
        <v>100</v>
      </c>
      <c r="L412" s="1">
        <v>40621</v>
      </c>
      <c r="M412" s="1">
        <v>4062100</v>
      </c>
      <c r="N412" s="1">
        <v>12</v>
      </c>
      <c r="O412" s="1">
        <v>487452</v>
      </c>
    </row>
    <row r="413" spans="1:15">
      <c r="A413" s="6">
        <v>2026</v>
      </c>
      <c r="B413" s="7">
        <v>4</v>
      </c>
      <c r="C413" s="8">
        <v>46121</v>
      </c>
      <c r="D413" s="3" t="s">
        <v>878</v>
      </c>
      <c r="E413" s="3" t="s">
        <v>673</v>
      </c>
      <c r="F413" s="3" t="s">
        <v>674</v>
      </c>
      <c r="G413" s="3" t="s">
        <v>260</v>
      </c>
      <c r="H413" s="3" t="s">
        <v>255</v>
      </c>
      <c r="I413" s="3" t="s">
        <v>822</v>
      </c>
      <c r="J413" s="3" t="s">
        <v>466</v>
      </c>
      <c r="K413" s="2">
        <v>25</v>
      </c>
      <c r="L413" s="1">
        <v>120000</v>
      </c>
      <c r="M413" s="1">
        <v>3000000</v>
      </c>
      <c r="N413" s="1">
        <v>13</v>
      </c>
      <c r="O413" s="1">
        <v>390000</v>
      </c>
    </row>
    <row r="414" spans="1:15">
      <c r="A414" s="6">
        <v>2026</v>
      </c>
      <c r="B414" s="7">
        <v>4</v>
      </c>
      <c r="C414" s="8">
        <v>46121</v>
      </c>
      <c r="D414" s="3" t="s">
        <v>879</v>
      </c>
      <c r="E414" s="3" t="s">
        <v>336</v>
      </c>
      <c r="F414" s="3" t="s">
        <v>337</v>
      </c>
      <c r="G414" s="3" t="s">
        <v>260</v>
      </c>
      <c r="H414" s="3" t="s">
        <v>255</v>
      </c>
      <c r="I414" s="3" t="s">
        <v>424</v>
      </c>
      <c r="J414" s="3" t="s">
        <v>21</v>
      </c>
      <c r="K414" s="2">
        <v>30</v>
      </c>
      <c r="L414" s="1">
        <v>40621</v>
      </c>
      <c r="M414" s="1">
        <v>1218630</v>
      </c>
      <c r="N414" s="1">
        <v>13</v>
      </c>
      <c r="O414" s="1">
        <v>158421.9</v>
      </c>
    </row>
    <row r="415" spans="1:15">
      <c r="A415" s="6">
        <v>2026</v>
      </c>
      <c r="B415" s="7">
        <v>4</v>
      </c>
      <c r="C415" s="8">
        <v>46121</v>
      </c>
      <c r="D415" s="3" t="s">
        <v>880</v>
      </c>
      <c r="E415" s="3" t="s">
        <v>703</v>
      </c>
      <c r="F415" s="3" t="s">
        <v>704</v>
      </c>
      <c r="G415" s="3" t="s">
        <v>254</v>
      </c>
      <c r="H415" s="3" t="s">
        <v>255</v>
      </c>
      <c r="I415" s="3" t="s">
        <v>881</v>
      </c>
      <c r="J415" s="3" t="s">
        <v>46</v>
      </c>
      <c r="K415" s="2">
        <v>10</v>
      </c>
      <c r="L415" s="1">
        <v>64700</v>
      </c>
      <c r="M415" s="1">
        <v>647000</v>
      </c>
      <c r="N415" s="1">
        <v>8</v>
      </c>
      <c r="O415" s="1">
        <v>51760</v>
      </c>
    </row>
    <row r="416" spans="1:15">
      <c r="A416" s="6">
        <v>2026</v>
      </c>
      <c r="B416" s="7">
        <v>4</v>
      </c>
      <c r="C416" s="8">
        <v>46121</v>
      </c>
      <c r="D416" s="3" t="s">
        <v>882</v>
      </c>
      <c r="E416" s="3" t="s">
        <v>870</v>
      </c>
      <c r="F416" s="3" t="s">
        <v>871</v>
      </c>
      <c r="G416" s="3" t="s">
        <v>273</v>
      </c>
      <c r="H416" s="3" t="s">
        <v>255</v>
      </c>
      <c r="I416" s="3" t="s">
        <v>883</v>
      </c>
      <c r="J416" s="3" t="s">
        <v>41</v>
      </c>
      <c r="K416" s="2">
        <v>20</v>
      </c>
      <c r="L416" s="1">
        <v>90000</v>
      </c>
      <c r="M416" s="1">
        <v>1800000</v>
      </c>
      <c r="N416" s="1">
        <v>15</v>
      </c>
      <c r="O416" s="1">
        <v>270000</v>
      </c>
    </row>
    <row r="417" spans="1:15">
      <c r="A417" s="6">
        <v>2026</v>
      </c>
      <c r="B417" s="7">
        <v>4</v>
      </c>
      <c r="C417" s="8">
        <v>46121</v>
      </c>
      <c r="D417" s="3" t="s">
        <v>884</v>
      </c>
      <c r="E417" s="3" t="s">
        <v>332</v>
      </c>
      <c r="F417" s="3" t="s">
        <v>333</v>
      </c>
      <c r="G417" s="3" t="s">
        <v>260</v>
      </c>
      <c r="H417" s="3" t="s">
        <v>255</v>
      </c>
      <c r="I417" s="3" t="s">
        <v>62</v>
      </c>
      <c r="J417" s="3" t="s">
        <v>21</v>
      </c>
      <c r="K417" s="2">
        <v>20</v>
      </c>
      <c r="L417" s="1">
        <v>40621</v>
      </c>
      <c r="M417" s="1">
        <v>812420</v>
      </c>
      <c r="N417" s="1">
        <v>10</v>
      </c>
      <c r="O417" s="1">
        <v>81242</v>
      </c>
    </row>
    <row r="418" spans="1:15">
      <c r="A418" s="6">
        <v>2026</v>
      </c>
      <c r="B418" s="7">
        <v>4</v>
      </c>
      <c r="C418" s="8">
        <v>46121</v>
      </c>
      <c r="D418" s="3" t="s">
        <v>885</v>
      </c>
      <c r="E418" s="3" t="s">
        <v>886</v>
      </c>
      <c r="F418" s="3" t="s">
        <v>887</v>
      </c>
      <c r="G418" s="3" t="s">
        <v>273</v>
      </c>
      <c r="H418" s="3" t="s">
        <v>255</v>
      </c>
      <c r="I418" s="3" t="s">
        <v>888</v>
      </c>
      <c r="J418" s="3" t="s">
        <v>46</v>
      </c>
      <c r="K418" s="2">
        <v>30</v>
      </c>
      <c r="L418" s="1">
        <v>64700</v>
      </c>
      <c r="M418" s="1">
        <v>1941000</v>
      </c>
      <c r="N418" s="1">
        <v>15</v>
      </c>
      <c r="O418" s="1">
        <v>291150</v>
      </c>
    </row>
    <row r="419" spans="1:15">
      <c r="A419" s="6">
        <v>2026</v>
      </c>
      <c r="B419" s="7">
        <v>4</v>
      </c>
      <c r="C419" s="8">
        <v>46121</v>
      </c>
      <c r="D419" s="3" t="s">
        <v>889</v>
      </c>
      <c r="E419" s="3" t="s">
        <v>890</v>
      </c>
      <c r="F419" s="3" t="s">
        <v>281</v>
      </c>
      <c r="G419" s="3" t="s">
        <v>273</v>
      </c>
      <c r="H419" s="3" t="s">
        <v>255</v>
      </c>
      <c r="I419" s="3" t="s">
        <v>492</v>
      </c>
      <c r="J419" s="3" t="s">
        <v>466</v>
      </c>
      <c r="K419" s="2">
        <v>30</v>
      </c>
      <c r="L419" s="1">
        <v>120000</v>
      </c>
      <c r="M419" s="1">
        <v>3600000</v>
      </c>
      <c r="N419" s="1">
        <v>15</v>
      </c>
      <c r="O419" s="1">
        <v>540000</v>
      </c>
    </row>
    <row r="420" spans="1:15">
      <c r="A420" s="6">
        <v>2026</v>
      </c>
      <c r="B420" s="7">
        <v>4</v>
      </c>
      <c r="C420" s="8">
        <v>46121</v>
      </c>
      <c r="D420" s="3" t="s">
        <v>889</v>
      </c>
      <c r="E420" s="3" t="s">
        <v>890</v>
      </c>
      <c r="F420" s="3" t="s">
        <v>281</v>
      </c>
      <c r="G420" s="3" t="s">
        <v>273</v>
      </c>
      <c r="H420" s="3" t="s">
        <v>255</v>
      </c>
      <c r="I420" s="3" t="s">
        <v>492</v>
      </c>
      <c r="J420" s="3" t="s">
        <v>38</v>
      </c>
      <c r="K420" s="2">
        <v>30</v>
      </c>
      <c r="L420" s="1">
        <v>65000</v>
      </c>
      <c r="M420" s="1">
        <v>1950000</v>
      </c>
      <c r="N420" s="1">
        <v>15</v>
      </c>
      <c r="O420" s="1">
        <v>292500</v>
      </c>
    </row>
    <row r="421" spans="1:15">
      <c r="A421" s="6">
        <v>2026</v>
      </c>
      <c r="B421" s="7">
        <v>4</v>
      </c>
      <c r="C421" s="8">
        <v>46122</v>
      </c>
      <c r="D421" s="3" t="s">
        <v>891</v>
      </c>
      <c r="E421" s="3" t="s">
        <v>886</v>
      </c>
      <c r="F421" s="3" t="s">
        <v>887</v>
      </c>
      <c r="G421" s="3" t="s">
        <v>273</v>
      </c>
      <c r="H421" s="3" t="s">
        <v>255</v>
      </c>
      <c r="I421" s="3" t="s">
        <v>872</v>
      </c>
      <c r="J421" s="3" t="s">
        <v>46</v>
      </c>
      <c r="K421" s="2">
        <v>100</v>
      </c>
      <c r="L421" s="1">
        <v>64700</v>
      </c>
      <c r="M421" s="1">
        <v>6470000</v>
      </c>
      <c r="N421" s="1">
        <v>15</v>
      </c>
      <c r="O421" s="1">
        <v>970500</v>
      </c>
    </row>
    <row r="422" spans="1:15">
      <c r="A422" s="6">
        <v>2026</v>
      </c>
      <c r="B422" s="7">
        <v>4</v>
      </c>
      <c r="C422" s="8">
        <v>46122</v>
      </c>
      <c r="D422" s="3" t="s">
        <v>892</v>
      </c>
      <c r="E422" s="3" t="s">
        <v>893</v>
      </c>
      <c r="F422" s="3" t="s">
        <v>894</v>
      </c>
      <c r="G422" s="3" t="s">
        <v>273</v>
      </c>
      <c r="H422" s="3" t="s">
        <v>255</v>
      </c>
      <c r="I422" s="3" t="s">
        <v>635</v>
      </c>
      <c r="J422" s="3" t="s">
        <v>41</v>
      </c>
      <c r="K422" s="2">
        <v>150</v>
      </c>
      <c r="L422" s="1">
        <v>90000</v>
      </c>
      <c r="M422" s="1">
        <v>13500000</v>
      </c>
      <c r="N422" s="1">
        <v>15</v>
      </c>
      <c r="O422" s="1">
        <v>2025000</v>
      </c>
    </row>
    <row r="423" spans="1:15">
      <c r="A423" s="6">
        <v>2026</v>
      </c>
      <c r="B423" s="7">
        <v>4</v>
      </c>
      <c r="C423" s="8">
        <v>46122</v>
      </c>
      <c r="D423" s="3" t="s">
        <v>895</v>
      </c>
      <c r="E423" s="3" t="s">
        <v>886</v>
      </c>
      <c r="F423" s="3" t="s">
        <v>887</v>
      </c>
      <c r="G423" s="3" t="s">
        <v>273</v>
      </c>
      <c r="H423" s="3" t="s">
        <v>255</v>
      </c>
      <c r="I423" s="3" t="s">
        <v>896</v>
      </c>
      <c r="J423" s="3" t="s">
        <v>46</v>
      </c>
      <c r="K423" s="2">
        <v>50</v>
      </c>
      <c r="L423" s="1">
        <v>64700</v>
      </c>
      <c r="M423" s="1">
        <v>3235000</v>
      </c>
      <c r="N423" s="1">
        <v>15</v>
      </c>
      <c r="O423" s="1">
        <v>485250</v>
      </c>
    </row>
    <row r="424" spans="1:15">
      <c r="A424" s="6">
        <v>2026</v>
      </c>
      <c r="B424" s="7">
        <v>4</v>
      </c>
      <c r="C424" s="8">
        <v>46122</v>
      </c>
      <c r="D424" s="3" t="s">
        <v>897</v>
      </c>
      <c r="E424" s="3" t="s">
        <v>332</v>
      </c>
      <c r="F424" s="3" t="s">
        <v>333</v>
      </c>
      <c r="G424" s="3" t="s">
        <v>260</v>
      </c>
      <c r="H424" s="3" t="s">
        <v>255</v>
      </c>
      <c r="I424" s="3" t="s">
        <v>117</v>
      </c>
      <c r="J424" s="3" t="s">
        <v>21</v>
      </c>
      <c r="K424" s="2">
        <v>64</v>
      </c>
      <c r="L424" s="1">
        <v>40621</v>
      </c>
      <c r="M424" s="1">
        <v>2599744</v>
      </c>
      <c r="N424" s="1">
        <v>8</v>
      </c>
      <c r="O424" s="1">
        <v>207979.51999999999</v>
      </c>
    </row>
    <row r="425" spans="1:15">
      <c r="A425" s="6">
        <v>2026</v>
      </c>
      <c r="B425" s="7">
        <v>4</v>
      </c>
      <c r="C425" s="8">
        <v>46125</v>
      </c>
      <c r="D425" s="3" t="s">
        <v>898</v>
      </c>
      <c r="E425" s="3" t="s">
        <v>899</v>
      </c>
      <c r="F425" s="3" t="s">
        <v>871</v>
      </c>
      <c r="G425" s="3" t="s">
        <v>273</v>
      </c>
      <c r="H425" s="3" t="s">
        <v>255</v>
      </c>
      <c r="I425" s="3" t="s">
        <v>900</v>
      </c>
      <c r="J425" s="3" t="s">
        <v>41</v>
      </c>
      <c r="K425" s="2">
        <v>50</v>
      </c>
      <c r="L425" s="1">
        <v>90000</v>
      </c>
      <c r="M425" s="1">
        <v>4500000</v>
      </c>
      <c r="N425" s="1">
        <v>15</v>
      </c>
      <c r="O425" s="1">
        <v>675000</v>
      </c>
    </row>
    <row r="426" spans="1:15">
      <c r="A426" s="6">
        <v>2026</v>
      </c>
      <c r="B426" s="7">
        <v>4</v>
      </c>
      <c r="C426" s="8">
        <v>46125</v>
      </c>
      <c r="D426" s="3" t="s">
        <v>901</v>
      </c>
      <c r="E426" s="3" t="s">
        <v>870</v>
      </c>
      <c r="F426" s="3" t="s">
        <v>871</v>
      </c>
      <c r="G426" s="3" t="s">
        <v>273</v>
      </c>
      <c r="H426" s="3" t="s">
        <v>255</v>
      </c>
      <c r="I426" s="3" t="s">
        <v>902</v>
      </c>
      <c r="J426" s="3" t="s">
        <v>466</v>
      </c>
      <c r="K426" s="2">
        <v>8</v>
      </c>
      <c r="L426" s="1">
        <v>120000</v>
      </c>
      <c r="M426" s="1">
        <v>960000</v>
      </c>
      <c r="N426" s="1">
        <v>15</v>
      </c>
      <c r="O426" s="1">
        <v>144000</v>
      </c>
    </row>
    <row r="427" spans="1:15">
      <c r="A427" s="6">
        <v>2026</v>
      </c>
      <c r="B427" s="7">
        <v>4</v>
      </c>
      <c r="C427" s="8">
        <v>46125</v>
      </c>
      <c r="D427" s="3" t="s">
        <v>901</v>
      </c>
      <c r="E427" s="3" t="s">
        <v>870</v>
      </c>
      <c r="F427" s="3" t="s">
        <v>871</v>
      </c>
      <c r="G427" s="3" t="s">
        <v>273</v>
      </c>
      <c r="H427" s="3" t="s">
        <v>255</v>
      </c>
      <c r="I427" s="3" t="s">
        <v>902</v>
      </c>
      <c r="J427" s="3" t="s">
        <v>41</v>
      </c>
      <c r="K427" s="2">
        <v>50</v>
      </c>
      <c r="L427" s="1">
        <v>90000</v>
      </c>
      <c r="M427" s="1">
        <v>4500000</v>
      </c>
      <c r="N427" s="1">
        <v>15</v>
      </c>
      <c r="O427" s="1">
        <v>675000</v>
      </c>
    </row>
    <row r="428" spans="1:15">
      <c r="A428" s="6">
        <v>2026</v>
      </c>
      <c r="B428" s="7">
        <v>4</v>
      </c>
      <c r="C428" s="8">
        <v>46125</v>
      </c>
      <c r="D428" s="3" t="s">
        <v>903</v>
      </c>
      <c r="E428" s="3" t="s">
        <v>414</v>
      </c>
      <c r="F428" s="3" t="s">
        <v>305</v>
      </c>
      <c r="G428" s="3" t="s">
        <v>306</v>
      </c>
      <c r="H428" s="3" t="s">
        <v>255</v>
      </c>
      <c r="I428" s="3" t="s">
        <v>904</v>
      </c>
      <c r="J428" s="3" t="s">
        <v>21</v>
      </c>
      <c r="K428" s="2">
        <v>10</v>
      </c>
      <c r="L428" s="1">
        <v>40621</v>
      </c>
      <c r="M428" s="1">
        <v>406210</v>
      </c>
      <c r="N428" s="1">
        <v>8</v>
      </c>
      <c r="O428" s="1">
        <v>32496.799999999999</v>
      </c>
    </row>
    <row r="429" spans="1:15">
      <c r="A429" s="6">
        <v>2026</v>
      </c>
      <c r="B429" s="7">
        <v>4</v>
      </c>
      <c r="C429" s="8">
        <v>46125</v>
      </c>
      <c r="D429" s="3" t="s">
        <v>905</v>
      </c>
      <c r="E429" s="3" t="s">
        <v>332</v>
      </c>
      <c r="F429" s="3" t="s">
        <v>333</v>
      </c>
      <c r="G429" s="3" t="s">
        <v>260</v>
      </c>
      <c r="H429" s="3" t="s">
        <v>255</v>
      </c>
      <c r="I429" s="3" t="s">
        <v>526</v>
      </c>
      <c r="J429" s="3" t="s">
        <v>21</v>
      </c>
      <c r="K429" s="2">
        <v>17</v>
      </c>
      <c r="L429" s="1">
        <v>40621</v>
      </c>
      <c r="M429" s="1">
        <v>690557</v>
      </c>
      <c r="N429" s="1">
        <v>8</v>
      </c>
      <c r="O429" s="1">
        <v>55244.56</v>
      </c>
    </row>
    <row r="430" spans="1:15">
      <c r="A430" s="6">
        <v>2026</v>
      </c>
      <c r="B430" s="7">
        <v>4</v>
      </c>
      <c r="C430" s="8">
        <v>46125</v>
      </c>
      <c r="D430" s="3" t="s">
        <v>906</v>
      </c>
      <c r="E430" s="3" t="s">
        <v>899</v>
      </c>
      <c r="F430" s="3" t="s">
        <v>871</v>
      </c>
      <c r="G430" s="3" t="s">
        <v>273</v>
      </c>
      <c r="H430" s="3" t="s">
        <v>255</v>
      </c>
      <c r="I430" s="3" t="s">
        <v>907</v>
      </c>
      <c r="J430" s="3" t="s">
        <v>41</v>
      </c>
      <c r="K430" s="2">
        <v>20</v>
      </c>
      <c r="L430" s="1">
        <v>90000</v>
      </c>
      <c r="M430" s="1">
        <v>1800000</v>
      </c>
      <c r="N430" s="1">
        <v>15</v>
      </c>
      <c r="O430" s="1">
        <v>270000</v>
      </c>
    </row>
    <row r="431" spans="1:15">
      <c r="A431" s="6">
        <v>2026</v>
      </c>
      <c r="B431" s="7">
        <v>4</v>
      </c>
      <c r="C431" s="8">
        <v>46125</v>
      </c>
      <c r="D431" s="3" t="s">
        <v>908</v>
      </c>
      <c r="E431" s="3" t="s">
        <v>496</v>
      </c>
      <c r="F431" s="3" t="s">
        <v>337</v>
      </c>
      <c r="G431" s="3" t="s">
        <v>260</v>
      </c>
      <c r="H431" s="3" t="s">
        <v>255</v>
      </c>
      <c r="I431" s="3" t="s">
        <v>571</v>
      </c>
      <c r="J431" s="3" t="s">
        <v>21</v>
      </c>
      <c r="K431" s="2">
        <v>16</v>
      </c>
      <c r="L431" s="1">
        <v>40621</v>
      </c>
      <c r="M431" s="1">
        <v>649936</v>
      </c>
      <c r="N431" s="1">
        <v>8</v>
      </c>
      <c r="O431" s="1">
        <v>51994.879999999997</v>
      </c>
    </row>
    <row r="432" spans="1:15">
      <c r="A432" s="6">
        <v>2026</v>
      </c>
      <c r="B432" s="7">
        <v>4</v>
      </c>
      <c r="C432" s="8">
        <v>46125</v>
      </c>
      <c r="D432" s="3" t="s">
        <v>909</v>
      </c>
      <c r="E432" s="3" t="s">
        <v>336</v>
      </c>
      <c r="F432" s="3" t="s">
        <v>337</v>
      </c>
      <c r="G432" s="3" t="s">
        <v>260</v>
      </c>
      <c r="H432" s="3" t="s">
        <v>255</v>
      </c>
      <c r="I432" s="3" t="s">
        <v>378</v>
      </c>
      <c r="J432" s="3" t="s">
        <v>21</v>
      </c>
      <c r="K432" s="2">
        <v>24</v>
      </c>
      <c r="L432" s="1">
        <v>40621</v>
      </c>
      <c r="M432" s="1">
        <v>974904</v>
      </c>
      <c r="N432" s="1">
        <v>10</v>
      </c>
      <c r="O432" s="1">
        <v>97490.4</v>
      </c>
    </row>
    <row r="433" spans="1:15">
      <c r="A433" s="6">
        <v>2026</v>
      </c>
      <c r="B433" s="7">
        <v>4</v>
      </c>
      <c r="C433" s="8">
        <v>46125</v>
      </c>
      <c r="D433" s="3" t="s">
        <v>910</v>
      </c>
      <c r="E433" s="3" t="s">
        <v>893</v>
      </c>
      <c r="F433" s="3" t="s">
        <v>894</v>
      </c>
      <c r="G433" s="3" t="s">
        <v>273</v>
      </c>
      <c r="H433" s="3" t="s">
        <v>255</v>
      </c>
      <c r="I433" s="3" t="s">
        <v>665</v>
      </c>
      <c r="J433" s="3" t="s">
        <v>41</v>
      </c>
      <c r="K433" s="2">
        <v>50</v>
      </c>
      <c r="L433" s="1">
        <v>90000</v>
      </c>
      <c r="M433" s="1">
        <v>4500000</v>
      </c>
      <c r="N433" s="1">
        <v>8</v>
      </c>
      <c r="O433" s="1">
        <v>360000</v>
      </c>
    </row>
    <row r="434" spans="1:15">
      <c r="A434" s="6">
        <v>2026</v>
      </c>
      <c r="B434" s="7">
        <v>4</v>
      </c>
      <c r="C434" s="8">
        <v>46126</v>
      </c>
      <c r="D434" s="3" t="s">
        <v>911</v>
      </c>
      <c r="E434" s="3" t="s">
        <v>912</v>
      </c>
      <c r="F434" s="3" t="s">
        <v>871</v>
      </c>
      <c r="G434" s="3" t="s">
        <v>273</v>
      </c>
      <c r="H434" s="3" t="s">
        <v>255</v>
      </c>
      <c r="I434" s="3" t="s">
        <v>913</v>
      </c>
      <c r="J434" s="3" t="s">
        <v>38</v>
      </c>
      <c r="K434" s="2">
        <v>100</v>
      </c>
      <c r="L434" s="1">
        <v>65000</v>
      </c>
      <c r="M434" s="1">
        <v>6500000</v>
      </c>
      <c r="N434" s="1">
        <v>15</v>
      </c>
      <c r="O434" s="1">
        <v>975000</v>
      </c>
    </row>
    <row r="435" spans="1:15">
      <c r="A435" s="6">
        <v>2026</v>
      </c>
      <c r="B435" s="7">
        <v>4</v>
      </c>
      <c r="C435" s="8">
        <v>46126</v>
      </c>
      <c r="D435" s="3" t="s">
        <v>911</v>
      </c>
      <c r="E435" s="3" t="s">
        <v>912</v>
      </c>
      <c r="F435" s="3" t="s">
        <v>871</v>
      </c>
      <c r="G435" s="3" t="s">
        <v>273</v>
      </c>
      <c r="H435" s="3" t="s">
        <v>255</v>
      </c>
      <c r="I435" s="3" t="s">
        <v>913</v>
      </c>
      <c r="J435" s="3" t="s">
        <v>41</v>
      </c>
      <c r="K435" s="2">
        <v>100</v>
      </c>
      <c r="L435" s="1">
        <v>90000</v>
      </c>
      <c r="M435" s="1">
        <v>9000000</v>
      </c>
      <c r="N435" s="1">
        <v>15</v>
      </c>
      <c r="O435" s="1">
        <v>1350000</v>
      </c>
    </row>
    <row r="436" spans="1:15">
      <c r="A436" s="6">
        <v>2026</v>
      </c>
      <c r="B436" s="7">
        <v>4</v>
      </c>
      <c r="C436" s="8">
        <v>46126</v>
      </c>
      <c r="D436" s="3" t="s">
        <v>914</v>
      </c>
      <c r="E436" s="3" t="s">
        <v>703</v>
      </c>
      <c r="F436" s="3" t="s">
        <v>704</v>
      </c>
      <c r="G436" s="3" t="s">
        <v>254</v>
      </c>
      <c r="H436" s="3" t="s">
        <v>255</v>
      </c>
      <c r="I436" s="3" t="s">
        <v>915</v>
      </c>
      <c r="J436" s="3" t="s">
        <v>46</v>
      </c>
      <c r="K436" s="2">
        <v>20</v>
      </c>
      <c r="L436" s="1">
        <v>64700</v>
      </c>
      <c r="M436" s="1">
        <v>1294000</v>
      </c>
      <c r="N436" s="1">
        <v>8</v>
      </c>
      <c r="O436" s="1">
        <v>103520</v>
      </c>
    </row>
    <row r="437" spans="1:15">
      <c r="A437" s="6">
        <v>2026</v>
      </c>
      <c r="B437" s="7">
        <v>4</v>
      </c>
      <c r="C437" s="8">
        <v>46126</v>
      </c>
      <c r="D437" s="3" t="s">
        <v>916</v>
      </c>
      <c r="E437" s="3" t="s">
        <v>912</v>
      </c>
      <c r="F437" s="3" t="s">
        <v>871</v>
      </c>
      <c r="G437" s="3" t="s">
        <v>273</v>
      </c>
      <c r="H437" s="3" t="s">
        <v>255</v>
      </c>
      <c r="I437" s="3" t="s">
        <v>917</v>
      </c>
      <c r="J437" s="3" t="s">
        <v>38</v>
      </c>
      <c r="K437" s="2">
        <v>50</v>
      </c>
      <c r="L437" s="1">
        <v>65000</v>
      </c>
      <c r="M437" s="1">
        <v>3250000</v>
      </c>
      <c r="N437" s="1">
        <v>15</v>
      </c>
      <c r="O437" s="1">
        <v>487500</v>
      </c>
    </row>
    <row r="438" spans="1:15">
      <c r="A438" s="6">
        <v>2026</v>
      </c>
      <c r="B438" s="7">
        <v>4</v>
      </c>
      <c r="C438" s="8">
        <v>46126</v>
      </c>
      <c r="D438" s="3" t="s">
        <v>918</v>
      </c>
      <c r="E438" s="3" t="s">
        <v>547</v>
      </c>
      <c r="F438" s="3" t="s">
        <v>464</v>
      </c>
      <c r="G438" s="3" t="s">
        <v>260</v>
      </c>
      <c r="H438" s="3" t="s">
        <v>255</v>
      </c>
      <c r="I438" s="3" t="s">
        <v>784</v>
      </c>
      <c r="J438" s="3" t="s">
        <v>46</v>
      </c>
      <c r="K438" s="2">
        <v>10</v>
      </c>
      <c r="L438" s="1">
        <v>64700</v>
      </c>
      <c r="M438" s="1">
        <v>647000</v>
      </c>
      <c r="N438" s="1">
        <v>13</v>
      </c>
      <c r="O438" s="1">
        <v>84110</v>
      </c>
    </row>
    <row r="439" spans="1:15">
      <c r="A439" s="6">
        <v>2026</v>
      </c>
      <c r="B439" s="7">
        <v>4</v>
      </c>
      <c r="C439" s="8">
        <v>46127</v>
      </c>
      <c r="D439" s="3" t="s">
        <v>919</v>
      </c>
      <c r="E439" s="3" t="s">
        <v>920</v>
      </c>
      <c r="F439" s="3" t="s">
        <v>871</v>
      </c>
      <c r="G439" s="3" t="s">
        <v>273</v>
      </c>
      <c r="H439" s="3" t="s">
        <v>255</v>
      </c>
      <c r="I439" s="3" t="s">
        <v>921</v>
      </c>
      <c r="J439" s="3" t="s">
        <v>466</v>
      </c>
      <c r="K439" s="2">
        <v>30</v>
      </c>
      <c r="L439" s="1">
        <v>120000</v>
      </c>
      <c r="M439" s="1">
        <v>3600000</v>
      </c>
      <c r="N439" s="1">
        <v>15</v>
      </c>
      <c r="O439" s="1">
        <v>540000</v>
      </c>
    </row>
    <row r="440" spans="1:15">
      <c r="A440" s="6">
        <v>2026</v>
      </c>
      <c r="B440" s="7">
        <v>4</v>
      </c>
      <c r="C440" s="8">
        <v>46127</v>
      </c>
      <c r="D440" s="3" t="s">
        <v>919</v>
      </c>
      <c r="E440" s="3" t="s">
        <v>920</v>
      </c>
      <c r="F440" s="3" t="s">
        <v>871</v>
      </c>
      <c r="G440" s="3" t="s">
        <v>273</v>
      </c>
      <c r="H440" s="3" t="s">
        <v>255</v>
      </c>
      <c r="I440" s="3" t="s">
        <v>921</v>
      </c>
      <c r="J440" s="3" t="s">
        <v>38</v>
      </c>
      <c r="K440" s="2">
        <v>30</v>
      </c>
      <c r="L440" s="1">
        <v>65000</v>
      </c>
      <c r="M440" s="1">
        <v>1950000</v>
      </c>
      <c r="N440" s="1">
        <v>15</v>
      </c>
      <c r="O440" s="1">
        <v>292500</v>
      </c>
    </row>
    <row r="441" spans="1:15">
      <c r="A441" s="6">
        <v>2026</v>
      </c>
      <c r="B441" s="7">
        <v>4</v>
      </c>
      <c r="C441" s="8">
        <v>46127</v>
      </c>
      <c r="D441" s="3" t="s">
        <v>919</v>
      </c>
      <c r="E441" s="3" t="s">
        <v>920</v>
      </c>
      <c r="F441" s="3" t="s">
        <v>871</v>
      </c>
      <c r="G441" s="3" t="s">
        <v>273</v>
      </c>
      <c r="H441" s="3" t="s">
        <v>255</v>
      </c>
      <c r="I441" s="3" t="s">
        <v>921</v>
      </c>
      <c r="J441" s="3" t="s">
        <v>41</v>
      </c>
      <c r="K441" s="2">
        <v>50</v>
      </c>
      <c r="L441" s="1">
        <v>90000</v>
      </c>
      <c r="M441" s="1">
        <v>4500000</v>
      </c>
      <c r="N441" s="1">
        <v>15</v>
      </c>
      <c r="O441" s="1">
        <v>675000</v>
      </c>
    </row>
    <row r="442" spans="1:15">
      <c r="A442" s="6">
        <v>2026</v>
      </c>
      <c r="B442" s="7">
        <v>4</v>
      </c>
      <c r="C442" s="8">
        <v>46127</v>
      </c>
      <c r="D442" s="3" t="s">
        <v>922</v>
      </c>
      <c r="E442" s="3" t="s">
        <v>899</v>
      </c>
      <c r="F442" s="3" t="s">
        <v>871</v>
      </c>
      <c r="G442" s="3" t="s">
        <v>273</v>
      </c>
      <c r="H442" s="3" t="s">
        <v>255</v>
      </c>
      <c r="I442" s="3" t="s">
        <v>923</v>
      </c>
      <c r="J442" s="3" t="s">
        <v>41</v>
      </c>
      <c r="K442" s="2">
        <v>100</v>
      </c>
      <c r="L442" s="1">
        <v>90000</v>
      </c>
      <c r="M442" s="1">
        <v>9000000</v>
      </c>
      <c r="N442" s="1">
        <v>15</v>
      </c>
      <c r="O442" s="1">
        <v>1350000</v>
      </c>
    </row>
    <row r="443" spans="1:15">
      <c r="A443" s="6">
        <v>2026</v>
      </c>
      <c r="B443" s="7">
        <v>4</v>
      </c>
      <c r="C443" s="8">
        <v>46127</v>
      </c>
      <c r="D443" s="3" t="s">
        <v>924</v>
      </c>
      <c r="E443" s="3" t="s">
        <v>271</v>
      </c>
      <c r="F443" s="3" t="s">
        <v>272</v>
      </c>
      <c r="G443" s="3" t="s">
        <v>273</v>
      </c>
      <c r="H443" s="3" t="s">
        <v>255</v>
      </c>
      <c r="I443" s="3" t="s">
        <v>925</v>
      </c>
      <c r="J443" s="3" t="s">
        <v>41</v>
      </c>
      <c r="K443" s="2">
        <v>200</v>
      </c>
      <c r="L443" s="1">
        <v>90000</v>
      </c>
      <c r="M443" s="1">
        <v>18000000</v>
      </c>
      <c r="N443" s="1">
        <v>5</v>
      </c>
      <c r="O443" s="1">
        <v>900000</v>
      </c>
    </row>
    <row r="444" spans="1:15">
      <c r="A444" s="6">
        <v>2026</v>
      </c>
      <c r="B444" s="7">
        <v>4</v>
      </c>
      <c r="C444" s="8">
        <v>46127</v>
      </c>
      <c r="D444" s="3" t="s">
        <v>926</v>
      </c>
      <c r="E444" s="3" t="s">
        <v>271</v>
      </c>
      <c r="F444" s="3" t="s">
        <v>272</v>
      </c>
      <c r="G444" s="3" t="s">
        <v>273</v>
      </c>
      <c r="H444" s="3" t="s">
        <v>255</v>
      </c>
      <c r="I444" s="3" t="s">
        <v>925</v>
      </c>
      <c r="J444" s="3" t="s">
        <v>46</v>
      </c>
      <c r="K444" s="2">
        <v>200</v>
      </c>
      <c r="L444" s="1">
        <v>64700</v>
      </c>
      <c r="M444" s="1">
        <v>12940000</v>
      </c>
      <c r="N444" s="1">
        <v>5</v>
      </c>
      <c r="O444" s="1">
        <v>647000</v>
      </c>
    </row>
    <row r="445" spans="1:15">
      <c r="A445" s="6">
        <v>2026</v>
      </c>
      <c r="B445" s="7">
        <v>4</v>
      </c>
      <c r="C445" s="8">
        <v>46127</v>
      </c>
      <c r="D445" s="3" t="s">
        <v>927</v>
      </c>
      <c r="E445" s="3" t="s">
        <v>284</v>
      </c>
      <c r="F445" s="3" t="s">
        <v>281</v>
      </c>
      <c r="G445" s="3" t="s">
        <v>273</v>
      </c>
      <c r="H445" s="3" t="s">
        <v>255</v>
      </c>
      <c r="I445" s="3" t="s">
        <v>928</v>
      </c>
      <c r="J445" s="3" t="s">
        <v>38</v>
      </c>
      <c r="K445" s="2">
        <v>50</v>
      </c>
      <c r="L445" s="1">
        <v>65000</v>
      </c>
      <c r="M445" s="1">
        <v>3250000</v>
      </c>
      <c r="N445" s="1">
        <v>15</v>
      </c>
      <c r="O445" s="1">
        <v>487500</v>
      </c>
    </row>
    <row r="446" spans="1:15">
      <c r="A446" s="6">
        <v>2026</v>
      </c>
      <c r="B446" s="7">
        <v>4</v>
      </c>
      <c r="C446" s="8">
        <v>46127</v>
      </c>
      <c r="D446" s="3" t="s">
        <v>929</v>
      </c>
      <c r="E446" s="3" t="s">
        <v>874</v>
      </c>
      <c r="F446" s="3" t="s">
        <v>875</v>
      </c>
      <c r="G446" s="3" t="s">
        <v>273</v>
      </c>
      <c r="H446" s="3" t="s">
        <v>255</v>
      </c>
      <c r="I446" s="3" t="s">
        <v>930</v>
      </c>
      <c r="J446" s="3" t="s">
        <v>38</v>
      </c>
      <c r="K446" s="2">
        <v>40</v>
      </c>
      <c r="L446" s="1">
        <v>65000</v>
      </c>
      <c r="M446" s="1">
        <v>2600000</v>
      </c>
      <c r="N446" s="1">
        <v>15</v>
      </c>
      <c r="O446" s="1">
        <v>390000</v>
      </c>
    </row>
    <row r="447" spans="1:15">
      <c r="A447" s="6">
        <v>2026</v>
      </c>
      <c r="B447" s="7">
        <v>4</v>
      </c>
      <c r="C447" s="8">
        <v>46128</v>
      </c>
      <c r="D447" s="3" t="s">
        <v>931</v>
      </c>
      <c r="E447" s="3" t="s">
        <v>703</v>
      </c>
      <c r="F447" s="3" t="s">
        <v>704</v>
      </c>
      <c r="G447" s="3" t="s">
        <v>254</v>
      </c>
      <c r="H447" s="3" t="s">
        <v>255</v>
      </c>
      <c r="I447" s="3" t="s">
        <v>320</v>
      </c>
      <c r="J447" s="3" t="s">
        <v>46</v>
      </c>
      <c r="K447" s="2">
        <v>60</v>
      </c>
      <c r="L447" s="1">
        <v>64700</v>
      </c>
      <c r="M447" s="1">
        <v>3882000</v>
      </c>
      <c r="N447" s="1">
        <v>8</v>
      </c>
      <c r="O447" s="1">
        <v>310560</v>
      </c>
    </row>
    <row r="448" spans="1:15">
      <c r="A448" s="6">
        <v>2026</v>
      </c>
      <c r="B448" s="7">
        <v>4</v>
      </c>
      <c r="C448" s="8">
        <v>46128</v>
      </c>
      <c r="D448" s="3" t="s">
        <v>932</v>
      </c>
      <c r="E448" s="3" t="s">
        <v>736</v>
      </c>
      <c r="F448" s="3" t="s">
        <v>704</v>
      </c>
      <c r="G448" s="3" t="s">
        <v>254</v>
      </c>
      <c r="H448" s="3" t="s">
        <v>255</v>
      </c>
      <c r="I448" s="3" t="s">
        <v>705</v>
      </c>
      <c r="J448" s="3" t="s">
        <v>46</v>
      </c>
      <c r="K448" s="2">
        <v>10</v>
      </c>
      <c r="L448" s="1">
        <v>64700</v>
      </c>
      <c r="M448" s="1">
        <v>647000</v>
      </c>
      <c r="N448" s="1">
        <v>10</v>
      </c>
      <c r="O448" s="1">
        <v>64700</v>
      </c>
    </row>
    <row r="449" spans="1:15">
      <c r="A449" s="6">
        <v>2026</v>
      </c>
      <c r="B449" s="7">
        <v>4</v>
      </c>
      <c r="C449" s="8">
        <v>46128</v>
      </c>
      <c r="D449" s="3" t="s">
        <v>933</v>
      </c>
      <c r="E449" s="3" t="s">
        <v>912</v>
      </c>
      <c r="F449" s="3" t="s">
        <v>871</v>
      </c>
      <c r="G449" s="3" t="s">
        <v>273</v>
      </c>
      <c r="H449" s="3" t="s">
        <v>255</v>
      </c>
      <c r="I449" s="3" t="s">
        <v>934</v>
      </c>
      <c r="J449" s="3" t="s">
        <v>466</v>
      </c>
      <c r="K449" s="2">
        <v>20</v>
      </c>
      <c r="L449" s="1">
        <v>120000</v>
      </c>
      <c r="M449" s="1">
        <v>2400000</v>
      </c>
      <c r="N449" s="1">
        <v>15</v>
      </c>
      <c r="O449" s="1">
        <v>360000</v>
      </c>
    </row>
    <row r="450" spans="1:15">
      <c r="A450" s="6">
        <v>2026</v>
      </c>
      <c r="B450" s="7">
        <v>4</v>
      </c>
      <c r="C450" s="8">
        <v>46128</v>
      </c>
      <c r="D450" s="3" t="s">
        <v>933</v>
      </c>
      <c r="E450" s="3" t="s">
        <v>912</v>
      </c>
      <c r="F450" s="3" t="s">
        <v>871</v>
      </c>
      <c r="G450" s="3" t="s">
        <v>273</v>
      </c>
      <c r="H450" s="3" t="s">
        <v>255</v>
      </c>
      <c r="I450" s="3" t="s">
        <v>934</v>
      </c>
      <c r="J450" s="3" t="s">
        <v>41</v>
      </c>
      <c r="K450" s="2">
        <v>20</v>
      </c>
      <c r="L450" s="1">
        <v>90000</v>
      </c>
      <c r="M450" s="1">
        <v>1800000</v>
      </c>
      <c r="N450" s="1">
        <v>15</v>
      </c>
      <c r="O450" s="1">
        <v>270000</v>
      </c>
    </row>
    <row r="451" spans="1:15">
      <c r="A451" s="6">
        <v>2026</v>
      </c>
      <c r="B451" s="7">
        <v>4</v>
      </c>
      <c r="C451" s="8">
        <v>46128</v>
      </c>
      <c r="D451" s="3" t="s">
        <v>935</v>
      </c>
      <c r="E451" s="3" t="s">
        <v>271</v>
      </c>
      <c r="F451" s="3" t="s">
        <v>887</v>
      </c>
      <c r="G451" s="3" t="s">
        <v>273</v>
      </c>
      <c r="H451" s="3" t="s">
        <v>255</v>
      </c>
      <c r="I451" s="3" t="s">
        <v>936</v>
      </c>
      <c r="J451" s="3" t="s">
        <v>46</v>
      </c>
      <c r="K451" s="2">
        <v>100</v>
      </c>
      <c r="L451" s="1">
        <v>64700</v>
      </c>
      <c r="M451" s="1">
        <v>6470000</v>
      </c>
      <c r="N451" s="1">
        <v>15</v>
      </c>
      <c r="O451" s="1">
        <v>970500</v>
      </c>
    </row>
    <row r="452" spans="1:15">
      <c r="A452" s="6">
        <v>2026</v>
      </c>
      <c r="B452" s="7">
        <v>4</v>
      </c>
      <c r="C452" s="8">
        <v>46128</v>
      </c>
      <c r="D452" s="3" t="s">
        <v>937</v>
      </c>
      <c r="E452" s="3" t="s">
        <v>736</v>
      </c>
      <c r="F452" s="3" t="s">
        <v>704</v>
      </c>
      <c r="G452" s="3" t="s">
        <v>254</v>
      </c>
      <c r="H452" s="3" t="s">
        <v>255</v>
      </c>
      <c r="I452" s="3" t="s">
        <v>443</v>
      </c>
      <c r="J452" s="3" t="s">
        <v>46</v>
      </c>
      <c r="K452" s="2">
        <v>20</v>
      </c>
      <c r="L452" s="1">
        <v>64700</v>
      </c>
      <c r="M452" s="1">
        <v>1294000</v>
      </c>
      <c r="N452" s="1">
        <v>8</v>
      </c>
      <c r="O452" s="1">
        <v>103520</v>
      </c>
    </row>
    <row r="453" spans="1:15">
      <c r="A453" s="6">
        <v>2026</v>
      </c>
      <c r="B453" s="7">
        <v>4</v>
      </c>
      <c r="C453" s="8">
        <v>46128</v>
      </c>
      <c r="D453" s="3" t="s">
        <v>938</v>
      </c>
      <c r="E453" s="3" t="s">
        <v>677</v>
      </c>
      <c r="F453" s="3" t="s">
        <v>464</v>
      </c>
      <c r="G453" s="3" t="s">
        <v>260</v>
      </c>
      <c r="H453" s="3" t="s">
        <v>255</v>
      </c>
      <c r="I453" s="3" t="s">
        <v>825</v>
      </c>
      <c r="J453" s="3" t="s">
        <v>46</v>
      </c>
      <c r="K453" s="2">
        <v>20</v>
      </c>
      <c r="L453" s="1">
        <v>64700</v>
      </c>
      <c r="M453" s="1">
        <v>1294000</v>
      </c>
      <c r="N453" s="1">
        <v>10</v>
      </c>
      <c r="O453" s="1">
        <v>129400</v>
      </c>
    </row>
    <row r="454" spans="1:15">
      <c r="A454" s="6">
        <v>2026</v>
      </c>
      <c r="B454" s="7">
        <v>4</v>
      </c>
      <c r="C454" s="8">
        <v>46128</v>
      </c>
      <c r="D454" s="3" t="s">
        <v>939</v>
      </c>
      <c r="E454" s="3" t="s">
        <v>284</v>
      </c>
      <c r="F454" s="3" t="s">
        <v>281</v>
      </c>
      <c r="G454" s="3" t="s">
        <v>273</v>
      </c>
      <c r="H454" s="3" t="s">
        <v>255</v>
      </c>
      <c r="I454" s="3" t="s">
        <v>25</v>
      </c>
      <c r="J454" s="3" t="s">
        <v>38</v>
      </c>
      <c r="K454" s="2">
        <v>100</v>
      </c>
      <c r="L454" s="1">
        <v>65000</v>
      </c>
      <c r="M454" s="1">
        <v>6500000</v>
      </c>
      <c r="N454" s="1">
        <v>15</v>
      </c>
      <c r="O454" s="1">
        <v>975000</v>
      </c>
    </row>
    <row r="455" spans="1:15">
      <c r="A455" s="6">
        <v>2026</v>
      </c>
      <c r="B455" s="7">
        <v>4</v>
      </c>
      <c r="C455" s="8">
        <v>46128</v>
      </c>
      <c r="D455" s="3" t="s">
        <v>940</v>
      </c>
      <c r="E455" s="3" t="s">
        <v>332</v>
      </c>
      <c r="F455" s="3" t="s">
        <v>333</v>
      </c>
      <c r="G455" s="3" t="s">
        <v>260</v>
      </c>
      <c r="H455" s="3" t="s">
        <v>255</v>
      </c>
      <c r="I455" s="3" t="s">
        <v>439</v>
      </c>
      <c r="J455" s="3" t="s">
        <v>21</v>
      </c>
      <c r="K455" s="2">
        <v>12</v>
      </c>
      <c r="L455" s="1">
        <v>40621</v>
      </c>
      <c r="M455" s="1">
        <v>487452</v>
      </c>
      <c r="N455" s="1">
        <v>10</v>
      </c>
      <c r="O455" s="1">
        <v>48745.2</v>
      </c>
    </row>
    <row r="456" spans="1:15">
      <c r="A456" s="6">
        <v>2026</v>
      </c>
      <c r="B456" s="7">
        <v>4</v>
      </c>
      <c r="C456" s="8">
        <v>46129</v>
      </c>
      <c r="D456" s="3" t="s">
        <v>941</v>
      </c>
      <c r="E456" s="3" t="s">
        <v>920</v>
      </c>
      <c r="F456" s="3" t="s">
        <v>871</v>
      </c>
      <c r="G456" s="3" t="s">
        <v>273</v>
      </c>
      <c r="H456" s="3" t="s">
        <v>255</v>
      </c>
      <c r="I456" s="3" t="s">
        <v>942</v>
      </c>
      <c r="J456" s="3" t="s">
        <v>38</v>
      </c>
      <c r="K456" s="2">
        <v>100</v>
      </c>
      <c r="L456" s="1">
        <v>65000</v>
      </c>
      <c r="M456" s="1">
        <v>6500000</v>
      </c>
      <c r="N456" s="1">
        <v>15</v>
      </c>
      <c r="O456" s="1">
        <v>975000</v>
      </c>
    </row>
    <row r="457" spans="1:15">
      <c r="A457" s="6">
        <v>2026</v>
      </c>
      <c r="B457" s="7">
        <v>4</v>
      </c>
      <c r="C457" s="8">
        <v>46129</v>
      </c>
      <c r="D457" s="3" t="s">
        <v>943</v>
      </c>
      <c r="E457" s="3" t="s">
        <v>912</v>
      </c>
      <c r="F457" s="3" t="s">
        <v>871</v>
      </c>
      <c r="G457" s="3" t="s">
        <v>273</v>
      </c>
      <c r="H457" s="3" t="s">
        <v>255</v>
      </c>
      <c r="I457" s="3" t="s">
        <v>944</v>
      </c>
      <c r="J457" s="3" t="s">
        <v>41</v>
      </c>
      <c r="K457" s="2">
        <v>40</v>
      </c>
      <c r="L457" s="1">
        <v>90000</v>
      </c>
      <c r="M457" s="1">
        <v>3600000</v>
      </c>
      <c r="N457" s="1">
        <v>15</v>
      </c>
      <c r="O457" s="1">
        <v>540000</v>
      </c>
    </row>
    <row r="458" spans="1:15">
      <c r="A458" s="6">
        <v>2026</v>
      </c>
      <c r="B458" s="7">
        <v>4</v>
      </c>
      <c r="C458" s="8">
        <v>46129</v>
      </c>
      <c r="D458" s="3" t="s">
        <v>943</v>
      </c>
      <c r="E458" s="3" t="s">
        <v>912</v>
      </c>
      <c r="F458" s="3" t="s">
        <v>871</v>
      </c>
      <c r="G458" s="3" t="s">
        <v>273</v>
      </c>
      <c r="H458" s="3" t="s">
        <v>255</v>
      </c>
      <c r="I458" s="3" t="s">
        <v>944</v>
      </c>
      <c r="J458" s="3" t="s">
        <v>41</v>
      </c>
      <c r="K458" s="2">
        <v>10</v>
      </c>
      <c r="L458" s="1">
        <v>90000</v>
      </c>
      <c r="M458" s="1">
        <v>900000</v>
      </c>
      <c r="N458" s="1">
        <v>15</v>
      </c>
      <c r="O458" s="1">
        <v>135000</v>
      </c>
    </row>
    <row r="459" spans="1:15">
      <c r="A459" s="6">
        <v>2026</v>
      </c>
      <c r="B459" s="7">
        <v>4</v>
      </c>
      <c r="C459" s="8">
        <v>46129</v>
      </c>
      <c r="D459" s="3" t="s">
        <v>945</v>
      </c>
      <c r="E459" s="3" t="s">
        <v>912</v>
      </c>
      <c r="F459" s="3" t="s">
        <v>871</v>
      </c>
      <c r="G459" s="3" t="s">
        <v>273</v>
      </c>
      <c r="H459" s="3" t="s">
        <v>255</v>
      </c>
      <c r="I459" s="3" t="s">
        <v>946</v>
      </c>
      <c r="J459" s="3" t="s">
        <v>41</v>
      </c>
      <c r="K459" s="2">
        <v>40</v>
      </c>
      <c r="L459" s="1">
        <v>90000</v>
      </c>
      <c r="M459" s="1">
        <v>3600000</v>
      </c>
      <c r="N459" s="1">
        <v>15</v>
      </c>
      <c r="O459" s="1">
        <v>540000</v>
      </c>
    </row>
    <row r="460" spans="1:15">
      <c r="A460" s="6">
        <v>2026</v>
      </c>
      <c r="B460" s="7">
        <v>4</v>
      </c>
      <c r="C460" s="8">
        <v>46129</v>
      </c>
      <c r="D460" s="3" t="s">
        <v>945</v>
      </c>
      <c r="E460" s="3" t="s">
        <v>912</v>
      </c>
      <c r="F460" s="3" t="s">
        <v>871</v>
      </c>
      <c r="G460" s="3" t="s">
        <v>273</v>
      </c>
      <c r="H460" s="3" t="s">
        <v>255</v>
      </c>
      <c r="I460" s="3" t="s">
        <v>946</v>
      </c>
      <c r="J460" s="3" t="s">
        <v>38</v>
      </c>
      <c r="K460" s="2">
        <v>20</v>
      </c>
      <c r="L460" s="1">
        <v>65000</v>
      </c>
      <c r="M460" s="1">
        <v>1300000</v>
      </c>
      <c r="N460" s="1">
        <v>15</v>
      </c>
      <c r="O460" s="1">
        <v>195000</v>
      </c>
    </row>
    <row r="461" spans="1:15">
      <c r="A461" s="6">
        <v>2026</v>
      </c>
      <c r="B461" s="7">
        <v>4</v>
      </c>
      <c r="C461" s="8">
        <v>46129</v>
      </c>
      <c r="D461" s="3" t="s">
        <v>945</v>
      </c>
      <c r="E461" s="3" t="s">
        <v>912</v>
      </c>
      <c r="F461" s="3" t="s">
        <v>871</v>
      </c>
      <c r="G461" s="3" t="s">
        <v>273</v>
      </c>
      <c r="H461" s="3" t="s">
        <v>255</v>
      </c>
      <c r="I461" s="3" t="s">
        <v>946</v>
      </c>
      <c r="J461" s="3" t="s">
        <v>466</v>
      </c>
      <c r="K461" s="2">
        <v>10</v>
      </c>
      <c r="L461" s="1">
        <v>120000</v>
      </c>
      <c r="M461" s="1">
        <v>1200000</v>
      </c>
      <c r="N461" s="1">
        <v>15</v>
      </c>
      <c r="O461" s="1">
        <v>180000</v>
      </c>
    </row>
    <row r="462" spans="1:15">
      <c r="A462" s="6">
        <v>2026</v>
      </c>
      <c r="B462" s="7">
        <v>4</v>
      </c>
      <c r="C462" s="8">
        <v>46129</v>
      </c>
      <c r="D462" s="3" t="s">
        <v>947</v>
      </c>
      <c r="E462" s="3" t="s">
        <v>736</v>
      </c>
      <c r="F462" s="3" t="s">
        <v>704</v>
      </c>
      <c r="G462" s="3" t="s">
        <v>254</v>
      </c>
      <c r="H462" s="3" t="s">
        <v>255</v>
      </c>
      <c r="I462" s="3" t="s">
        <v>948</v>
      </c>
      <c r="J462" s="3" t="s">
        <v>46</v>
      </c>
      <c r="K462" s="2">
        <v>20</v>
      </c>
      <c r="L462" s="1">
        <v>64700</v>
      </c>
      <c r="M462" s="1">
        <v>1294000</v>
      </c>
      <c r="N462" s="1">
        <v>10</v>
      </c>
      <c r="O462" s="1">
        <v>129400</v>
      </c>
    </row>
    <row r="463" spans="1:15">
      <c r="A463" s="6">
        <v>2026</v>
      </c>
      <c r="B463" s="7">
        <v>4</v>
      </c>
      <c r="C463" s="8">
        <v>46129</v>
      </c>
      <c r="D463" s="3" t="s">
        <v>949</v>
      </c>
      <c r="E463" s="3" t="s">
        <v>920</v>
      </c>
      <c r="F463" s="3" t="s">
        <v>871</v>
      </c>
      <c r="G463" s="3" t="s">
        <v>273</v>
      </c>
      <c r="H463" s="3" t="s">
        <v>255</v>
      </c>
      <c r="I463" s="3" t="s">
        <v>950</v>
      </c>
      <c r="J463" s="3" t="s">
        <v>38</v>
      </c>
      <c r="K463" s="2">
        <v>10</v>
      </c>
      <c r="L463" s="1">
        <v>65000</v>
      </c>
      <c r="M463" s="1">
        <v>650000</v>
      </c>
      <c r="N463" s="1">
        <v>15</v>
      </c>
      <c r="O463" s="1">
        <v>97500</v>
      </c>
    </row>
    <row r="464" spans="1:15">
      <c r="A464" s="6">
        <v>2026</v>
      </c>
      <c r="B464" s="7">
        <v>4</v>
      </c>
      <c r="C464" s="8">
        <v>46129</v>
      </c>
      <c r="D464" s="3" t="s">
        <v>949</v>
      </c>
      <c r="E464" s="3" t="s">
        <v>920</v>
      </c>
      <c r="F464" s="3" t="s">
        <v>871</v>
      </c>
      <c r="G464" s="3" t="s">
        <v>273</v>
      </c>
      <c r="H464" s="3" t="s">
        <v>255</v>
      </c>
      <c r="I464" s="3" t="s">
        <v>950</v>
      </c>
      <c r="J464" s="3" t="s">
        <v>41</v>
      </c>
      <c r="K464" s="2">
        <v>19</v>
      </c>
      <c r="L464" s="1">
        <v>90000</v>
      </c>
      <c r="M464" s="1">
        <v>1710000</v>
      </c>
      <c r="N464" s="1">
        <v>15</v>
      </c>
      <c r="O464" s="1">
        <v>256500</v>
      </c>
    </row>
    <row r="465" spans="1:15">
      <c r="A465" s="6">
        <v>2026</v>
      </c>
      <c r="B465" s="7">
        <v>4</v>
      </c>
      <c r="C465" s="8">
        <v>46129</v>
      </c>
      <c r="D465" s="3" t="s">
        <v>951</v>
      </c>
      <c r="E465" s="3" t="s">
        <v>501</v>
      </c>
      <c r="F465" s="3" t="s">
        <v>502</v>
      </c>
      <c r="G465" s="3" t="s">
        <v>260</v>
      </c>
      <c r="H465" s="3" t="s">
        <v>255</v>
      </c>
      <c r="I465" s="3" t="s">
        <v>508</v>
      </c>
      <c r="J465" s="3" t="s">
        <v>38</v>
      </c>
      <c r="K465" s="2">
        <v>60</v>
      </c>
      <c r="L465" s="1">
        <v>65000</v>
      </c>
      <c r="M465" s="1">
        <v>3900000</v>
      </c>
      <c r="N465" s="1">
        <v>8</v>
      </c>
      <c r="O465" s="1">
        <v>312000</v>
      </c>
    </row>
    <row r="466" spans="1:15">
      <c r="A466" s="6">
        <v>2026</v>
      </c>
      <c r="B466" s="7">
        <v>4</v>
      </c>
      <c r="C466" s="8">
        <v>46129</v>
      </c>
      <c r="D466" s="3" t="s">
        <v>952</v>
      </c>
      <c r="E466" s="3" t="s">
        <v>547</v>
      </c>
      <c r="F466" s="3" t="s">
        <v>464</v>
      </c>
      <c r="G466" s="3" t="s">
        <v>260</v>
      </c>
      <c r="H466" s="3" t="s">
        <v>255</v>
      </c>
      <c r="I466" s="3" t="s">
        <v>953</v>
      </c>
      <c r="J466" s="3" t="s">
        <v>46</v>
      </c>
      <c r="K466" s="2">
        <v>50</v>
      </c>
      <c r="L466" s="1">
        <v>64700</v>
      </c>
      <c r="M466" s="1">
        <v>3235000</v>
      </c>
      <c r="N466" s="1">
        <v>8</v>
      </c>
      <c r="O466" s="1">
        <v>258800</v>
      </c>
    </row>
    <row r="467" spans="1:15">
      <c r="A467" s="6">
        <v>2026</v>
      </c>
      <c r="B467" s="7">
        <v>4</v>
      </c>
      <c r="C467" s="8">
        <v>46132</v>
      </c>
      <c r="D467" s="3" t="s">
        <v>954</v>
      </c>
      <c r="E467" s="3" t="s">
        <v>912</v>
      </c>
      <c r="F467" s="3" t="s">
        <v>871</v>
      </c>
      <c r="G467" s="3" t="s">
        <v>273</v>
      </c>
      <c r="H467" s="3" t="s">
        <v>255</v>
      </c>
      <c r="I467" s="3" t="s">
        <v>942</v>
      </c>
      <c r="J467" s="3" t="s">
        <v>41</v>
      </c>
      <c r="K467" s="2">
        <v>30</v>
      </c>
      <c r="L467" s="1">
        <v>90000</v>
      </c>
      <c r="M467" s="1">
        <v>2700000</v>
      </c>
      <c r="N467" s="1">
        <v>15</v>
      </c>
      <c r="O467" s="1">
        <v>405000</v>
      </c>
    </row>
    <row r="468" spans="1:15">
      <c r="A468" s="6">
        <v>2026</v>
      </c>
      <c r="B468" s="7">
        <v>4</v>
      </c>
      <c r="C468" s="8">
        <v>46132</v>
      </c>
      <c r="D468" s="3" t="s">
        <v>955</v>
      </c>
      <c r="E468" s="3" t="s">
        <v>489</v>
      </c>
      <c r="F468" s="3" t="s">
        <v>464</v>
      </c>
      <c r="G468" s="3" t="s">
        <v>260</v>
      </c>
      <c r="H468" s="3" t="s">
        <v>255</v>
      </c>
      <c r="I468" s="3" t="s">
        <v>529</v>
      </c>
      <c r="J468" s="3" t="s">
        <v>466</v>
      </c>
      <c r="K468" s="2">
        <v>5</v>
      </c>
      <c r="L468" s="1">
        <v>120000</v>
      </c>
      <c r="M468" s="1">
        <v>600000</v>
      </c>
      <c r="N468" s="1">
        <v>10</v>
      </c>
      <c r="O468" s="1">
        <v>60000</v>
      </c>
    </row>
    <row r="469" spans="1:15">
      <c r="A469" s="6">
        <v>2026</v>
      </c>
      <c r="B469" s="7">
        <v>4</v>
      </c>
      <c r="C469" s="8">
        <v>46132</v>
      </c>
      <c r="D469" s="3" t="s">
        <v>955</v>
      </c>
      <c r="E469" s="3" t="s">
        <v>489</v>
      </c>
      <c r="F469" s="3" t="s">
        <v>464</v>
      </c>
      <c r="G469" s="3" t="s">
        <v>260</v>
      </c>
      <c r="H469" s="3" t="s">
        <v>255</v>
      </c>
      <c r="I469" s="3" t="s">
        <v>529</v>
      </c>
      <c r="J469" s="3" t="s">
        <v>466</v>
      </c>
      <c r="K469" s="2">
        <v>45</v>
      </c>
      <c r="L469" s="1">
        <v>120000</v>
      </c>
      <c r="M469" s="1">
        <v>5400000</v>
      </c>
      <c r="N469" s="1">
        <v>10</v>
      </c>
      <c r="O469" s="1">
        <v>540000</v>
      </c>
    </row>
    <row r="470" spans="1:15">
      <c r="A470" s="6">
        <v>2026</v>
      </c>
      <c r="B470" s="7">
        <v>4</v>
      </c>
      <c r="C470" s="8">
        <v>46132</v>
      </c>
      <c r="D470" s="3" t="s">
        <v>956</v>
      </c>
      <c r="E470" s="3" t="s">
        <v>260</v>
      </c>
      <c r="F470" s="3" t="s">
        <v>32</v>
      </c>
      <c r="G470" s="3" t="s">
        <v>260</v>
      </c>
      <c r="H470" s="3" t="s">
        <v>255</v>
      </c>
      <c r="I470" s="3" t="s">
        <v>957</v>
      </c>
      <c r="J470" s="3" t="s">
        <v>41</v>
      </c>
      <c r="K470" s="2">
        <v>400</v>
      </c>
      <c r="L470" s="1">
        <v>90000</v>
      </c>
      <c r="M470" s="1">
        <v>36000000</v>
      </c>
      <c r="N470" s="1">
        <v>2</v>
      </c>
      <c r="O470" s="1">
        <v>720000</v>
      </c>
    </row>
    <row r="471" spans="1:15">
      <c r="A471" s="6">
        <v>2026</v>
      </c>
      <c r="B471" s="7">
        <v>4</v>
      </c>
      <c r="C471" s="8">
        <v>46132</v>
      </c>
      <c r="D471" s="3" t="s">
        <v>958</v>
      </c>
      <c r="E471" s="3" t="s">
        <v>547</v>
      </c>
      <c r="F471" s="3" t="s">
        <v>464</v>
      </c>
      <c r="G471" s="3" t="s">
        <v>260</v>
      </c>
      <c r="H471" s="3" t="s">
        <v>255</v>
      </c>
      <c r="I471" s="3" t="s">
        <v>696</v>
      </c>
      <c r="J471" s="3" t="s">
        <v>46</v>
      </c>
      <c r="K471" s="2">
        <v>40</v>
      </c>
      <c r="L471" s="1">
        <v>64700</v>
      </c>
      <c r="M471" s="1">
        <v>2588000</v>
      </c>
      <c r="N471" s="1">
        <v>10</v>
      </c>
      <c r="O471" s="1">
        <v>258800</v>
      </c>
    </row>
    <row r="472" spans="1:15">
      <c r="A472" s="6">
        <v>2026</v>
      </c>
      <c r="B472" s="7">
        <v>4</v>
      </c>
      <c r="C472" s="8">
        <v>46133</v>
      </c>
      <c r="D472" s="3" t="s">
        <v>959</v>
      </c>
      <c r="E472" s="3" t="s">
        <v>874</v>
      </c>
      <c r="F472" s="3" t="s">
        <v>875</v>
      </c>
      <c r="G472" s="3" t="s">
        <v>273</v>
      </c>
      <c r="H472" s="3" t="s">
        <v>255</v>
      </c>
      <c r="I472" s="3" t="s">
        <v>960</v>
      </c>
      <c r="J472" s="3" t="s">
        <v>466</v>
      </c>
      <c r="K472" s="2">
        <v>40</v>
      </c>
      <c r="L472" s="1">
        <v>120000</v>
      </c>
      <c r="M472" s="1">
        <v>4800000</v>
      </c>
      <c r="N472" s="1">
        <v>15</v>
      </c>
      <c r="O472" s="1">
        <v>720000</v>
      </c>
    </row>
    <row r="473" spans="1:15">
      <c r="A473" s="6">
        <v>2026</v>
      </c>
      <c r="B473" s="7">
        <v>4</v>
      </c>
      <c r="C473" s="8">
        <v>46133</v>
      </c>
      <c r="D473" s="3" t="s">
        <v>961</v>
      </c>
      <c r="E473" s="3" t="s">
        <v>886</v>
      </c>
      <c r="F473" s="3" t="s">
        <v>887</v>
      </c>
      <c r="G473" s="3" t="s">
        <v>273</v>
      </c>
      <c r="H473" s="3" t="s">
        <v>255</v>
      </c>
      <c r="I473" s="3" t="s">
        <v>962</v>
      </c>
      <c r="J473" s="3" t="s">
        <v>46</v>
      </c>
      <c r="K473" s="2">
        <v>20</v>
      </c>
      <c r="L473" s="1">
        <v>64700</v>
      </c>
      <c r="M473" s="1">
        <v>1294000</v>
      </c>
      <c r="N473" s="1">
        <v>15</v>
      </c>
      <c r="O473" s="1">
        <v>194100</v>
      </c>
    </row>
    <row r="474" spans="1:15">
      <c r="A474" s="6">
        <v>2026</v>
      </c>
      <c r="B474" s="7">
        <v>4</v>
      </c>
      <c r="C474" s="8">
        <v>46133</v>
      </c>
      <c r="D474" s="3" t="s">
        <v>963</v>
      </c>
      <c r="E474" s="3" t="s">
        <v>284</v>
      </c>
      <c r="F474" s="3" t="s">
        <v>281</v>
      </c>
      <c r="G474" s="3" t="s">
        <v>273</v>
      </c>
      <c r="H474" s="3" t="s">
        <v>255</v>
      </c>
      <c r="I474" s="3" t="s">
        <v>292</v>
      </c>
      <c r="J474" s="3" t="s">
        <v>466</v>
      </c>
      <c r="K474" s="2">
        <v>10</v>
      </c>
      <c r="L474" s="1">
        <v>120000</v>
      </c>
      <c r="M474" s="1">
        <v>1200000</v>
      </c>
      <c r="N474" s="1">
        <v>15</v>
      </c>
      <c r="O474" s="1">
        <v>180000</v>
      </c>
    </row>
    <row r="475" spans="1:15">
      <c r="A475" s="6">
        <v>2026</v>
      </c>
      <c r="B475" s="7">
        <v>4</v>
      </c>
      <c r="C475" s="8">
        <v>46133</v>
      </c>
      <c r="D475" s="3" t="s">
        <v>964</v>
      </c>
      <c r="E475" s="3" t="s">
        <v>463</v>
      </c>
      <c r="F475" s="3" t="s">
        <v>464</v>
      </c>
      <c r="G475" s="3" t="s">
        <v>260</v>
      </c>
      <c r="H475" s="3" t="s">
        <v>255</v>
      </c>
      <c r="I475" s="3" t="s">
        <v>678</v>
      </c>
      <c r="J475" s="3" t="s">
        <v>466</v>
      </c>
      <c r="K475" s="2">
        <v>30</v>
      </c>
      <c r="L475" s="1">
        <v>120000</v>
      </c>
      <c r="M475" s="1">
        <v>3600000</v>
      </c>
      <c r="N475" s="1">
        <v>8</v>
      </c>
      <c r="O475" s="1">
        <v>288000</v>
      </c>
    </row>
    <row r="476" spans="1:15">
      <c r="A476" s="6">
        <v>2026</v>
      </c>
      <c r="B476" s="7">
        <v>4</v>
      </c>
      <c r="C476" s="8">
        <v>46133</v>
      </c>
      <c r="D476" s="3" t="s">
        <v>965</v>
      </c>
      <c r="E476" s="3" t="s">
        <v>912</v>
      </c>
      <c r="F476" s="3" t="s">
        <v>871</v>
      </c>
      <c r="G476" s="3" t="s">
        <v>273</v>
      </c>
      <c r="H476" s="3" t="s">
        <v>255</v>
      </c>
      <c r="I476" s="3" t="s">
        <v>966</v>
      </c>
      <c r="J476" s="3" t="s">
        <v>41</v>
      </c>
      <c r="K476" s="2">
        <v>20</v>
      </c>
      <c r="L476" s="1">
        <v>90000</v>
      </c>
      <c r="M476" s="1">
        <v>1800000</v>
      </c>
      <c r="N476" s="1">
        <v>15</v>
      </c>
      <c r="O476" s="1">
        <v>270000</v>
      </c>
    </row>
    <row r="477" spans="1:15">
      <c r="A477" s="6">
        <v>2026</v>
      </c>
      <c r="B477" s="7">
        <v>4</v>
      </c>
      <c r="C477" s="8">
        <v>46133</v>
      </c>
      <c r="D477" s="3" t="s">
        <v>965</v>
      </c>
      <c r="E477" s="3" t="s">
        <v>912</v>
      </c>
      <c r="F477" s="3" t="s">
        <v>871</v>
      </c>
      <c r="G477" s="3" t="s">
        <v>273</v>
      </c>
      <c r="H477" s="3" t="s">
        <v>255</v>
      </c>
      <c r="I477" s="3" t="s">
        <v>966</v>
      </c>
      <c r="J477" s="3" t="s">
        <v>38</v>
      </c>
      <c r="K477" s="2">
        <v>30</v>
      </c>
      <c r="L477" s="1">
        <v>65000</v>
      </c>
      <c r="M477" s="1">
        <v>1950000</v>
      </c>
      <c r="N477" s="1">
        <v>15</v>
      </c>
      <c r="O477" s="1">
        <v>292500</v>
      </c>
    </row>
    <row r="478" spans="1:15">
      <c r="A478" s="6">
        <v>2026</v>
      </c>
      <c r="B478" s="7">
        <v>4</v>
      </c>
      <c r="C478" s="8">
        <v>46133</v>
      </c>
      <c r="D478" s="3" t="s">
        <v>967</v>
      </c>
      <c r="E478" s="3" t="s">
        <v>874</v>
      </c>
      <c r="F478" s="3" t="s">
        <v>875</v>
      </c>
      <c r="G478" s="3" t="s">
        <v>273</v>
      </c>
      <c r="H478" s="3" t="s">
        <v>255</v>
      </c>
      <c r="I478" s="3" t="s">
        <v>968</v>
      </c>
      <c r="J478" s="3" t="s">
        <v>38</v>
      </c>
      <c r="K478" s="2">
        <v>30</v>
      </c>
      <c r="L478" s="1">
        <v>65000</v>
      </c>
      <c r="M478" s="1">
        <v>1950000</v>
      </c>
      <c r="N478" s="1">
        <v>15</v>
      </c>
      <c r="O478" s="1">
        <v>292500</v>
      </c>
    </row>
    <row r="479" spans="1:15">
      <c r="A479" s="6">
        <v>2026</v>
      </c>
      <c r="B479" s="7">
        <v>4</v>
      </c>
      <c r="C479" s="8">
        <v>46133</v>
      </c>
      <c r="D479" s="3" t="s">
        <v>969</v>
      </c>
      <c r="E479" s="3" t="s">
        <v>870</v>
      </c>
      <c r="F479" s="3" t="s">
        <v>871</v>
      </c>
      <c r="G479" s="3" t="s">
        <v>273</v>
      </c>
      <c r="H479" s="3" t="s">
        <v>255</v>
      </c>
      <c r="I479" s="3" t="s">
        <v>872</v>
      </c>
      <c r="J479" s="3" t="s">
        <v>466</v>
      </c>
      <c r="K479" s="2">
        <v>30</v>
      </c>
      <c r="L479" s="1">
        <v>120000</v>
      </c>
      <c r="M479" s="1">
        <v>3600000</v>
      </c>
      <c r="N479" s="1">
        <v>15</v>
      </c>
      <c r="O479" s="1">
        <v>540000</v>
      </c>
    </row>
    <row r="480" spans="1:15">
      <c r="A480" s="6">
        <v>2026</v>
      </c>
      <c r="B480" s="7">
        <v>4</v>
      </c>
      <c r="C480" s="8">
        <v>46133</v>
      </c>
      <c r="D480" s="3" t="s">
        <v>969</v>
      </c>
      <c r="E480" s="3" t="s">
        <v>870</v>
      </c>
      <c r="F480" s="3" t="s">
        <v>871</v>
      </c>
      <c r="G480" s="3" t="s">
        <v>273</v>
      </c>
      <c r="H480" s="3" t="s">
        <v>255</v>
      </c>
      <c r="I480" s="3" t="s">
        <v>872</v>
      </c>
      <c r="J480" s="3" t="s">
        <v>41</v>
      </c>
      <c r="K480" s="2">
        <v>40</v>
      </c>
      <c r="L480" s="1">
        <v>90000</v>
      </c>
      <c r="M480" s="1">
        <v>3600000</v>
      </c>
      <c r="N480" s="1">
        <v>15</v>
      </c>
      <c r="O480" s="1">
        <v>540000</v>
      </c>
    </row>
    <row r="481" spans="1:15">
      <c r="A481" s="6">
        <v>2026</v>
      </c>
      <c r="B481" s="7">
        <v>4</v>
      </c>
      <c r="C481" s="8">
        <v>46133</v>
      </c>
      <c r="D481" s="3" t="s">
        <v>970</v>
      </c>
      <c r="E481" s="3" t="s">
        <v>874</v>
      </c>
      <c r="F481" s="3" t="s">
        <v>875</v>
      </c>
      <c r="G481" s="3" t="s">
        <v>273</v>
      </c>
      <c r="H481" s="3" t="s">
        <v>255</v>
      </c>
      <c r="I481" s="3" t="s">
        <v>971</v>
      </c>
      <c r="J481" s="3" t="s">
        <v>466</v>
      </c>
      <c r="K481" s="2">
        <v>40</v>
      </c>
      <c r="L481" s="1">
        <v>120000</v>
      </c>
      <c r="M481" s="1">
        <v>4800000</v>
      </c>
      <c r="N481" s="1">
        <v>15</v>
      </c>
      <c r="O481" s="1">
        <v>720000</v>
      </c>
    </row>
    <row r="482" spans="1:15">
      <c r="A482" s="6">
        <v>2026</v>
      </c>
      <c r="B482" s="7">
        <v>4</v>
      </c>
      <c r="C482" s="8">
        <v>46133</v>
      </c>
      <c r="D482" s="3" t="s">
        <v>972</v>
      </c>
      <c r="E482" s="3" t="s">
        <v>920</v>
      </c>
      <c r="F482" s="3" t="s">
        <v>871</v>
      </c>
      <c r="G482" s="3" t="s">
        <v>273</v>
      </c>
      <c r="H482" s="3" t="s">
        <v>255</v>
      </c>
      <c r="I482" s="3" t="s">
        <v>973</v>
      </c>
      <c r="J482" s="3" t="s">
        <v>41</v>
      </c>
      <c r="K482" s="2">
        <v>50</v>
      </c>
      <c r="L482" s="1">
        <v>90000</v>
      </c>
      <c r="M482" s="1">
        <v>4500000</v>
      </c>
      <c r="N482" s="1">
        <v>15</v>
      </c>
      <c r="O482" s="1">
        <v>675000</v>
      </c>
    </row>
    <row r="483" spans="1:15">
      <c r="A483" s="6">
        <v>2026</v>
      </c>
      <c r="B483" s="7">
        <v>4</v>
      </c>
      <c r="C483" s="8">
        <v>46133</v>
      </c>
      <c r="D483" s="3" t="s">
        <v>974</v>
      </c>
      <c r="E483" s="3" t="s">
        <v>975</v>
      </c>
      <c r="F483" s="3" t="s">
        <v>502</v>
      </c>
      <c r="G483" s="3" t="s">
        <v>260</v>
      </c>
      <c r="H483" s="3" t="s">
        <v>255</v>
      </c>
      <c r="I483" s="3" t="s">
        <v>976</v>
      </c>
      <c r="J483" s="3" t="s">
        <v>38</v>
      </c>
      <c r="K483" s="2">
        <v>10</v>
      </c>
      <c r="L483" s="1">
        <v>65000</v>
      </c>
      <c r="M483" s="1">
        <v>650000</v>
      </c>
      <c r="N483" s="1">
        <v>14</v>
      </c>
      <c r="O483" s="1">
        <v>91000</v>
      </c>
    </row>
    <row r="484" spans="1:15">
      <c r="A484" s="6">
        <v>2026</v>
      </c>
      <c r="B484" s="7">
        <v>4</v>
      </c>
      <c r="C484" s="8">
        <v>46133</v>
      </c>
      <c r="D484" s="3" t="s">
        <v>977</v>
      </c>
      <c r="E484" s="3" t="s">
        <v>501</v>
      </c>
      <c r="F484" s="3" t="s">
        <v>502</v>
      </c>
      <c r="G484" s="3" t="s">
        <v>260</v>
      </c>
      <c r="H484" s="3" t="s">
        <v>255</v>
      </c>
      <c r="I484" s="3" t="s">
        <v>518</v>
      </c>
      <c r="J484" s="3" t="s">
        <v>38</v>
      </c>
      <c r="K484" s="2">
        <v>10</v>
      </c>
      <c r="L484" s="1">
        <v>65000</v>
      </c>
      <c r="M484" s="1">
        <v>650000</v>
      </c>
      <c r="N484" s="1">
        <v>8</v>
      </c>
      <c r="O484" s="1">
        <v>52000</v>
      </c>
    </row>
    <row r="485" spans="1:15">
      <c r="A485" s="6">
        <v>2026</v>
      </c>
      <c r="B485" s="7">
        <v>4</v>
      </c>
      <c r="C485" s="8">
        <v>46134</v>
      </c>
      <c r="D485" s="3" t="s">
        <v>978</v>
      </c>
      <c r="E485" s="3" t="s">
        <v>912</v>
      </c>
      <c r="F485" s="3" t="s">
        <v>871</v>
      </c>
      <c r="G485" s="3" t="s">
        <v>273</v>
      </c>
      <c r="H485" s="3" t="s">
        <v>255</v>
      </c>
      <c r="I485" s="3" t="s">
        <v>923</v>
      </c>
      <c r="J485" s="3" t="s">
        <v>38</v>
      </c>
      <c r="K485" s="2">
        <v>30</v>
      </c>
      <c r="L485" s="1">
        <v>65000</v>
      </c>
      <c r="M485" s="1">
        <v>1950000</v>
      </c>
      <c r="N485" s="1">
        <v>15</v>
      </c>
      <c r="O485" s="1">
        <v>292500</v>
      </c>
    </row>
    <row r="486" spans="1:15">
      <c r="A486" s="6">
        <v>2026</v>
      </c>
      <c r="B486" s="7">
        <v>4</v>
      </c>
      <c r="C486" s="8">
        <v>46134</v>
      </c>
      <c r="D486" s="3" t="s">
        <v>979</v>
      </c>
      <c r="E486" s="3" t="s">
        <v>463</v>
      </c>
      <c r="F486" s="3" t="s">
        <v>464</v>
      </c>
      <c r="G486" s="3" t="s">
        <v>260</v>
      </c>
      <c r="H486" s="3" t="s">
        <v>255</v>
      </c>
      <c r="I486" s="3" t="s">
        <v>479</v>
      </c>
      <c r="J486" s="3" t="s">
        <v>466</v>
      </c>
      <c r="K486" s="2">
        <v>40</v>
      </c>
      <c r="L486" s="1">
        <v>120000</v>
      </c>
      <c r="M486" s="1">
        <v>4800000</v>
      </c>
      <c r="N486" s="1">
        <v>8</v>
      </c>
      <c r="O486" s="1">
        <v>384000</v>
      </c>
    </row>
    <row r="487" spans="1:15">
      <c r="A487" s="6">
        <v>2026</v>
      </c>
      <c r="B487" s="7">
        <v>4</v>
      </c>
      <c r="C487" s="8">
        <v>46134</v>
      </c>
      <c r="D487" s="3" t="s">
        <v>980</v>
      </c>
      <c r="E487" s="3" t="s">
        <v>912</v>
      </c>
      <c r="F487" s="3" t="s">
        <v>871</v>
      </c>
      <c r="G487" s="3" t="s">
        <v>273</v>
      </c>
      <c r="H487" s="3" t="s">
        <v>255</v>
      </c>
      <c r="I487" s="3" t="s">
        <v>981</v>
      </c>
      <c r="J487" s="3" t="s">
        <v>41</v>
      </c>
      <c r="K487" s="2">
        <v>20</v>
      </c>
      <c r="L487" s="1">
        <v>90000</v>
      </c>
      <c r="M487" s="1">
        <v>1800000</v>
      </c>
      <c r="N487" s="1">
        <v>15</v>
      </c>
      <c r="O487" s="1">
        <v>270000</v>
      </c>
    </row>
    <row r="488" spans="1:15">
      <c r="A488" s="6">
        <v>2026</v>
      </c>
      <c r="B488" s="7">
        <v>4</v>
      </c>
      <c r="C488" s="8">
        <v>46134</v>
      </c>
      <c r="D488" s="3" t="s">
        <v>982</v>
      </c>
      <c r="E488" s="3" t="s">
        <v>920</v>
      </c>
      <c r="F488" s="3" t="s">
        <v>871</v>
      </c>
      <c r="G488" s="3" t="s">
        <v>273</v>
      </c>
      <c r="H488" s="3" t="s">
        <v>255</v>
      </c>
      <c r="I488" s="3" t="s">
        <v>983</v>
      </c>
      <c r="J488" s="3" t="s">
        <v>38</v>
      </c>
      <c r="K488" s="2">
        <v>50</v>
      </c>
      <c r="L488" s="1">
        <v>65000</v>
      </c>
      <c r="M488" s="1">
        <v>3250000</v>
      </c>
      <c r="N488" s="1">
        <v>15</v>
      </c>
      <c r="O488" s="1">
        <v>487500</v>
      </c>
    </row>
    <row r="489" spans="1:15">
      <c r="A489" s="6">
        <v>2026</v>
      </c>
      <c r="B489" s="7">
        <v>4</v>
      </c>
      <c r="C489" s="8">
        <v>46134</v>
      </c>
      <c r="D489" s="3" t="s">
        <v>984</v>
      </c>
      <c r="E489" s="3" t="s">
        <v>920</v>
      </c>
      <c r="F489" s="3" t="s">
        <v>871</v>
      </c>
      <c r="G489" s="3" t="s">
        <v>273</v>
      </c>
      <c r="H489" s="3" t="s">
        <v>255</v>
      </c>
      <c r="I489" s="3" t="s">
        <v>983</v>
      </c>
      <c r="J489" s="3" t="s">
        <v>41</v>
      </c>
      <c r="K489" s="2">
        <v>50</v>
      </c>
      <c r="L489" s="1">
        <v>90000</v>
      </c>
      <c r="M489" s="1">
        <v>4500000</v>
      </c>
      <c r="N489" s="1">
        <v>15</v>
      </c>
      <c r="O489" s="1">
        <v>675000</v>
      </c>
    </row>
    <row r="490" spans="1:15">
      <c r="A490" s="6">
        <v>2026</v>
      </c>
      <c r="B490" s="7">
        <v>4</v>
      </c>
      <c r="C490" s="8">
        <v>46134</v>
      </c>
      <c r="D490" s="3" t="s">
        <v>985</v>
      </c>
      <c r="E490" s="3" t="s">
        <v>920</v>
      </c>
      <c r="F490" s="3" t="s">
        <v>871</v>
      </c>
      <c r="G490" s="3" t="s">
        <v>273</v>
      </c>
      <c r="H490" s="3" t="s">
        <v>255</v>
      </c>
      <c r="I490" s="3" t="s">
        <v>986</v>
      </c>
      <c r="J490" s="3" t="s">
        <v>41</v>
      </c>
      <c r="K490" s="2">
        <v>30</v>
      </c>
      <c r="L490" s="1">
        <v>90000</v>
      </c>
      <c r="M490" s="1">
        <v>2700000</v>
      </c>
      <c r="N490" s="1">
        <v>15</v>
      </c>
      <c r="O490" s="1">
        <v>405000</v>
      </c>
    </row>
    <row r="491" spans="1:15">
      <c r="A491" s="6">
        <v>2026</v>
      </c>
      <c r="B491" s="7">
        <v>4</v>
      </c>
      <c r="C491" s="8">
        <v>46134</v>
      </c>
      <c r="D491" s="3" t="s">
        <v>987</v>
      </c>
      <c r="E491" s="3" t="s">
        <v>920</v>
      </c>
      <c r="F491" s="3" t="s">
        <v>871</v>
      </c>
      <c r="G491" s="3" t="s">
        <v>273</v>
      </c>
      <c r="H491" s="3" t="s">
        <v>255</v>
      </c>
      <c r="I491" s="3" t="s">
        <v>986</v>
      </c>
      <c r="J491" s="3" t="s">
        <v>38</v>
      </c>
      <c r="K491" s="2">
        <v>50</v>
      </c>
      <c r="L491" s="1">
        <v>65000</v>
      </c>
      <c r="M491" s="1">
        <v>3250000</v>
      </c>
      <c r="N491" s="1">
        <v>15</v>
      </c>
      <c r="O491" s="1">
        <v>487500</v>
      </c>
    </row>
    <row r="492" spans="1:15">
      <c r="A492" s="6">
        <v>2026</v>
      </c>
      <c r="B492" s="7">
        <v>4</v>
      </c>
      <c r="C492" s="8">
        <v>46134</v>
      </c>
      <c r="D492" s="3" t="s">
        <v>988</v>
      </c>
      <c r="E492" s="3" t="s">
        <v>870</v>
      </c>
      <c r="F492" s="3" t="s">
        <v>871</v>
      </c>
      <c r="G492" s="3" t="s">
        <v>273</v>
      </c>
      <c r="H492" s="3" t="s">
        <v>255</v>
      </c>
      <c r="I492" s="3" t="s">
        <v>989</v>
      </c>
      <c r="J492" s="3" t="s">
        <v>38</v>
      </c>
      <c r="K492" s="2">
        <v>20</v>
      </c>
      <c r="L492" s="1">
        <v>65000</v>
      </c>
      <c r="M492" s="1">
        <v>1300000</v>
      </c>
      <c r="N492" s="1">
        <v>15</v>
      </c>
      <c r="O492" s="1">
        <v>195000</v>
      </c>
    </row>
    <row r="493" spans="1:15">
      <c r="A493" s="6">
        <v>2026</v>
      </c>
      <c r="B493" s="7">
        <v>4</v>
      </c>
      <c r="C493" s="8">
        <v>46134</v>
      </c>
      <c r="D493" s="3" t="s">
        <v>990</v>
      </c>
      <c r="E493" s="3" t="s">
        <v>260</v>
      </c>
      <c r="F493" s="3" t="s">
        <v>32</v>
      </c>
      <c r="G493" s="3" t="s">
        <v>260</v>
      </c>
      <c r="H493" s="3" t="s">
        <v>255</v>
      </c>
      <c r="I493" s="3" t="s">
        <v>957</v>
      </c>
      <c r="J493" s="3" t="s">
        <v>41</v>
      </c>
      <c r="K493" s="2">
        <v>400</v>
      </c>
      <c r="L493" s="1">
        <v>90000</v>
      </c>
      <c r="M493" s="1">
        <v>36000000</v>
      </c>
      <c r="N493" s="1">
        <v>2</v>
      </c>
      <c r="O493" s="1">
        <v>720000</v>
      </c>
    </row>
    <row r="494" spans="1:15">
      <c r="A494" s="6">
        <v>2026</v>
      </c>
      <c r="B494" s="7">
        <v>4</v>
      </c>
      <c r="C494" s="8">
        <v>46135</v>
      </c>
      <c r="D494" s="3" t="s">
        <v>991</v>
      </c>
      <c r="E494" s="3" t="s">
        <v>870</v>
      </c>
      <c r="F494" s="3" t="s">
        <v>871</v>
      </c>
      <c r="G494" s="3" t="s">
        <v>273</v>
      </c>
      <c r="H494" s="3" t="s">
        <v>255</v>
      </c>
      <c r="I494" s="3" t="s">
        <v>883</v>
      </c>
      <c r="J494" s="3" t="s">
        <v>41</v>
      </c>
      <c r="K494" s="2">
        <v>40</v>
      </c>
      <c r="L494" s="1">
        <v>90000</v>
      </c>
      <c r="M494" s="1">
        <v>3600000</v>
      </c>
      <c r="N494" s="1">
        <v>15</v>
      </c>
      <c r="O494" s="1">
        <v>540000</v>
      </c>
    </row>
    <row r="495" spans="1:15">
      <c r="A495" s="6">
        <v>2026</v>
      </c>
      <c r="B495" s="7">
        <v>4</v>
      </c>
      <c r="C495" s="8">
        <v>46135</v>
      </c>
      <c r="D495" s="3" t="s">
        <v>991</v>
      </c>
      <c r="E495" s="3" t="s">
        <v>870</v>
      </c>
      <c r="F495" s="3" t="s">
        <v>871</v>
      </c>
      <c r="G495" s="3" t="s">
        <v>273</v>
      </c>
      <c r="H495" s="3" t="s">
        <v>255</v>
      </c>
      <c r="I495" s="3" t="s">
        <v>883</v>
      </c>
      <c r="J495" s="3" t="s">
        <v>41</v>
      </c>
      <c r="K495" s="2">
        <v>10</v>
      </c>
      <c r="L495" s="1">
        <v>90000</v>
      </c>
      <c r="M495" s="1">
        <v>900000</v>
      </c>
      <c r="N495" s="1">
        <v>15</v>
      </c>
      <c r="O495" s="1">
        <v>135000</v>
      </c>
    </row>
    <row r="496" spans="1:15">
      <c r="A496" s="6">
        <v>2026</v>
      </c>
      <c r="B496" s="7">
        <v>4</v>
      </c>
      <c r="C496" s="8">
        <v>46136</v>
      </c>
      <c r="D496" s="3" t="s">
        <v>992</v>
      </c>
      <c r="E496" s="3" t="s">
        <v>703</v>
      </c>
      <c r="F496" s="3" t="s">
        <v>704</v>
      </c>
      <c r="G496" s="3" t="s">
        <v>254</v>
      </c>
      <c r="H496" s="3" t="s">
        <v>255</v>
      </c>
      <c r="I496" s="3" t="s">
        <v>705</v>
      </c>
      <c r="J496" s="3" t="s">
        <v>46</v>
      </c>
      <c r="K496" s="2">
        <v>20</v>
      </c>
      <c r="L496" s="1">
        <v>64700</v>
      </c>
      <c r="M496" s="1">
        <v>1294000</v>
      </c>
      <c r="N496" s="1">
        <v>10</v>
      </c>
      <c r="O496" s="1">
        <v>129400</v>
      </c>
    </row>
    <row r="497" spans="1:15">
      <c r="A497" s="6">
        <v>2026</v>
      </c>
      <c r="B497" s="7">
        <v>4</v>
      </c>
      <c r="C497" s="8">
        <v>46136</v>
      </c>
      <c r="D497" s="3" t="s">
        <v>993</v>
      </c>
      <c r="E497" s="3" t="s">
        <v>994</v>
      </c>
      <c r="F497" s="3" t="s">
        <v>272</v>
      </c>
      <c r="G497" s="3" t="s">
        <v>273</v>
      </c>
      <c r="H497" s="3" t="s">
        <v>255</v>
      </c>
      <c r="I497" s="3" t="s">
        <v>995</v>
      </c>
      <c r="J497" s="3" t="s">
        <v>41</v>
      </c>
      <c r="K497" s="2">
        <v>20</v>
      </c>
      <c r="L497" s="1">
        <v>90000</v>
      </c>
      <c r="M497" s="1">
        <v>1800000</v>
      </c>
      <c r="N497" s="1">
        <v>15</v>
      </c>
      <c r="O497" s="1">
        <v>270000</v>
      </c>
    </row>
    <row r="498" spans="1:15">
      <c r="A498" s="6">
        <v>2026</v>
      </c>
      <c r="B498" s="7">
        <v>4</v>
      </c>
      <c r="C498" s="8">
        <v>46136</v>
      </c>
      <c r="D498" s="3" t="s">
        <v>996</v>
      </c>
      <c r="E498" s="3" t="s">
        <v>863</v>
      </c>
      <c r="F498" s="3" t="s">
        <v>864</v>
      </c>
      <c r="G498" s="3" t="s">
        <v>273</v>
      </c>
      <c r="H498" s="3" t="s">
        <v>255</v>
      </c>
      <c r="I498" s="3" t="s">
        <v>865</v>
      </c>
      <c r="J498" s="3" t="s">
        <v>46</v>
      </c>
      <c r="K498" s="2">
        <v>20</v>
      </c>
      <c r="L498" s="1">
        <v>64700</v>
      </c>
      <c r="M498" s="1">
        <v>1294000</v>
      </c>
      <c r="N498" s="1">
        <v>15</v>
      </c>
      <c r="O498" s="1">
        <v>194100</v>
      </c>
    </row>
    <row r="499" spans="1:15">
      <c r="A499" s="6">
        <v>2026</v>
      </c>
      <c r="B499" s="7">
        <v>4</v>
      </c>
      <c r="C499" s="8">
        <v>46136</v>
      </c>
      <c r="D499" s="3" t="s">
        <v>996</v>
      </c>
      <c r="E499" s="3" t="s">
        <v>863</v>
      </c>
      <c r="F499" s="3" t="s">
        <v>864</v>
      </c>
      <c r="G499" s="3" t="s">
        <v>273</v>
      </c>
      <c r="H499" s="3" t="s">
        <v>255</v>
      </c>
      <c r="I499" s="3" t="s">
        <v>865</v>
      </c>
      <c r="J499" s="3" t="s">
        <v>46</v>
      </c>
      <c r="K499" s="2">
        <v>180</v>
      </c>
      <c r="L499" s="1">
        <v>64700</v>
      </c>
      <c r="M499" s="1">
        <v>11646000</v>
      </c>
      <c r="N499" s="1">
        <v>15</v>
      </c>
      <c r="O499" s="1">
        <v>1746900</v>
      </c>
    </row>
    <row r="500" spans="1:15">
      <c r="A500" s="6">
        <v>2026</v>
      </c>
      <c r="B500" s="7">
        <v>4</v>
      </c>
      <c r="C500" s="8">
        <v>46136</v>
      </c>
      <c r="D500" s="3" t="s">
        <v>996</v>
      </c>
      <c r="E500" s="3" t="s">
        <v>863</v>
      </c>
      <c r="F500" s="3" t="s">
        <v>864</v>
      </c>
      <c r="G500" s="3" t="s">
        <v>273</v>
      </c>
      <c r="H500" s="3" t="s">
        <v>255</v>
      </c>
      <c r="I500" s="3" t="s">
        <v>865</v>
      </c>
      <c r="J500" s="3" t="s">
        <v>38</v>
      </c>
      <c r="K500" s="2">
        <v>200</v>
      </c>
      <c r="L500" s="1">
        <v>65000</v>
      </c>
      <c r="M500" s="1">
        <v>13000000</v>
      </c>
      <c r="N500" s="1">
        <v>6</v>
      </c>
      <c r="O500" s="1">
        <v>780000</v>
      </c>
    </row>
    <row r="501" spans="1:15">
      <c r="A501" s="6">
        <v>2026</v>
      </c>
      <c r="B501" s="7">
        <v>4</v>
      </c>
      <c r="C501" s="8">
        <v>46136</v>
      </c>
      <c r="D501" s="3" t="s">
        <v>997</v>
      </c>
      <c r="E501" s="3" t="s">
        <v>920</v>
      </c>
      <c r="F501" s="3" t="s">
        <v>871</v>
      </c>
      <c r="G501" s="3" t="s">
        <v>273</v>
      </c>
      <c r="H501" s="3" t="s">
        <v>255</v>
      </c>
      <c r="I501" s="3" t="s">
        <v>998</v>
      </c>
      <c r="J501" s="3" t="s">
        <v>41</v>
      </c>
      <c r="K501" s="2">
        <v>20</v>
      </c>
      <c r="L501" s="1">
        <v>90000</v>
      </c>
      <c r="M501" s="1">
        <v>1800000</v>
      </c>
      <c r="N501" s="1">
        <v>15</v>
      </c>
      <c r="O501" s="1">
        <v>270000</v>
      </c>
    </row>
    <row r="502" spans="1:15">
      <c r="A502" s="6">
        <v>2026</v>
      </c>
      <c r="B502" s="7">
        <v>4</v>
      </c>
      <c r="C502" s="8">
        <v>46136</v>
      </c>
      <c r="D502" s="3" t="s">
        <v>997</v>
      </c>
      <c r="E502" s="3" t="s">
        <v>920</v>
      </c>
      <c r="F502" s="3" t="s">
        <v>871</v>
      </c>
      <c r="G502" s="3" t="s">
        <v>273</v>
      </c>
      <c r="H502" s="3" t="s">
        <v>255</v>
      </c>
      <c r="I502" s="3" t="s">
        <v>998</v>
      </c>
      <c r="J502" s="3" t="s">
        <v>38</v>
      </c>
      <c r="K502" s="2">
        <v>20</v>
      </c>
      <c r="L502" s="1">
        <v>65000</v>
      </c>
      <c r="M502" s="1">
        <v>1300000</v>
      </c>
      <c r="N502" s="1">
        <v>15</v>
      </c>
      <c r="O502" s="1">
        <v>195000</v>
      </c>
    </row>
    <row r="503" spans="1:15">
      <c r="A503" s="6">
        <v>2026</v>
      </c>
      <c r="B503" s="7">
        <v>4</v>
      </c>
      <c r="C503" s="8">
        <v>46136</v>
      </c>
      <c r="D503" s="3" t="s">
        <v>997</v>
      </c>
      <c r="E503" s="3" t="s">
        <v>920</v>
      </c>
      <c r="F503" s="3" t="s">
        <v>871</v>
      </c>
      <c r="G503" s="3" t="s">
        <v>273</v>
      </c>
      <c r="H503" s="3" t="s">
        <v>255</v>
      </c>
      <c r="I503" s="3" t="s">
        <v>998</v>
      </c>
      <c r="J503" s="3" t="s">
        <v>466</v>
      </c>
      <c r="K503" s="2">
        <v>20</v>
      </c>
      <c r="L503" s="1">
        <v>120000</v>
      </c>
      <c r="M503" s="1">
        <v>2400000</v>
      </c>
      <c r="N503" s="1">
        <v>15</v>
      </c>
      <c r="O503" s="1">
        <v>360000</v>
      </c>
    </row>
    <row r="504" spans="1:15">
      <c r="A504" s="6">
        <v>2026</v>
      </c>
      <c r="B504" s="7">
        <v>4</v>
      </c>
      <c r="C504" s="8">
        <v>46139</v>
      </c>
      <c r="D504" s="3" t="s">
        <v>999</v>
      </c>
      <c r="E504" s="3" t="s">
        <v>1000</v>
      </c>
      <c r="F504" s="3" t="s">
        <v>1001</v>
      </c>
      <c r="G504" s="3" t="s">
        <v>273</v>
      </c>
      <c r="H504" s="3" t="s">
        <v>255</v>
      </c>
      <c r="I504" s="3" t="s">
        <v>1002</v>
      </c>
      <c r="J504" s="3" t="s">
        <v>41</v>
      </c>
      <c r="K504" s="2">
        <v>9</v>
      </c>
      <c r="L504" s="1">
        <v>90000</v>
      </c>
      <c r="M504" s="1">
        <v>810000</v>
      </c>
      <c r="N504" s="1">
        <v>15</v>
      </c>
      <c r="O504" s="1">
        <v>121500</v>
      </c>
    </row>
    <row r="505" spans="1:15">
      <c r="A505" s="6">
        <v>2026</v>
      </c>
      <c r="B505" s="7">
        <v>4</v>
      </c>
      <c r="C505" s="8">
        <v>46139</v>
      </c>
      <c r="D505" s="3" t="s">
        <v>999</v>
      </c>
      <c r="E505" s="3" t="s">
        <v>1000</v>
      </c>
      <c r="F505" s="3" t="s">
        <v>1001</v>
      </c>
      <c r="G505" s="3" t="s">
        <v>273</v>
      </c>
      <c r="H505" s="3" t="s">
        <v>255</v>
      </c>
      <c r="I505" s="3" t="s">
        <v>1002</v>
      </c>
      <c r="J505" s="3" t="s">
        <v>41</v>
      </c>
      <c r="K505" s="2">
        <v>1</v>
      </c>
      <c r="L505" s="1">
        <v>90000</v>
      </c>
      <c r="M505" s="1">
        <v>90000</v>
      </c>
      <c r="N505" s="1">
        <v>15</v>
      </c>
      <c r="O505" s="1">
        <v>13500</v>
      </c>
    </row>
    <row r="506" spans="1:15">
      <c r="A506" s="6">
        <v>2026</v>
      </c>
      <c r="B506" s="7">
        <v>4</v>
      </c>
      <c r="C506" s="8">
        <v>46139</v>
      </c>
      <c r="D506" s="3" t="s">
        <v>1003</v>
      </c>
      <c r="E506" s="3" t="s">
        <v>920</v>
      </c>
      <c r="F506" s="3" t="s">
        <v>871</v>
      </c>
      <c r="G506" s="3" t="s">
        <v>273</v>
      </c>
      <c r="H506" s="3" t="s">
        <v>255</v>
      </c>
      <c r="I506" s="3" t="s">
        <v>921</v>
      </c>
      <c r="J506" s="3" t="s">
        <v>41</v>
      </c>
      <c r="K506" s="2">
        <v>99</v>
      </c>
      <c r="L506" s="1">
        <v>90000</v>
      </c>
      <c r="M506" s="1">
        <v>8910000</v>
      </c>
      <c r="N506" s="1">
        <v>15</v>
      </c>
      <c r="O506" s="1">
        <v>1336500</v>
      </c>
    </row>
    <row r="507" spans="1:15">
      <c r="A507" s="6">
        <v>2026</v>
      </c>
      <c r="B507" s="7">
        <v>4</v>
      </c>
      <c r="C507" s="8">
        <v>46139</v>
      </c>
      <c r="D507" s="3" t="s">
        <v>1003</v>
      </c>
      <c r="E507" s="3" t="s">
        <v>920</v>
      </c>
      <c r="F507" s="3" t="s">
        <v>871</v>
      </c>
      <c r="G507" s="3" t="s">
        <v>273</v>
      </c>
      <c r="H507" s="3" t="s">
        <v>255</v>
      </c>
      <c r="I507" s="3" t="s">
        <v>921</v>
      </c>
      <c r="J507" s="3" t="s">
        <v>41</v>
      </c>
      <c r="K507" s="2">
        <v>1</v>
      </c>
      <c r="L507" s="1">
        <v>90000</v>
      </c>
      <c r="M507" s="1">
        <v>90000</v>
      </c>
      <c r="N507" s="1">
        <v>15</v>
      </c>
      <c r="O507" s="1">
        <v>13500</v>
      </c>
    </row>
    <row r="508" spans="1:15">
      <c r="A508" s="6">
        <v>2026</v>
      </c>
      <c r="B508" s="7">
        <v>4</v>
      </c>
      <c r="C508" s="8">
        <v>46139</v>
      </c>
      <c r="D508" s="3" t="s">
        <v>1004</v>
      </c>
      <c r="E508" s="3" t="s">
        <v>893</v>
      </c>
      <c r="F508" s="3" t="s">
        <v>894</v>
      </c>
      <c r="G508" s="3" t="s">
        <v>273</v>
      </c>
      <c r="H508" s="3" t="s">
        <v>255</v>
      </c>
      <c r="I508" s="3" t="s">
        <v>635</v>
      </c>
      <c r="J508" s="3" t="s">
        <v>41</v>
      </c>
      <c r="K508" s="2">
        <v>9</v>
      </c>
      <c r="L508" s="1">
        <v>90000</v>
      </c>
      <c r="M508" s="1">
        <v>810000</v>
      </c>
      <c r="N508" s="1">
        <v>15</v>
      </c>
      <c r="O508" s="1">
        <v>121500</v>
      </c>
    </row>
    <row r="509" spans="1:15">
      <c r="A509" s="6">
        <v>2026</v>
      </c>
      <c r="B509" s="7">
        <v>4</v>
      </c>
      <c r="C509" s="8">
        <v>46139</v>
      </c>
      <c r="D509" s="3" t="s">
        <v>1004</v>
      </c>
      <c r="E509" s="3" t="s">
        <v>893</v>
      </c>
      <c r="F509" s="3" t="s">
        <v>894</v>
      </c>
      <c r="G509" s="3" t="s">
        <v>273</v>
      </c>
      <c r="H509" s="3" t="s">
        <v>255</v>
      </c>
      <c r="I509" s="3" t="s">
        <v>635</v>
      </c>
      <c r="J509" s="3" t="s">
        <v>41</v>
      </c>
      <c r="K509" s="2">
        <v>20</v>
      </c>
      <c r="L509" s="1">
        <v>90000</v>
      </c>
      <c r="M509" s="1">
        <v>1800000</v>
      </c>
      <c r="N509" s="1">
        <v>15</v>
      </c>
      <c r="O509" s="1">
        <v>270000</v>
      </c>
    </row>
    <row r="510" spans="1:15">
      <c r="A510" s="6">
        <v>2026</v>
      </c>
      <c r="B510" s="7">
        <v>4</v>
      </c>
      <c r="C510" s="8">
        <v>46139</v>
      </c>
      <c r="D510" s="3" t="s">
        <v>1004</v>
      </c>
      <c r="E510" s="3" t="s">
        <v>893</v>
      </c>
      <c r="F510" s="3" t="s">
        <v>894</v>
      </c>
      <c r="G510" s="3" t="s">
        <v>273</v>
      </c>
      <c r="H510" s="3" t="s">
        <v>255</v>
      </c>
      <c r="I510" s="3" t="s">
        <v>635</v>
      </c>
      <c r="J510" s="3" t="s">
        <v>41</v>
      </c>
      <c r="K510" s="2">
        <v>21</v>
      </c>
      <c r="L510" s="1">
        <v>90000</v>
      </c>
      <c r="M510" s="1">
        <v>1890000</v>
      </c>
      <c r="N510" s="1">
        <v>15</v>
      </c>
      <c r="O510" s="1">
        <v>283500</v>
      </c>
    </row>
    <row r="511" spans="1:15">
      <c r="A511" s="6">
        <v>2026</v>
      </c>
      <c r="B511" s="7">
        <v>4</v>
      </c>
      <c r="C511" s="8">
        <v>46139</v>
      </c>
      <c r="D511" s="3" t="s">
        <v>1005</v>
      </c>
      <c r="E511" s="3" t="s">
        <v>893</v>
      </c>
      <c r="F511" s="3" t="s">
        <v>894</v>
      </c>
      <c r="G511" s="3" t="s">
        <v>273</v>
      </c>
      <c r="H511" s="3" t="s">
        <v>255</v>
      </c>
      <c r="I511" s="3" t="s">
        <v>1006</v>
      </c>
      <c r="J511" s="3" t="s">
        <v>41</v>
      </c>
      <c r="K511" s="2">
        <v>50</v>
      </c>
      <c r="L511" s="1">
        <v>90000</v>
      </c>
      <c r="M511" s="1">
        <v>4500000</v>
      </c>
      <c r="N511" s="1">
        <v>15</v>
      </c>
      <c r="O511" s="1">
        <v>675000</v>
      </c>
    </row>
    <row r="512" spans="1:15">
      <c r="A512" s="6">
        <v>2026</v>
      </c>
      <c r="B512" s="7">
        <v>4</v>
      </c>
      <c r="C512" s="8">
        <v>46139</v>
      </c>
      <c r="D512" s="3" t="s">
        <v>1007</v>
      </c>
      <c r="E512" s="3" t="s">
        <v>893</v>
      </c>
      <c r="F512" s="3" t="s">
        <v>894</v>
      </c>
      <c r="G512" s="3" t="s">
        <v>273</v>
      </c>
      <c r="H512" s="3" t="s">
        <v>255</v>
      </c>
      <c r="I512" s="3" t="s">
        <v>1008</v>
      </c>
      <c r="J512" s="3" t="s">
        <v>41</v>
      </c>
      <c r="K512" s="2">
        <v>50</v>
      </c>
      <c r="L512" s="1">
        <v>90000</v>
      </c>
      <c r="M512" s="1">
        <v>4500000</v>
      </c>
      <c r="N512" s="1">
        <v>15</v>
      </c>
      <c r="O512" s="1">
        <v>675000</v>
      </c>
    </row>
    <row r="513" spans="1:15">
      <c r="A513" s="6">
        <v>2026</v>
      </c>
      <c r="B513" s="7">
        <v>4</v>
      </c>
      <c r="C513" s="8">
        <v>46140</v>
      </c>
      <c r="D513" s="3" t="s">
        <v>1009</v>
      </c>
      <c r="E513" s="3" t="s">
        <v>912</v>
      </c>
      <c r="F513" s="3" t="s">
        <v>871</v>
      </c>
      <c r="G513" s="3" t="s">
        <v>273</v>
      </c>
      <c r="H513" s="3" t="s">
        <v>255</v>
      </c>
      <c r="I513" s="3" t="s">
        <v>1010</v>
      </c>
      <c r="J513" s="3" t="s">
        <v>38</v>
      </c>
      <c r="K513" s="2">
        <v>30</v>
      </c>
      <c r="L513" s="1">
        <v>65000</v>
      </c>
      <c r="M513" s="1">
        <v>1950000</v>
      </c>
      <c r="N513" s="1">
        <v>15</v>
      </c>
      <c r="O513" s="1">
        <v>292500</v>
      </c>
    </row>
    <row r="514" spans="1:15">
      <c r="A514" s="6">
        <v>2026</v>
      </c>
      <c r="B514" s="7">
        <v>4</v>
      </c>
      <c r="C514" s="8">
        <v>46140</v>
      </c>
      <c r="D514" s="3" t="s">
        <v>1011</v>
      </c>
      <c r="E514" s="3" t="s">
        <v>271</v>
      </c>
      <c r="F514" s="3" t="s">
        <v>272</v>
      </c>
      <c r="G514" s="3" t="s">
        <v>273</v>
      </c>
      <c r="H514" s="3" t="s">
        <v>255</v>
      </c>
      <c r="I514" s="3" t="s">
        <v>1012</v>
      </c>
      <c r="J514" s="3" t="s">
        <v>41</v>
      </c>
      <c r="K514" s="2">
        <v>10</v>
      </c>
      <c r="L514" s="1">
        <v>90000</v>
      </c>
      <c r="M514" s="1">
        <v>900000</v>
      </c>
      <c r="N514" s="1">
        <v>5</v>
      </c>
      <c r="O514" s="1">
        <v>45000</v>
      </c>
    </row>
    <row r="515" spans="1:15">
      <c r="A515" s="6">
        <v>2026</v>
      </c>
      <c r="B515" s="7">
        <v>4</v>
      </c>
      <c r="C515" s="8">
        <v>46140</v>
      </c>
      <c r="D515" s="3" t="s">
        <v>1011</v>
      </c>
      <c r="E515" s="3" t="s">
        <v>271</v>
      </c>
      <c r="F515" s="3" t="s">
        <v>272</v>
      </c>
      <c r="G515" s="3" t="s">
        <v>273</v>
      </c>
      <c r="H515" s="3" t="s">
        <v>255</v>
      </c>
      <c r="I515" s="3" t="s">
        <v>1012</v>
      </c>
      <c r="J515" s="3" t="s">
        <v>466</v>
      </c>
      <c r="K515" s="2">
        <v>5</v>
      </c>
      <c r="L515" s="1">
        <v>120000</v>
      </c>
      <c r="M515" s="1">
        <v>600000</v>
      </c>
      <c r="N515" s="1">
        <v>5</v>
      </c>
      <c r="O515" s="1">
        <v>30000</v>
      </c>
    </row>
    <row r="516" spans="1:15">
      <c r="A516" s="6">
        <v>2026</v>
      </c>
      <c r="B516" s="7">
        <v>4</v>
      </c>
      <c r="C516" s="8">
        <v>46140</v>
      </c>
      <c r="D516" s="3" t="s">
        <v>1011</v>
      </c>
      <c r="E516" s="3" t="s">
        <v>271</v>
      </c>
      <c r="F516" s="3" t="s">
        <v>272</v>
      </c>
      <c r="G516" s="3" t="s">
        <v>273</v>
      </c>
      <c r="H516" s="3" t="s">
        <v>255</v>
      </c>
      <c r="I516" s="3" t="s">
        <v>1012</v>
      </c>
      <c r="J516" s="3" t="s">
        <v>46</v>
      </c>
      <c r="K516" s="2">
        <v>15</v>
      </c>
      <c r="L516" s="1">
        <v>64700</v>
      </c>
      <c r="M516" s="1">
        <v>970500</v>
      </c>
      <c r="N516" s="1">
        <v>5</v>
      </c>
      <c r="O516" s="1">
        <v>48525</v>
      </c>
    </row>
    <row r="517" spans="1:15">
      <c r="A517" s="6">
        <v>2026</v>
      </c>
      <c r="B517" s="7">
        <v>4</v>
      </c>
      <c r="C517" s="8">
        <v>46140</v>
      </c>
      <c r="D517" s="3" t="s">
        <v>1011</v>
      </c>
      <c r="E517" s="3" t="s">
        <v>271</v>
      </c>
      <c r="F517" s="3" t="s">
        <v>272</v>
      </c>
      <c r="G517" s="3" t="s">
        <v>273</v>
      </c>
      <c r="H517" s="3" t="s">
        <v>255</v>
      </c>
      <c r="I517" s="3" t="s">
        <v>1012</v>
      </c>
      <c r="J517" s="3" t="s">
        <v>38</v>
      </c>
      <c r="K517" s="2">
        <v>10</v>
      </c>
      <c r="L517" s="1">
        <v>65000</v>
      </c>
      <c r="M517" s="1">
        <v>650000</v>
      </c>
      <c r="N517" s="1">
        <v>5</v>
      </c>
      <c r="O517" s="1">
        <v>32500</v>
      </c>
    </row>
    <row r="518" spans="1:15">
      <c r="A518" s="6">
        <v>2026</v>
      </c>
      <c r="B518" s="7">
        <v>4</v>
      </c>
      <c r="C518" s="8">
        <v>46140</v>
      </c>
      <c r="D518" s="3" t="s">
        <v>1013</v>
      </c>
      <c r="E518" s="3" t="s">
        <v>489</v>
      </c>
      <c r="F518" s="3" t="s">
        <v>464</v>
      </c>
      <c r="G518" s="3" t="s">
        <v>260</v>
      </c>
      <c r="H518" s="3" t="s">
        <v>255</v>
      </c>
      <c r="I518" s="3" t="s">
        <v>811</v>
      </c>
      <c r="J518" s="3" t="s">
        <v>466</v>
      </c>
      <c r="K518" s="2">
        <v>10</v>
      </c>
      <c r="L518" s="1">
        <v>120000</v>
      </c>
      <c r="M518" s="1">
        <v>1200000</v>
      </c>
      <c r="N518" s="1">
        <v>13</v>
      </c>
      <c r="O518" s="1">
        <v>156000</v>
      </c>
    </row>
    <row r="519" spans="1:15">
      <c r="A519" s="6">
        <v>2026</v>
      </c>
      <c r="B519" s="7">
        <v>4</v>
      </c>
      <c r="C519" s="8">
        <v>46141</v>
      </c>
      <c r="D519" s="3" t="s">
        <v>1014</v>
      </c>
      <c r="E519" s="3" t="s">
        <v>920</v>
      </c>
      <c r="F519" s="3" t="s">
        <v>871</v>
      </c>
      <c r="G519" s="3" t="s">
        <v>273</v>
      </c>
      <c r="H519" s="3" t="s">
        <v>255</v>
      </c>
      <c r="I519" s="3" t="s">
        <v>1015</v>
      </c>
      <c r="J519" s="3" t="s">
        <v>466</v>
      </c>
      <c r="K519" s="2">
        <v>20</v>
      </c>
      <c r="L519" s="1">
        <v>120000</v>
      </c>
      <c r="M519" s="1">
        <v>2400000</v>
      </c>
      <c r="N519" s="1">
        <v>15</v>
      </c>
      <c r="O519" s="1">
        <v>360000</v>
      </c>
    </row>
    <row r="520" spans="1:15">
      <c r="A520" s="6">
        <v>2026</v>
      </c>
      <c r="B520" s="7">
        <v>4</v>
      </c>
      <c r="C520" s="8">
        <v>46141</v>
      </c>
      <c r="D520" s="3" t="s">
        <v>1014</v>
      </c>
      <c r="E520" s="3" t="s">
        <v>920</v>
      </c>
      <c r="F520" s="3" t="s">
        <v>871</v>
      </c>
      <c r="G520" s="3" t="s">
        <v>273</v>
      </c>
      <c r="H520" s="3" t="s">
        <v>255</v>
      </c>
      <c r="I520" s="3" t="s">
        <v>1015</v>
      </c>
      <c r="J520" s="3" t="s">
        <v>41</v>
      </c>
      <c r="K520" s="2">
        <v>20</v>
      </c>
      <c r="L520" s="1">
        <v>90000</v>
      </c>
      <c r="M520" s="1">
        <v>1800000</v>
      </c>
      <c r="N520" s="1">
        <v>15</v>
      </c>
      <c r="O520" s="1">
        <v>270000</v>
      </c>
    </row>
    <row r="521" spans="1:15">
      <c r="A521" s="6">
        <v>2026</v>
      </c>
      <c r="B521" s="7">
        <v>4</v>
      </c>
      <c r="C521" s="8">
        <v>46141</v>
      </c>
      <c r="D521" s="3" t="s">
        <v>1016</v>
      </c>
      <c r="E521" s="3" t="s">
        <v>677</v>
      </c>
      <c r="F521" s="3" t="s">
        <v>464</v>
      </c>
      <c r="G521" s="3" t="s">
        <v>260</v>
      </c>
      <c r="H521" s="3" t="s">
        <v>255</v>
      </c>
      <c r="I521" s="3" t="s">
        <v>825</v>
      </c>
      <c r="J521" s="3" t="s">
        <v>466</v>
      </c>
      <c r="K521" s="2">
        <v>20</v>
      </c>
      <c r="L521" s="1">
        <v>120000</v>
      </c>
      <c r="M521" s="1">
        <v>2400000</v>
      </c>
      <c r="N521" s="1">
        <v>13</v>
      </c>
      <c r="O521" s="1">
        <v>312000</v>
      </c>
    </row>
    <row r="522" spans="1:15">
      <c r="A522" s="6">
        <v>2026</v>
      </c>
      <c r="B522" s="7">
        <v>4</v>
      </c>
      <c r="C522" s="8">
        <v>46141</v>
      </c>
      <c r="D522" s="3" t="s">
        <v>1017</v>
      </c>
      <c r="E522" s="3" t="s">
        <v>912</v>
      </c>
      <c r="F522" s="3" t="s">
        <v>871</v>
      </c>
      <c r="G522" s="3" t="s">
        <v>273</v>
      </c>
      <c r="H522" s="3" t="s">
        <v>255</v>
      </c>
      <c r="I522" s="3" t="s">
        <v>913</v>
      </c>
      <c r="J522" s="3" t="s">
        <v>38</v>
      </c>
      <c r="K522" s="2">
        <v>100</v>
      </c>
      <c r="L522" s="1">
        <v>65000</v>
      </c>
      <c r="M522" s="1">
        <v>6500000</v>
      </c>
      <c r="N522" s="1">
        <v>15</v>
      </c>
      <c r="O522" s="1">
        <v>975000</v>
      </c>
    </row>
    <row r="523" spans="1:15">
      <c r="A523" s="6">
        <v>2026</v>
      </c>
      <c r="B523" s="7">
        <v>4</v>
      </c>
      <c r="C523" s="8">
        <v>46141</v>
      </c>
      <c r="D523" s="3" t="s">
        <v>1018</v>
      </c>
      <c r="E523" s="3" t="s">
        <v>890</v>
      </c>
      <c r="F523" s="3" t="s">
        <v>281</v>
      </c>
      <c r="G523" s="3" t="s">
        <v>273</v>
      </c>
      <c r="H523" s="3" t="s">
        <v>255</v>
      </c>
      <c r="I523" s="3" t="s">
        <v>559</v>
      </c>
      <c r="J523" s="3" t="s">
        <v>466</v>
      </c>
      <c r="K523" s="2">
        <v>40</v>
      </c>
      <c r="L523" s="1">
        <v>120000</v>
      </c>
      <c r="M523" s="1">
        <v>4800000</v>
      </c>
      <c r="N523" s="1">
        <v>15</v>
      </c>
      <c r="O523" s="1">
        <v>720000</v>
      </c>
    </row>
    <row r="524" spans="1:15">
      <c r="A524" s="6">
        <v>2026</v>
      </c>
      <c r="B524" s="7">
        <v>4</v>
      </c>
      <c r="C524" s="8">
        <v>46141</v>
      </c>
      <c r="D524" s="3" t="s">
        <v>1019</v>
      </c>
      <c r="E524" s="3" t="s">
        <v>463</v>
      </c>
      <c r="F524" s="3" t="s">
        <v>464</v>
      </c>
      <c r="G524" s="3" t="s">
        <v>260</v>
      </c>
      <c r="H524" s="3" t="s">
        <v>255</v>
      </c>
      <c r="I524" s="3" t="s">
        <v>465</v>
      </c>
      <c r="J524" s="3" t="s">
        <v>46</v>
      </c>
      <c r="K524" s="2">
        <v>40</v>
      </c>
      <c r="L524" s="1">
        <v>64700</v>
      </c>
      <c r="M524" s="1">
        <v>2588000</v>
      </c>
      <c r="N524" s="1">
        <v>8</v>
      </c>
      <c r="O524" s="1">
        <v>207040</v>
      </c>
    </row>
    <row r="525" spans="1:15">
      <c r="A525" s="6">
        <v>2026</v>
      </c>
      <c r="B525" s="7">
        <v>4</v>
      </c>
      <c r="C525" s="8">
        <v>46142</v>
      </c>
      <c r="D525" s="3" t="s">
        <v>1020</v>
      </c>
      <c r="E525" s="3" t="s">
        <v>736</v>
      </c>
      <c r="F525" s="3" t="s">
        <v>704</v>
      </c>
      <c r="G525" s="3" t="s">
        <v>254</v>
      </c>
      <c r="H525" s="3" t="s">
        <v>255</v>
      </c>
      <c r="I525" s="3" t="s">
        <v>443</v>
      </c>
      <c r="J525" s="3" t="s">
        <v>46</v>
      </c>
      <c r="K525" s="2">
        <v>20</v>
      </c>
      <c r="L525" s="1">
        <v>64700</v>
      </c>
      <c r="M525" s="1">
        <v>1294000</v>
      </c>
      <c r="N525" s="1">
        <v>8</v>
      </c>
      <c r="O525" s="1">
        <v>103520</v>
      </c>
    </row>
    <row r="526" spans="1:15">
      <c r="A526" s="6">
        <v>2026</v>
      </c>
      <c r="B526" s="7">
        <v>4</v>
      </c>
      <c r="C526" s="8">
        <v>46142</v>
      </c>
      <c r="D526" s="3" t="s">
        <v>1021</v>
      </c>
      <c r="E526" s="3" t="s">
        <v>912</v>
      </c>
      <c r="F526" s="3" t="s">
        <v>871</v>
      </c>
      <c r="G526" s="3" t="s">
        <v>273</v>
      </c>
      <c r="H526" s="3" t="s">
        <v>255</v>
      </c>
      <c r="I526" s="3" t="s">
        <v>417</v>
      </c>
      <c r="J526" s="3" t="s">
        <v>38</v>
      </c>
      <c r="K526" s="2">
        <v>50</v>
      </c>
      <c r="L526" s="1">
        <v>65000</v>
      </c>
      <c r="M526" s="1">
        <v>3250000</v>
      </c>
      <c r="N526" s="1">
        <v>15</v>
      </c>
      <c r="O526" s="1">
        <v>487500</v>
      </c>
    </row>
    <row r="527" spans="1:15">
      <c r="A527" s="6">
        <v>2026</v>
      </c>
      <c r="B527" s="7">
        <v>4</v>
      </c>
      <c r="C527" s="8">
        <v>46142</v>
      </c>
      <c r="D527" s="3" t="s">
        <v>1022</v>
      </c>
      <c r="E527" s="3" t="s">
        <v>1023</v>
      </c>
      <c r="F527" s="3" t="s">
        <v>871</v>
      </c>
      <c r="G527" s="3" t="s">
        <v>273</v>
      </c>
      <c r="H527" s="3" t="s">
        <v>255</v>
      </c>
      <c r="I527" s="3" t="s">
        <v>936</v>
      </c>
      <c r="J527" s="3" t="s">
        <v>466</v>
      </c>
      <c r="K527" s="2">
        <v>10</v>
      </c>
      <c r="L527" s="1">
        <v>120000</v>
      </c>
      <c r="M527" s="1">
        <v>1200000</v>
      </c>
      <c r="N527" s="1">
        <v>15</v>
      </c>
      <c r="O527" s="1">
        <v>180000</v>
      </c>
    </row>
    <row r="528" spans="1:15">
      <c r="A528" s="6">
        <v>2026</v>
      </c>
      <c r="B528" s="7">
        <v>4</v>
      </c>
      <c r="C528" s="8">
        <v>46142</v>
      </c>
      <c r="D528" s="3" t="s">
        <v>1024</v>
      </c>
      <c r="E528" s="3" t="s">
        <v>920</v>
      </c>
      <c r="F528" s="3" t="s">
        <v>871</v>
      </c>
      <c r="G528" s="3" t="s">
        <v>273</v>
      </c>
      <c r="H528" s="3" t="s">
        <v>255</v>
      </c>
      <c r="I528" s="3" t="s">
        <v>983</v>
      </c>
      <c r="J528" s="3" t="s">
        <v>41</v>
      </c>
      <c r="K528" s="2">
        <v>1</v>
      </c>
      <c r="L528" s="1">
        <v>90000</v>
      </c>
      <c r="M528" s="1">
        <v>90000</v>
      </c>
      <c r="N528" s="1">
        <v>15</v>
      </c>
      <c r="O528" s="1">
        <v>13500</v>
      </c>
    </row>
    <row r="529" spans="1:15">
      <c r="A529" s="6">
        <v>2026</v>
      </c>
      <c r="B529" s="7">
        <v>4</v>
      </c>
      <c r="C529" s="8">
        <v>46142</v>
      </c>
      <c r="D529" s="3" t="s">
        <v>1024</v>
      </c>
      <c r="E529" s="3" t="s">
        <v>920</v>
      </c>
      <c r="F529" s="3" t="s">
        <v>871</v>
      </c>
      <c r="G529" s="3" t="s">
        <v>273</v>
      </c>
      <c r="H529" s="3" t="s">
        <v>255</v>
      </c>
      <c r="I529" s="3" t="s">
        <v>983</v>
      </c>
      <c r="J529" s="3" t="s">
        <v>41</v>
      </c>
      <c r="K529" s="2">
        <v>49</v>
      </c>
      <c r="L529" s="1">
        <v>90000</v>
      </c>
      <c r="M529" s="1">
        <v>4410000</v>
      </c>
      <c r="N529" s="1">
        <v>15</v>
      </c>
      <c r="O529" s="1">
        <v>661500</v>
      </c>
    </row>
    <row r="530" spans="1:15">
      <c r="A530" s="6">
        <v>2026</v>
      </c>
      <c r="B530" s="7">
        <v>4</v>
      </c>
      <c r="C530" s="8">
        <v>46142</v>
      </c>
      <c r="D530" s="3" t="s">
        <v>1024</v>
      </c>
      <c r="E530" s="3" t="s">
        <v>920</v>
      </c>
      <c r="F530" s="3" t="s">
        <v>871</v>
      </c>
      <c r="G530" s="3" t="s">
        <v>273</v>
      </c>
      <c r="H530" s="3" t="s">
        <v>255</v>
      </c>
      <c r="I530" s="3" t="s">
        <v>983</v>
      </c>
      <c r="J530" s="3" t="s">
        <v>38</v>
      </c>
      <c r="K530" s="2">
        <v>50</v>
      </c>
      <c r="L530" s="1">
        <v>65000</v>
      </c>
      <c r="M530" s="1">
        <v>3250000</v>
      </c>
      <c r="N530" s="1">
        <v>15</v>
      </c>
      <c r="O530" s="1">
        <v>487500</v>
      </c>
    </row>
    <row r="531" spans="1:15">
      <c r="A531" s="6">
        <v>2026</v>
      </c>
      <c r="B531" s="7">
        <v>4</v>
      </c>
      <c r="C531" s="8">
        <v>46142</v>
      </c>
      <c r="D531" s="3" t="s">
        <v>1025</v>
      </c>
      <c r="E531" s="3" t="s">
        <v>1026</v>
      </c>
      <c r="F531" s="3" t="s">
        <v>1027</v>
      </c>
      <c r="G531" s="3" t="s">
        <v>273</v>
      </c>
      <c r="H531" s="3" t="s">
        <v>255</v>
      </c>
      <c r="I531" s="3" t="s">
        <v>1028</v>
      </c>
      <c r="J531" s="3" t="s">
        <v>41</v>
      </c>
      <c r="K531" s="2">
        <v>50</v>
      </c>
      <c r="L531" s="1">
        <v>90000</v>
      </c>
      <c r="M531" s="1">
        <v>4500000</v>
      </c>
      <c r="N531" s="1">
        <v>15</v>
      </c>
      <c r="O531" s="1">
        <v>675000</v>
      </c>
    </row>
    <row r="532" spans="1:15">
      <c r="A532" s="6">
        <v>2026</v>
      </c>
      <c r="B532" s="7">
        <v>4</v>
      </c>
      <c r="C532" s="8">
        <v>46142</v>
      </c>
      <c r="D532" s="3" t="s">
        <v>1029</v>
      </c>
      <c r="E532" s="3" t="s">
        <v>547</v>
      </c>
      <c r="F532" s="3" t="s">
        <v>464</v>
      </c>
      <c r="G532" s="3" t="s">
        <v>260</v>
      </c>
      <c r="H532" s="3" t="s">
        <v>255</v>
      </c>
      <c r="I532" s="3" t="s">
        <v>1030</v>
      </c>
      <c r="J532" s="3" t="s">
        <v>466</v>
      </c>
      <c r="K532" s="2">
        <v>10</v>
      </c>
      <c r="L532" s="1">
        <v>120000</v>
      </c>
      <c r="M532" s="1">
        <v>1200000</v>
      </c>
      <c r="N532" s="1">
        <v>8</v>
      </c>
      <c r="O532" s="1">
        <v>96000</v>
      </c>
    </row>
    <row r="533" spans="1:15">
      <c r="A533" s="6">
        <v>2026</v>
      </c>
      <c r="B533" s="7">
        <v>5</v>
      </c>
      <c r="C533" s="8">
        <v>46143</v>
      </c>
      <c r="D533" s="3" t="s">
        <v>1031</v>
      </c>
      <c r="E533" s="3" t="s">
        <v>874</v>
      </c>
      <c r="F533" s="3" t="s">
        <v>875</v>
      </c>
      <c r="G533" s="3" t="s">
        <v>273</v>
      </c>
      <c r="H533" s="3" t="s">
        <v>255</v>
      </c>
      <c r="I533" s="3" t="s">
        <v>1032</v>
      </c>
      <c r="J533" s="3" t="s">
        <v>38</v>
      </c>
      <c r="K533" s="2">
        <v>50</v>
      </c>
      <c r="L533" s="1">
        <v>65000</v>
      </c>
      <c r="M533" s="1">
        <v>3250000</v>
      </c>
      <c r="N533" s="1">
        <v>15</v>
      </c>
      <c r="O533" s="1">
        <v>487500</v>
      </c>
    </row>
    <row r="534" spans="1:15">
      <c r="A534" s="6">
        <v>2026</v>
      </c>
      <c r="B534" s="7">
        <v>5</v>
      </c>
      <c r="C534" s="8">
        <v>46143</v>
      </c>
      <c r="D534" s="3" t="s">
        <v>1033</v>
      </c>
      <c r="E534" s="3" t="s">
        <v>677</v>
      </c>
      <c r="F534" s="3" t="s">
        <v>464</v>
      </c>
      <c r="G534" s="3" t="s">
        <v>260</v>
      </c>
      <c r="H534" s="3" t="s">
        <v>255</v>
      </c>
      <c r="I534" s="3" t="s">
        <v>1034</v>
      </c>
      <c r="J534" s="3" t="s">
        <v>466</v>
      </c>
      <c r="K534" s="2">
        <v>10</v>
      </c>
      <c r="L534" s="1">
        <v>120000</v>
      </c>
      <c r="M534" s="1">
        <v>1200000</v>
      </c>
      <c r="N534" s="1">
        <v>8</v>
      </c>
      <c r="O534" s="1">
        <v>96000</v>
      </c>
    </row>
    <row r="535" spans="1:15">
      <c r="A535" s="6">
        <v>2026</v>
      </c>
      <c r="B535" s="7">
        <v>5</v>
      </c>
      <c r="C535" s="8">
        <v>46143</v>
      </c>
      <c r="D535" s="3" t="s">
        <v>1035</v>
      </c>
      <c r="E535" s="3" t="s">
        <v>1036</v>
      </c>
      <c r="F535" s="3" t="s">
        <v>704</v>
      </c>
      <c r="G535" s="3" t="s">
        <v>254</v>
      </c>
      <c r="H535" s="3" t="s">
        <v>255</v>
      </c>
      <c r="I535" s="3" t="s">
        <v>1037</v>
      </c>
      <c r="J535" s="3" t="s">
        <v>46</v>
      </c>
      <c r="K535" s="2">
        <v>30</v>
      </c>
      <c r="L535" s="1">
        <v>64700</v>
      </c>
      <c r="M535" s="1">
        <v>1941000</v>
      </c>
      <c r="N535" s="1">
        <v>12</v>
      </c>
      <c r="O535" s="1">
        <v>232920</v>
      </c>
    </row>
    <row r="536" spans="1:15">
      <c r="A536" s="6">
        <v>2026</v>
      </c>
      <c r="B536" s="7">
        <v>5</v>
      </c>
      <c r="C536" s="8">
        <v>46143</v>
      </c>
      <c r="D536" s="3" t="s">
        <v>1038</v>
      </c>
      <c r="E536" s="3" t="s">
        <v>547</v>
      </c>
      <c r="F536" s="3" t="s">
        <v>464</v>
      </c>
      <c r="G536" s="3" t="s">
        <v>260</v>
      </c>
      <c r="H536" s="3" t="s">
        <v>255</v>
      </c>
      <c r="I536" s="3" t="s">
        <v>1039</v>
      </c>
      <c r="J536" s="3" t="s">
        <v>46</v>
      </c>
      <c r="K536" s="2">
        <v>10</v>
      </c>
      <c r="L536" s="1">
        <v>64700</v>
      </c>
      <c r="M536" s="1">
        <v>647000</v>
      </c>
      <c r="N536" s="1">
        <v>8</v>
      </c>
      <c r="O536" s="1">
        <v>51760</v>
      </c>
    </row>
    <row r="537" spans="1:15">
      <c r="A537" s="6">
        <v>2026</v>
      </c>
      <c r="B537" s="7">
        <v>5</v>
      </c>
      <c r="C537" s="8">
        <v>46143</v>
      </c>
      <c r="D537" s="3" t="s">
        <v>1040</v>
      </c>
      <c r="E537" s="3" t="s">
        <v>874</v>
      </c>
      <c r="F537" s="3" t="s">
        <v>875</v>
      </c>
      <c r="G537" s="3" t="s">
        <v>273</v>
      </c>
      <c r="H537" s="3" t="s">
        <v>255</v>
      </c>
      <c r="I537" s="3" t="s">
        <v>930</v>
      </c>
      <c r="J537" s="3" t="s">
        <v>38</v>
      </c>
      <c r="K537" s="2">
        <v>40</v>
      </c>
      <c r="L537" s="1">
        <v>65000</v>
      </c>
      <c r="M537" s="1">
        <v>2600000</v>
      </c>
      <c r="N537" s="1">
        <v>15</v>
      </c>
      <c r="O537" s="1">
        <v>390000</v>
      </c>
    </row>
    <row r="538" spans="1:15">
      <c r="A538" s="6">
        <v>2026</v>
      </c>
      <c r="B538" s="7">
        <v>5</v>
      </c>
      <c r="C538" s="8">
        <v>46143</v>
      </c>
      <c r="D538" s="3" t="s">
        <v>1041</v>
      </c>
      <c r="E538" s="3" t="s">
        <v>920</v>
      </c>
      <c r="F538" s="3" t="s">
        <v>871</v>
      </c>
      <c r="G538" s="3" t="s">
        <v>273</v>
      </c>
      <c r="H538" s="3" t="s">
        <v>255</v>
      </c>
      <c r="I538" s="3" t="s">
        <v>986</v>
      </c>
      <c r="J538" s="3" t="s">
        <v>466</v>
      </c>
      <c r="K538" s="2">
        <v>20</v>
      </c>
      <c r="L538" s="1">
        <v>120000</v>
      </c>
      <c r="M538" s="1">
        <v>2400000</v>
      </c>
      <c r="N538" s="1">
        <v>15</v>
      </c>
      <c r="O538" s="1">
        <v>360000</v>
      </c>
    </row>
    <row r="539" spans="1:15">
      <c r="A539" s="6">
        <v>2026</v>
      </c>
      <c r="B539" s="7">
        <v>5</v>
      </c>
      <c r="C539" s="8">
        <v>46143</v>
      </c>
      <c r="D539" s="3" t="s">
        <v>1041</v>
      </c>
      <c r="E539" s="3" t="s">
        <v>920</v>
      </c>
      <c r="F539" s="3" t="s">
        <v>871</v>
      </c>
      <c r="G539" s="3" t="s">
        <v>273</v>
      </c>
      <c r="H539" s="3" t="s">
        <v>255</v>
      </c>
      <c r="I539" s="3" t="s">
        <v>986</v>
      </c>
      <c r="J539" s="3" t="s">
        <v>466</v>
      </c>
      <c r="K539" s="2">
        <v>10</v>
      </c>
      <c r="L539" s="1">
        <v>120000</v>
      </c>
      <c r="M539" s="1">
        <v>1200000</v>
      </c>
      <c r="N539" s="1">
        <v>15</v>
      </c>
      <c r="O539" s="1">
        <v>180000</v>
      </c>
    </row>
    <row r="540" spans="1:15">
      <c r="A540" s="6">
        <v>2026</v>
      </c>
      <c r="B540" s="7">
        <v>5</v>
      </c>
      <c r="C540" s="8">
        <v>46143</v>
      </c>
      <c r="D540" s="3" t="s">
        <v>1041</v>
      </c>
      <c r="E540" s="3" t="s">
        <v>920</v>
      </c>
      <c r="F540" s="3" t="s">
        <v>871</v>
      </c>
      <c r="G540" s="3" t="s">
        <v>273</v>
      </c>
      <c r="H540" s="3" t="s">
        <v>255</v>
      </c>
      <c r="I540" s="3" t="s">
        <v>986</v>
      </c>
      <c r="J540" s="3" t="s">
        <v>41</v>
      </c>
      <c r="K540" s="2">
        <v>10</v>
      </c>
      <c r="L540" s="1">
        <v>90000</v>
      </c>
      <c r="M540" s="1">
        <v>900000</v>
      </c>
      <c r="N540" s="1">
        <v>15</v>
      </c>
      <c r="O540" s="1">
        <v>135000</v>
      </c>
    </row>
    <row r="541" spans="1:15">
      <c r="A541" s="6">
        <v>2026</v>
      </c>
      <c r="B541" s="7">
        <v>5</v>
      </c>
      <c r="C541" s="8">
        <v>46143</v>
      </c>
      <c r="D541" s="3" t="s">
        <v>1042</v>
      </c>
      <c r="E541" s="3" t="s">
        <v>899</v>
      </c>
      <c r="F541" s="3" t="s">
        <v>871</v>
      </c>
      <c r="G541" s="3" t="s">
        <v>273</v>
      </c>
      <c r="H541" s="3" t="s">
        <v>255</v>
      </c>
      <c r="I541" s="3" t="s">
        <v>989</v>
      </c>
      <c r="J541" s="3" t="s">
        <v>41</v>
      </c>
      <c r="K541" s="2">
        <v>30</v>
      </c>
      <c r="L541" s="1">
        <v>90000</v>
      </c>
      <c r="M541" s="1">
        <v>2700000</v>
      </c>
      <c r="N541" s="1">
        <v>15</v>
      </c>
      <c r="O541" s="1">
        <v>405000</v>
      </c>
    </row>
    <row r="542" spans="1:15">
      <c r="A542" s="6">
        <v>2026</v>
      </c>
      <c r="B542" s="7">
        <v>5</v>
      </c>
      <c r="C542" s="8">
        <v>46146</v>
      </c>
      <c r="D542" s="3" t="s">
        <v>1043</v>
      </c>
      <c r="E542" s="3" t="s">
        <v>899</v>
      </c>
      <c r="F542" s="3" t="s">
        <v>871</v>
      </c>
      <c r="G542" s="3" t="s">
        <v>273</v>
      </c>
      <c r="H542" s="3" t="s">
        <v>255</v>
      </c>
      <c r="I542" s="3" t="s">
        <v>923</v>
      </c>
      <c r="J542" s="3" t="s">
        <v>466</v>
      </c>
      <c r="K542" s="2">
        <v>25</v>
      </c>
      <c r="L542" s="1">
        <v>120000</v>
      </c>
      <c r="M542" s="1">
        <v>3000000</v>
      </c>
      <c r="N542" s="1">
        <v>15</v>
      </c>
      <c r="O542" s="1">
        <v>450000</v>
      </c>
    </row>
    <row r="543" spans="1:15">
      <c r="A543" s="6">
        <v>2026</v>
      </c>
      <c r="B543" s="7">
        <v>5</v>
      </c>
      <c r="C543" s="8">
        <v>46146</v>
      </c>
      <c r="D543" s="3" t="s">
        <v>1043</v>
      </c>
      <c r="E543" s="3" t="s">
        <v>899</v>
      </c>
      <c r="F543" s="3" t="s">
        <v>871</v>
      </c>
      <c r="G543" s="3" t="s">
        <v>273</v>
      </c>
      <c r="H543" s="3" t="s">
        <v>255</v>
      </c>
      <c r="I543" s="3" t="s">
        <v>923</v>
      </c>
      <c r="J543" s="3" t="s">
        <v>38</v>
      </c>
      <c r="K543" s="2">
        <v>10</v>
      </c>
      <c r="L543" s="1">
        <v>65000</v>
      </c>
      <c r="M543" s="1">
        <v>650000</v>
      </c>
      <c r="N543" s="1">
        <v>15</v>
      </c>
      <c r="O543" s="1">
        <v>97500</v>
      </c>
    </row>
    <row r="544" spans="1:15">
      <c r="A544" s="6">
        <v>2026</v>
      </c>
      <c r="B544" s="7">
        <v>5</v>
      </c>
      <c r="C544" s="8">
        <v>46146</v>
      </c>
      <c r="D544" s="3" t="s">
        <v>1043</v>
      </c>
      <c r="E544" s="3" t="s">
        <v>899</v>
      </c>
      <c r="F544" s="3" t="s">
        <v>871</v>
      </c>
      <c r="G544" s="3" t="s">
        <v>273</v>
      </c>
      <c r="H544" s="3" t="s">
        <v>255</v>
      </c>
      <c r="I544" s="3" t="s">
        <v>923</v>
      </c>
      <c r="J544" s="3" t="s">
        <v>41</v>
      </c>
      <c r="K544" s="2">
        <v>30</v>
      </c>
      <c r="L544" s="1">
        <v>90000</v>
      </c>
      <c r="M544" s="1">
        <v>2700000</v>
      </c>
      <c r="N544" s="1">
        <v>15</v>
      </c>
      <c r="O544" s="1">
        <v>405000</v>
      </c>
    </row>
    <row r="545" spans="1:15">
      <c r="A545" s="6">
        <v>2026</v>
      </c>
      <c r="B545" s="7">
        <v>5</v>
      </c>
      <c r="C545" s="8">
        <v>46146</v>
      </c>
      <c r="D545" s="3" t="s">
        <v>1043</v>
      </c>
      <c r="E545" s="3" t="s">
        <v>899</v>
      </c>
      <c r="F545" s="3" t="s">
        <v>871</v>
      </c>
      <c r="G545" s="3" t="s">
        <v>273</v>
      </c>
      <c r="H545" s="3" t="s">
        <v>255</v>
      </c>
      <c r="I545" s="3" t="s">
        <v>923</v>
      </c>
      <c r="J545" s="3" t="s">
        <v>38</v>
      </c>
      <c r="K545" s="2">
        <v>20</v>
      </c>
      <c r="L545" s="1">
        <v>65000</v>
      </c>
      <c r="M545" s="1">
        <v>1300000</v>
      </c>
      <c r="N545" s="1">
        <v>15</v>
      </c>
      <c r="O545" s="1">
        <v>195000</v>
      </c>
    </row>
    <row r="546" spans="1:15">
      <c r="A546" s="6">
        <v>2026</v>
      </c>
      <c r="B546" s="7">
        <v>5</v>
      </c>
      <c r="C546" s="8">
        <v>46146</v>
      </c>
      <c r="D546" s="3" t="s">
        <v>1043</v>
      </c>
      <c r="E546" s="3" t="s">
        <v>899</v>
      </c>
      <c r="F546" s="3" t="s">
        <v>871</v>
      </c>
      <c r="G546" s="3" t="s">
        <v>273</v>
      </c>
      <c r="H546" s="3" t="s">
        <v>255</v>
      </c>
      <c r="I546" s="3" t="s">
        <v>923</v>
      </c>
      <c r="J546" s="3" t="s">
        <v>41</v>
      </c>
      <c r="K546" s="2">
        <v>20</v>
      </c>
      <c r="L546" s="1">
        <v>90000</v>
      </c>
      <c r="M546" s="1">
        <v>1800000</v>
      </c>
      <c r="N546" s="1">
        <v>15</v>
      </c>
      <c r="O546" s="1">
        <v>270000</v>
      </c>
    </row>
    <row r="547" spans="1:15">
      <c r="A547" s="6">
        <v>2026</v>
      </c>
      <c r="B547" s="7">
        <v>5</v>
      </c>
      <c r="C547" s="8">
        <v>46146</v>
      </c>
      <c r="D547" s="3" t="s">
        <v>1044</v>
      </c>
      <c r="E547" s="3" t="s">
        <v>736</v>
      </c>
      <c r="F547" s="3" t="s">
        <v>704</v>
      </c>
      <c r="G547" s="3" t="s">
        <v>254</v>
      </c>
      <c r="H547" s="3" t="s">
        <v>255</v>
      </c>
      <c r="I547" s="3" t="s">
        <v>915</v>
      </c>
      <c r="J547" s="3" t="s">
        <v>46</v>
      </c>
      <c r="K547" s="2">
        <v>20</v>
      </c>
      <c r="L547" s="1">
        <v>64700</v>
      </c>
      <c r="M547" s="1">
        <v>1294000</v>
      </c>
      <c r="N547" s="1">
        <v>8</v>
      </c>
      <c r="O547" s="1">
        <v>103520</v>
      </c>
    </row>
    <row r="548" spans="1:15">
      <c r="A548" s="6">
        <v>2026</v>
      </c>
      <c r="B548" s="7">
        <v>5</v>
      </c>
      <c r="C548" s="8">
        <v>46146</v>
      </c>
      <c r="D548" s="3" t="s">
        <v>1045</v>
      </c>
      <c r="E548" s="3" t="s">
        <v>870</v>
      </c>
      <c r="F548" s="3" t="s">
        <v>871</v>
      </c>
      <c r="G548" s="3" t="s">
        <v>273</v>
      </c>
      <c r="H548" s="3" t="s">
        <v>255</v>
      </c>
      <c r="I548" s="3" t="s">
        <v>872</v>
      </c>
      <c r="J548" s="3" t="s">
        <v>41</v>
      </c>
      <c r="K548" s="2">
        <v>10</v>
      </c>
      <c r="L548" s="1">
        <v>90000</v>
      </c>
      <c r="M548" s="1">
        <v>900000</v>
      </c>
      <c r="N548" s="1">
        <v>15</v>
      </c>
      <c r="O548" s="1">
        <v>135000</v>
      </c>
    </row>
    <row r="549" spans="1:15">
      <c r="A549" s="6">
        <v>2026</v>
      </c>
      <c r="B549" s="7">
        <v>5</v>
      </c>
      <c r="C549" s="8">
        <v>46146</v>
      </c>
      <c r="D549" s="3" t="s">
        <v>1045</v>
      </c>
      <c r="E549" s="3" t="s">
        <v>870</v>
      </c>
      <c r="F549" s="3" t="s">
        <v>871</v>
      </c>
      <c r="G549" s="3" t="s">
        <v>273</v>
      </c>
      <c r="H549" s="3" t="s">
        <v>255</v>
      </c>
      <c r="I549" s="3" t="s">
        <v>872</v>
      </c>
      <c r="J549" s="3" t="s">
        <v>41</v>
      </c>
      <c r="K549" s="2">
        <v>20</v>
      </c>
      <c r="L549" s="1">
        <v>90000</v>
      </c>
      <c r="M549" s="1">
        <v>1800000</v>
      </c>
      <c r="N549" s="1">
        <v>15</v>
      </c>
      <c r="O549" s="1">
        <v>270000</v>
      </c>
    </row>
    <row r="550" spans="1:15">
      <c r="A550" s="6">
        <v>2026</v>
      </c>
      <c r="B550" s="7">
        <v>5</v>
      </c>
      <c r="C550" s="8">
        <v>46146</v>
      </c>
      <c r="D550" s="3" t="s">
        <v>1045</v>
      </c>
      <c r="E550" s="3" t="s">
        <v>870</v>
      </c>
      <c r="F550" s="3" t="s">
        <v>871</v>
      </c>
      <c r="G550" s="3" t="s">
        <v>273</v>
      </c>
      <c r="H550" s="3" t="s">
        <v>255</v>
      </c>
      <c r="I550" s="3" t="s">
        <v>872</v>
      </c>
      <c r="J550" s="3" t="s">
        <v>466</v>
      </c>
      <c r="K550" s="2">
        <v>30</v>
      </c>
      <c r="L550" s="1">
        <v>120000</v>
      </c>
      <c r="M550" s="1">
        <v>3600000</v>
      </c>
      <c r="N550" s="1">
        <v>15</v>
      </c>
      <c r="O550" s="1">
        <v>540000</v>
      </c>
    </row>
    <row r="551" spans="1:15">
      <c r="A551" s="6">
        <v>2026</v>
      </c>
      <c r="B551" s="7">
        <v>5</v>
      </c>
      <c r="C551" s="8">
        <v>46147</v>
      </c>
      <c r="D551" s="3" t="s">
        <v>1046</v>
      </c>
      <c r="E551" s="3" t="s">
        <v>1047</v>
      </c>
      <c r="F551" s="3" t="s">
        <v>1001</v>
      </c>
      <c r="G551" s="3" t="s">
        <v>273</v>
      </c>
      <c r="H551" s="3" t="s">
        <v>255</v>
      </c>
      <c r="I551" s="3" t="s">
        <v>1048</v>
      </c>
      <c r="J551" s="3" t="s">
        <v>41</v>
      </c>
      <c r="K551" s="2">
        <v>10</v>
      </c>
      <c r="L551" s="1">
        <v>90000</v>
      </c>
      <c r="M551" s="1">
        <v>900000</v>
      </c>
      <c r="N551" s="1">
        <v>15</v>
      </c>
      <c r="O551" s="1">
        <v>135000</v>
      </c>
    </row>
    <row r="552" spans="1:15">
      <c r="A552" s="6">
        <v>2026</v>
      </c>
      <c r="B552" s="7">
        <v>5</v>
      </c>
      <c r="C552" s="8">
        <v>46147</v>
      </c>
      <c r="D552" s="3" t="s">
        <v>1049</v>
      </c>
      <c r="E552" s="3" t="s">
        <v>912</v>
      </c>
      <c r="F552" s="3" t="s">
        <v>871</v>
      </c>
      <c r="G552" s="3" t="s">
        <v>273</v>
      </c>
      <c r="H552" s="3" t="s">
        <v>255</v>
      </c>
      <c r="I552" s="3" t="s">
        <v>1050</v>
      </c>
      <c r="J552" s="3" t="s">
        <v>41</v>
      </c>
      <c r="K552" s="2">
        <v>20</v>
      </c>
      <c r="L552" s="1">
        <v>90000</v>
      </c>
      <c r="M552" s="1">
        <v>1800000</v>
      </c>
      <c r="N552" s="1">
        <v>15</v>
      </c>
      <c r="O552" s="1">
        <v>270000</v>
      </c>
    </row>
    <row r="553" spans="1:15">
      <c r="A553" s="6">
        <v>2026</v>
      </c>
      <c r="B553" s="7">
        <v>5</v>
      </c>
      <c r="C553" s="8">
        <v>46147</v>
      </c>
      <c r="D553" s="3" t="s">
        <v>1049</v>
      </c>
      <c r="E553" s="3" t="s">
        <v>912</v>
      </c>
      <c r="F553" s="3" t="s">
        <v>871</v>
      </c>
      <c r="G553" s="3" t="s">
        <v>273</v>
      </c>
      <c r="H553" s="3" t="s">
        <v>255</v>
      </c>
      <c r="I553" s="3" t="s">
        <v>1050</v>
      </c>
      <c r="J553" s="3" t="s">
        <v>38</v>
      </c>
      <c r="K553" s="2">
        <v>10</v>
      </c>
      <c r="L553" s="1">
        <v>65000</v>
      </c>
      <c r="M553" s="1">
        <v>650000</v>
      </c>
      <c r="N553" s="1">
        <v>15</v>
      </c>
      <c r="O553" s="1">
        <v>97500</v>
      </c>
    </row>
    <row r="554" spans="1:15">
      <c r="A554" s="6">
        <v>2026</v>
      </c>
      <c r="B554" s="7">
        <v>5</v>
      </c>
      <c r="C554" s="8">
        <v>46147</v>
      </c>
      <c r="D554" s="3" t="s">
        <v>1049</v>
      </c>
      <c r="E554" s="3" t="s">
        <v>912</v>
      </c>
      <c r="F554" s="3" t="s">
        <v>871</v>
      </c>
      <c r="G554" s="3" t="s">
        <v>273</v>
      </c>
      <c r="H554" s="3" t="s">
        <v>255</v>
      </c>
      <c r="I554" s="3" t="s">
        <v>1050</v>
      </c>
      <c r="J554" s="3" t="s">
        <v>466</v>
      </c>
      <c r="K554" s="2">
        <v>10</v>
      </c>
      <c r="L554" s="1">
        <v>120000</v>
      </c>
      <c r="M554" s="1">
        <v>1200000</v>
      </c>
      <c r="N554" s="1">
        <v>15</v>
      </c>
      <c r="O554" s="1">
        <v>180000</v>
      </c>
    </row>
    <row r="555" spans="1:15">
      <c r="A555" s="6">
        <v>2026</v>
      </c>
      <c r="B555" s="7">
        <v>5</v>
      </c>
      <c r="C555" s="8">
        <v>46147</v>
      </c>
      <c r="D555" s="3" t="s">
        <v>1051</v>
      </c>
      <c r="E555" s="3" t="s">
        <v>920</v>
      </c>
      <c r="F555" s="3" t="s">
        <v>871</v>
      </c>
      <c r="G555" s="3" t="s">
        <v>273</v>
      </c>
      <c r="H555" s="3" t="s">
        <v>255</v>
      </c>
      <c r="I555" s="3" t="s">
        <v>942</v>
      </c>
      <c r="J555" s="3" t="s">
        <v>38</v>
      </c>
      <c r="K555" s="2">
        <v>70</v>
      </c>
      <c r="L555" s="1">
        <v>65000</v>
      </c>
      <c r="M555" s="1">
        <v>4550000</v>
      </c>
      <c r="N555" s="1">
        <v>15</v>
      </c>
      <c r="O555" s="1">
        <v>682500</v>
      </c>
    </row>
    <row r="556" spans="1:15">
      <c r="A556" s="6">
        <v>2026</v>
      </c>
      <c r="B556" s="7">
        <v>5</v>
      </c>
      <c r="C556" s="8">
        <v>46147</v>
      </c>
      <c r="D556" s="3" t="s">
        <v>1051</v>
      </c>
      <c r="E556" s="3" t="s">
        <v>920</v>
      </c>
      <c r="F556" s="3" t="s">
        <v>871</v>
      </c>
      <c r="G556" s="3" t="s">
        <v>273</v>
      </c>
      <c r="H556" s="3" t="s">
        <v>255</v>
      </c>
      <c r="I556" s="3" t="s">
        <v>942</v>
      </c>
      <c r="J556" s="3" t="s">
        <v>38</v>
      </c>
      <c r="K556" s="2">
        <v>30</v>
      </c>
      <c r="L556" s="1">
        <v>65000</v>
      </c>
      <c r="M556" s="1">
        <v>1950000</v>
      </c>
      <c r="N556" s="1">
        <v>15</v>
      </c>
      <c r="O556" s="1">
        <v>292500</v>
      </c>
    </row>
    <row r="557" spans="1:15">
      <c r="A557" s="6">
        <v>2026</v>
      </c>
      <c r="B557" s="7">
        <v>5</v>
      </c>
      <c r="C557" s="8">
        <v>46147</v>
      </c>
      <c r="D557" s="3" t="s">
        <v>1052</v>
      </c>
      <c r="E557" s="3" t="s">
        <v>271</v>
      </c>
      <c r="F557" s="3" t="s">
        <v>871</v>
      </c>
      <c r="G557" s="3" t="s">
        <v>273</v>
      </c>
      <c r="H557" s="3" t="s">
        <v>255</v>
      </c>
      <c r="I557" s="3" t="s">
        <v>1053</v>
      </c>
      <c r="J557" s="3" t="s">
        <v>38</v>
      </c>
      <c r="K557" s="2">
        <v>50</v>
      </c>
      <c r="L557" s="1">
        <v>65000</v>
      </c>
      <c r="M557" s="1">
        <v>3250000</v>
      </c>
      <c r="N557" s="1">
        <v>15</v>
      </c>
      <c r="O557" s="1">
        <v>487500</v>
      </c>
    </row>
    <row r="558" spans="1:15">
      <c r="A558" s="6">
        <v>2026</v>
      </c>
      <c r="B558" s="7">
        <v>5</v>
      </c>
      <c r="C558" s="8">
        <v>46147</v>
      </c>
      <c r="D558" s="3" t="s">
        <v>1054</v>
      </c>
      <c r="E558" s="3" t="s">
        <v>886</v>
      </c>
      <c r="F558" s="3" t="s">
        <v>887</v>
      </c>
      <c r="G558" s="3" t="s">
        <v>273</v>
      </c>
      <c r="H558" s="3" t="s">
        <v>255</v>
      </c>
      <c r="I558" s="3" t="s">
        <v>1055</v>
      </c>
      <c r="J558" s="3" t="s">
        <v>46</v>
      </c>
      <c r="K558" s="2">
        <v>50</v>
      </c>
      <c r="L558" s="1">
        <v>64700</v>
      </c>
      <c r="M558" s="1">
        <v>3235000</v>
      </c>
      <c r="N558" s="1">
        <v>15</v>
      </c>
      <c r="O558" s="1">
        <v>485250</v>
      </c>
    </row>
    <row r="559" spans="1:15">
      <c r="A559" s="6">
        <v>2026</v>
      </c>
      <c r="B559" s="7">
        <v>5</v>
      </c>
      <c r="C559" s="8">
        <v>46147</v>
      </c>
      <c r="D559" s="3" t="s">
        <v>1056</v>
      </c>
      <c r="E559" s="3" t="s">
        <v>870</v>
      </c>
      <c r="F559" s="3" t="s">
        <v>871</v>
      </c>
      <c r="G559" s="3" t="s">
        <v>273</v>
      </c>
      <c r="H559" s="3" t="s">
        <v>255</v>
      </c>
      <c r="I559" s="3" t="s">
        <v>962</v>
      </c>
      <c r="J559" s="3" t="s">
        <v>41</v>
      </c>
      <c r="K559" s="2">
        <v>30</v>
      </c>
      <c r="L559" s="1">
        <v>90000</v>
      </c>
      <c r="M559" s="1">
        <v>2700000</v>
      </c>
      <c r="N559" s="1">
        <v>15</v>
      </c>
      <c r="O559" s="1">
        <v>405000</v>
      </c>
    </row>
    <row r="560" spans="1:15">
      <c r="A560" s="6">
        <v>2026</v>
      </c>
      <c r="B560" s="7">
        <v>5</v>
      </c>
      <c r="C560" s="8">
        <v>46147</v>
      </c>
      <c r="D560" s="3" t="s">
        <v>1057</v>
      </c>
      <c r="E560" s="3" t="s">
        <v>975</v>
      </c>
      <c r="F560" s="3" t="s">
        <v>502</v>
      </c>
      <c r="G560" s="3" t="s">
        <v>260</v>
      </c>
      <c r="H560" s="3" t="s">
        <v>255</v>
      </c>
      <c r="I560" s="3" t="s">
        <v>1058</v>
      </c>
      <c r="J560" s="3" t="s">
        <v>38</v>
      </c>
      <c r="K560" s="2">
        <v>5</v>
      </c>
      <c r="L560" s="1">
        <v>65000</v>
      </c>
      <c r="M560" s="1">
        <v>325000</v>
      </c>
      <c r="N560" s="1">
        <v>8</v>
      </c>
      <c r="O560" s="1">
        <v>26000</v>
      </c>
    </row>
    <row r="561" spans="1:15">
      <c r="A561" s="6">
        <v>2026</v>
      </c>
      <c r="B561" s="7">
        <v>5</v>
      </c>
      <c r="C561" s="8">
        <v>46147</v>
      </c>
      <c r="D561" s="3" t="s">
        <v>1059</v>
      </c>
      <c r="E561" s="3" t="s">
        <v>271</v>
      </c>
      <c r="F561" s="3" t="s">
        <v>871</v>
      </c>
      <c r="G561" s="3" t="s">
        <v>273</v>
      </c>
      <c r="H561" s="3" t="s">
        <v>255</v>
      </c>
      <c r="I561" s="3" t="s">
        <v>989</v>
      </c>
      <c r="J561" s="3" t="s">
        <v>466</v>
      </c>
      <c r="K561" s="2">
        <v>10</v>
      </c>
      <c r="L561" s="1">
        <v>120000</v>
      </c>
      <c r="M561" s="1">
        <v>1200000</v>
      </c>
      <c r="N561" s="1">
        <v>15</v>
      </c>
      <c r="O561" s="1">
        <v>180000</v>
      </c>
    </row>
    <row r="562" spans="1:15">
      <c r="A562" s="6">
        <v>2026</v>
      </c>
      <c r="B562" s="7">
        <v>5</v>
      </c>
      <c r="C562" s="8">
        <v>46147</v>
      </c>
      <c r="D562" s="3" t="s">
        <v>1060</v>
      </c>
      <c r="E562" s="3" t="s">
        <v>1061</v>
      </c>
      <c r="F562" s="3" t="s">
        <v>1001</v>
      </c>
      <c r="G562" s="3" t="s">
        <v>273</v>
      </c>
      <c r="H562" s="3" t="s">
        <v>255</v>
      </c>
      <c r="I562" s="3" t="s">
        <v>1062</v>
      </c>
      <c r="J562" s="3" t="s">
        <v>41</v>
      </c>
      <c r="K562" s="2">
        <v>10</v>
      </c>
      <c r="L562" s="1">
        <v>90000</v>
      </c>
      <c r="M562" s="1">
        <v>900000</v>
      </c>
      <c r="N562" s="1">
        <v>15</v>
      </c>
      <c r="O562" s="1">
        <v>135000</v>
      </c>
    </row>
    <row r="563" spans="1:15">
      <c r="A563" s="6">
        <v>2026</v>
      </c>
      <c r="B563" s="7">
        <v>5</v>
      </c>
      <c r="C563" s="8">
        <v>46148</v>
      </c>
      <c r="D563" s="3" t="s">
        <v>1063</v>
      </c>
      <c r="E563" s="3" t="s">
        <v>912</v>
      </c>
      <c r="F563" s="3" t="s">
        <v>871</v>
      </c>
      <c r="G563" s="3" t="s">
        <v>273</v>
      </c>
      <c r="H563" s="3" t="s">
        <v>255</v>
      </c>
      <c r="I563" s="3" t="s">
        <v>1064</v>
      </c>
      <c r="J563" s="3" t="s">
        <v>41</v>
      </c>
      <c r="K563" s="2">
        <v>20</v>
      </c>
      <c r="L563" s="1">
        <v>90000</v>
      </c>
      <c r="M563" s="1">
        <v>1800000</v>
      </c>
      <c r="N563" s="1">
        <v>15</v>
      </c>
      <c r="O563" s="1">
        <v>270000</v>
      </c>
    </row>
    <row r="564" spans="1:15">
      <c r="A564" s="6">
        <v>2026</v>
      </c>
      <c r="B564" s="7">
        <v>5</v>
      </c>
      <c r="C564" s="8">
        <v>46148</v>
      </c>
      <c r="D564" s="3" t="s">
        <v>1065</v>
      </c>
      <c r="E564" s="3" t="s">
        <v>284</v>
      </c>
      <c r="F564" s="3" t="s">
        <v>281</v>
      </c>
      <c r="G564" s="3" t="s">
        <v>273</v>
      </c>
      <c r="H564" s="3" t="s">
        <v>255</v>
      </c>
      <c r="I564" s="3" t="s">
        <v>928</v>
      </c>
      <c r="J564" s="3" t="s">
        <v>21</v>
      </c>
      <c r="K564" s="2">
        <v>22</v>
      </c>
      <c r="L564" s="1">
        <v>40621</v>
      </c>
      <c r="M564" s="1">
        <v>893662</v>
      </c>
      <c r="N564" s="1">
        <v>15</v>
      </c>
      <c r="O564" s="1">
        <v>134049.29999999999</v>
      </c>
    </row>
    <row r="565" spans="1:15">
      <c r="A565" s="6">
        <v>2026</v>
      </c>
      <c r="B565" s="7">
        <v>5</v>
      </c>
      <c r="C565" s="8">
        <v>46148</v>
      </c>
      <c r="D565" s="3" t="s">
        <v>1066</v>
      </c>
      <c r="E565" s="3" t="s">
        <v>912</v>
      </c>
      <c r="F565" s="3" t="s">
        <v>871</v>
      </c>
      <c r="G565" s="3" t="s">
        <v>273</v>
      </c>
      <c r="H565" s="3" t="s">
        <v>255</v>
      </c>
      <c r="I565" s="3" t="s">
        <v>1067</v>
      </c>
      <c r="J565" s="3" t="s">
        <v>38</v>
      </c>
      <c r="K565" s="2">
        <v>100</v>
      </c>
      <c r="L565" s="1">
        <v>65000</v>
      </c>
      <c r="M565" s="1">
        <v>6500000</v>
      </c>
      <c r="N565" s="1">
        <v>15</v>
      </c>
      <c r="O565" s="1">
        <v>975000</v>
      </c>
    </row>
    <row r="566" spans="1:15">
      <c r="A566" s="6">
        <v>2026</v>
      </c>
      <c r="B566" s="7">
        <v>5</v>
      </c>
      <c r="C566" s="8">
        <v>46148</v>
      </c>
      <c r="D566" s="3" t="s">
        <v>1068</v>
      </c>
      <c r="E566" s="3" t="s">
        <v>271</v>
      </c>
      <c r="F566" s="3" t="s">
        <v>887</v>
      </c>
      <c r="G566" s="3" t="s">
        <v>273</v>
      </c>
      <c r="H566" s="3" t="s">
        <v>255</v>
      </c>
      <c r="I566" s="3" t="s">
        <v>995</v>
      </c>
      <c r="J566" s="3" t="s">
        <v>46</v>
      </c>
      <c r="K566" s="2">
        <v>100</v>
      </c>
      <c r="L566" s="1">
        <v>64700</v>
      </c>
      <c r="M566" s="1">
        <v>6470000</v>
      </c>
      <c r="N566" s="1">
        <v>15</v>
      </c>
      <c r="O566" s="1">
        <v>970500</v>
      </c>
    </row>
    <row r="567" spans="1:15">
      <c r="A567" s="6">
        <v>2026</v>
      </c>
      <c r="B567" s="7">
        <v>5</v>
      </c>
      <c r="C567" s="8">
        <v>46148</v>
      </c>
      <c r="D567" s="3" t="s">
        <v>1069</v>
      </c>
      <c r="E567" s="3" t="s">
        <v>284</v>
      </c>
      <c r="F567" s="3" t="s">
        <v>281</v>
      </c>
      <c r="G567" s="3" t="s">
        <v>273</v>
      </c>
      <c r="H567" s="3" t="s">
        <v>255</v>
      </c>
      <c r="I567" s="3" t="s">
        <v>443</v>
      </c>
      <c r="J567" s="3" t="s">
        <v>466</v>
      </c>
      <c r="K567" s="2">
        <v>20</v>
      </c>
      <c r="L567" s="1">
        <v>120000</v>
      </c>
      <c r="M567" s="1">
        <v>2400000</v>
      </c>
      <c r="N567" s="1">
        <v>10</v>
      </c>
      <c r="O567" s="1">
        <v>240000</v>
      </c>
    </row>
    <row r="568" spans="1:15">
      <c r="A568" s="6">
        <v>2026</v>
      </c>
      <c r="B568" s="7">
        <v>5</v>
      </c>
      <c r="C568" s="8">
        <v>46148</v>
      </c>
      <c r="D568" s="3" t="s">
        <v>1070</v>
      </c>
      <c r="E568" s="3" t="s">
        <v>736</v>
      </c>
      <c r="F568" s="3" t="s">
        <v>704</v>
      </c>
      <c r="G568" s="3" t="s">
        <v>254</v>
      </c>
      <c r="H568" s="3" t="s">
        <v>255</v>
      </c>
      <c r="I568" s="3" t="s">
        <v>705</v>
      </c>
      <c r="J568" s="3" t="s">
        <v>46</v>
      </c>
      <c r="K568" s="2">
        <v>10</v>
      </c>
      <c r="L568" s="1">
        <v>64700</v>
      </c>
      <c r="M568" s="1">
        <v>647000</v>
      </c>
      <c r="N568" s="1">
        <v>8</v>
      </c>
      <c r="O568" s="1">
        <v>51760</v>
      </c>
    </row>
    <row r="569" spans="1:15">
      <c r="A569" s="6">
        <v>2026</v>
      </c>
      <c r="B569" s="7">
        <v>5</v>
      </c>
      <c r="C569" s="8">
        <v>46148</v>
      </c>
      <c r="D569" s="3" t="s">
        <v>1071</v>
      </c>
      <c r="E569" s="3" t="s">
        <v>547</v>
      </c>
      <c r="F569" s="3" t="s">
        <v>464</v>
      </c>
      <c r="G569" s="3" t="s">
        <v>260</v>
      </c>
      <c r="H569" s="3" t="s">
        <v>255</v>
      </c>
      <c r="I569" s="3" t="s">
        <v>784</v>
      </c>
      <c r="J569" s="3" t="s">
        <v>46</v>
      </c>
      <c r="K569" s="2">
        <v>5</v>
      </c>
      <c r="L569" s="1">
        <v>64700</v>
      </c>
      <c r="M569" s="1">
        <v>323500</v>
      </c>
      <c r="N569" s="1">
        <v>13</v>
      </c>
      <c r="O569" s="1">
        <v>42055</v>
      </c>
    </row>
    <row r="570" spans="1:15">
      <c r="A570" s="6">
        <v>2026</v>
      </c>
      <c r="B570" s="7">
        <v>5</v>
      </c>
      <c r="C570" s="8">
        <v>46149</v>
      </c>
      <c r="D570" s="3" t="s">
        <v>1072</v>
      </c>
      <c r="E570" s="3" t="s">
        <v>271</v>
      </c>
      <c r="F570" s="3" t="s">
        <v>871</v>
      </c>
      <c r="G570" s="3" t="s">
        <v>273</v>
      </c>
      <c r="H570" s="3" t="s">
        <v>255</v>
      </c>
      <c r="I570" s="3" t="s">
        <v>1073</v>
      </c>
      <c r="J570" s="3" t="s">
        <v>466</v>
      </c>
      <c r="K570" s="2">
        <v>50</v>
      </c>
      <c r="L570" s="1">
        <v>120000</v>
      </c>
      <c r="M570" s="1">
        <v>6000000</v>
      </c>
      <c r="N570" s="1">
        <v>15</v>
      </c>
      <c r="O570" s="1">
        <v>900000</v>
      </c>
    </row>
    <row r="571" spans="1:15">
      <c r="A571" s="6">
        <v>2026</v>
      </c>
      <c r="B571" s="7">
        <v>5</v>
      </c>
      <c r="C571" s="8">
        <v>46149</v>
      </c>
      <c r="D571" s="3" t="s">
        <v>1074</v>
      </c>
      <c r="E571" s="3" t="s">
        <v>912</v>
      </c>
      <c r="F571" s="3" t="s">
        <v>871</v>
      </c>
      <c r="G571" s="3" t="s">
        <v>273</v>
      </c>
      <c r="H571" s="3" t="s">
        <v>255</v>
      </c>
      <c r="I571" s="3" t="s">
        <v>1075</v>
      </c>
      <c r="J571" s="3" t="s">
        <v>38</v>
      </c>
      <c r="K571" s="2">
        <v>50</v>
      </c>
      <c r="L571" s="1">
        <v>65000</v>
      </c>
      <c r="M571" s="1">
        <v>3250000</v>
      </c>
      <c r="N571" s="1">
        <v>15</v>
      </c>
      <c r="O571" s="1">
        <v>487500</v>
      </c>
    </row>
    <row r="572" spans="1:15">
      <c r="A572" s="6">
        <v>2026</v>
      </c>
      <c r="B572" s="7">
        <v>5</v>
      </c>
      <c r="C572" s="8">
        <v>46149</v>
      </c>
      <c r="D572" s="3" t="s">
        <v>1074</v>
      </c>
      <c r="E572" s="3" t="s">
        <v>912</v>
      </c>
      <c r="F572" s="3" t="s">
        <v>871</v>
      </c>
      <c r="G572" s="3" t="s">
        <v>273</v>
      </c>
      <c r="H572" s="3" t="s">
        <v>255</v>
      </c>
      <c r="I572" s="3" t="s">
        <v>1075</v>
      </c>
      <c r="J572" s="3" t="s">
        <v>41</v>
      </c>
      <c r="K572" s="2">
        <v>20</v>
      </c>
      <c r="L572" s="1">
        <v>90000</v>
      </c>
      <c r="M572" s="1">
        <v>1800000</v>
      </c>
      <c r="N572" s="1">
        <v>15</v>
      </c>
      <c r="O572" s="1">
        <v>270000</v>
      </c>
    </row>
    <row r="573" spans="1:15">
      <c r="A573" s="6">
        <v>2026</v>
      </c>
      <c r="B573" s="7">
        <v>5</v>
      </c>
      <c r="C573" s="8">
        <v>46149</v>
      </c>
      <c r="D573" s="3" t="s">
        <v>1076</v>
      </c>
      <c r="E573" s="3" t="s">
        <v>284</v>
      </c>
      <c r="F573" s="3" t="s">
        <v>281</v>
      </c>
      <c r="G573" s="3" t="s">
        <v>273</v>
      </c>
      <c r="H573" s="3" t="s">
        <v>255</v>
      </c>
      <c r="I573" s="3" t="s">
        <v>314</v>
      </c>
      <c r="J573" s="3" t="s">
        <v>466</v>
      </c>
      <c r="K573" s="2">
        <v>23</v>
      </c>
      <c r="L573" s="1">
        <v>120000</v>
      </c>
      <c r="M573" s="1">
        <v>2760000</v>
      </c>
      <c r="N573" s="1">
        <v>15</v>
      </c>
      <c r="O573" s="1">
        <v>414000</v>
      </c>
    </row>
    <row r="574" spans="1:15">
      <c r="A574" s="6">
        <v>2026</v>
      </c>
      <c r="B574" s="7">
        <v>5</v>
      </c>
      <c r="C574" s="8">
        <v>46149</v>
      </c>
      <c r="D574" s="3" t="s">
        <v>1076</v>
      </c>
      <c r="E574" s="3" t="s">
        <v>284</v>
      </c>
      <c r="F574" s="3" t="s">
        <v>281</v>
      </c>
      <c r="G574" s="3" t="s">
        <v>273</v>
      </c>
      <c r="H574" s="3" t="s">
        <v>255</v>
      </c>
      <c r="I574" s="3" t="s">
        <v>314</v>
      </c>
      <c r="J574" s="3" t="s">
        <v>466</v>
      </c>
      <c r="K574" s="2">
        <v>7</v>
      </c>
      <c r="L574" s="1">
        <v>120000</v>
      </c>
      <c r="M574" s="1">
        <v>840000</v>
      </c>
      <c r="N574" s="1">
        <v>15</v>
      </c>
      <c r="O574" s="1">
        <v>126000</v>
      </c>
    </row>
    <row r="575" spans="1:15">
      <c r="A575" s="6">
        <v>2026</v>
      </c>
      <c r="B575" s="7">
        <v>5</v>
      </c>
      <c r="C575" s="8">
        <v>46149</v>
      </c>
      <c r="D575" s="3" t="s">
        <v>1077</v>
      </c>
      <c r="E575" s="3" t="s">
        <v>874</v>
      </c>
      <c r="F575" s="3" t="s">
        <v>875</v>
      </c>
      <c r="G575" s="3" t="s">
        <v>273</v>
      </c>
      <c r="H575" s="3" t="s">
        <v>255</v>
      </c>
      <c r="I575" s="3" t="s">
        <v>971</v>
      </c>
      <c r="J575" s="3" t="s">
        <v>466</v>
      </c>
      <c r="K575" s="2">
        <v>40</v>
      </c>
      <c r="L575" s="1">
        <v>120000</v>
      </c>
      <c r="M575" s="1">
        <v>4800000</v>
      </c>
      <c r="N575" s="1">
        <v>15</v>
      </c>
      <c r="O575" s="1">
        <v>720000</v>
      </c>
    </row>
    <row r="576" spans="1:15">
      <c r="A576" s="6">
        <v>2026</v>
      </c>
      <c r="B576" s="7">
        <v>5</v>
      </c>
      <c r="C576" s="8">
        <v>46149</v>
      </c>
      <c r="D576" s="3" t="s">
        <v>1078</v>
      </c>
      <c r="E576" s="3" t="s">
        <v>703</v>
      </c>
      <c r="F576" s="3" t="s">
        <v>704</v>
      </c>
      <c r="G576" s="3" t="s">
        <v>254</v>
      </c>
      <c r="H576" s="3" t="s">
        <v>255</v>
      </c>
      <c r="I576" s="3" t="s">
        <v>1079</v>
      </c>
      <c r="J576" s="3" t="s">
        <v>46</v>
      </c>
      <c r="K576" s="2">
        <v>20</v>
      </c>
      <c r="L576" s="1">
        <v>64700</v>
      </c>
      <c r="M576" s="1">
        <v>1294000</v>
      </c>
      <c r="N576" s="1">
        <v>10</v>
      </c>
      <c r="O576" s="1">
        <v>129400</v>
      </c>
    </row>
    <row r="577" spans="1:15">
      <c r="A577" s="6">
        <v>2026</v>
      </c>
      <c r="B577" s="7">
        <v>5</v>
      </c>
      <c r="C577" s="8">
        <v>46149</v>
      </c>
      <c r="D577" s="3" t="s">
        <v>1080</v>
      </c>
      <c r="E577" s="3" t="s">
        <v>547</v>
      </c>
      <c r="F577" s="3" t="s">
        <v>464</v>
      </c>
      <c r="G577" s="3" t="s">
        <v>260</v>
      </c>
      <c r="H577" s="3" t="s">
        <v>255</v>
      </c>
      <c r="I577" s="3" t="s">
        <v>1081</v>
      </c>
      <c r="J577" s="3" t="s">
        <v>46</v>
      </c>
      <c r="K577" s="2">
        <v>20</v>
      </c>
      <c r="L577" s="1">
        <v>64700</v>
      </c>
      <c r="M577" s="1">
        <v>1294000</v>
      </c>
      <c r="N577" s="1">
        <v>13</v>
      </c>
      <c r="O577" s="1">
        <v>168220</v>
      </c>
    </row>
    <row r="578" spans="1:15">
      <c r="A578" s="6">
        <v>2026</v>
      </c>
      <c r="B578" s="7">
        <v>5</v>
      </c>
      <c r="C578" s="8">
        <v>46149</v>
      </c>
      <c r="D578" s="3" t="s">
        <v>1082</v>
      </c>
      <c r="E578" s="3" t="s">
        <v>677</v>
      </c>
      <c r="F578" s="3" t="s">
        <v>464</v>
      </c>
      <c r="G578" s="3" t="s">
        <v>260</v>
      </c>
      <c r="H578" s="3" t="s">
        <v>255</v>
      </c>
      <c r="I578" s="3" t="s">
        <v>791</v>
      </c>
      <c r="J578" s="3" t="s">
        <v>466</v>
      </c>
      <c r="K578" s="2">
        <v>10</v>
      </c>
      <c r="L578" s="1">
        <v>120000</v>
      </c>
      <c r="M578" s="1">
        <v>1200000</v>
      </c>
      <c r="N578" s="1">
        <v>10</v>
      </c>
      <c r="O578" s="1">
        <v>120000</v>
      </c>
    </row>
    <row r="579" spans="1:15">
      <c r="A579" s="6">
        <v>2026</v>
      </c>
      <c r="B579" s="7">
        <v>5</v>
      </c>
      <c r="C579" s="8">
        <v>46150</v>
      </c>
      <c r="D579" s="3" t="s">
        <v>1083</v>
      </c>
      <c r="E579" s="3" t="s">
        <v>870</v>
      </c>
      <c r="F579" s="3" t="s">
        <v>871</v>
      </c>
      <c r="G579" s="3" t="s">
        <v>273</v>
      </c>
      <c r="H579" s="3" t="s">
        <v>255</v>
      </c>
      <c r="I579" s="3" t="s">
        <v>883</v>
      </c>
      <c r="J579" s="3" t="s">
        <v>41</v>
      </c>
      <c r="K579" s="2">
        <v>50</v>
      </c>
      <c r="L579" s="1">
        <v>90000</v>
      </c>
      <c r="M579" s="1">
        <v>4500000</v>
      </c>
      <c r="N579" s="1">
        <v>15</v>
      </c>
      <c r="O579" s="1">
        <v>675000</v>
      </c>
    </row>
    <row r="580" spans="1:15">
      <c r="A580" s="6">
        <v>2026</v>
      </c>
      <c r="B580" s="7">
        <v>5</v>
      </c>
      <c r="C580" s="8">
        <v>46150</v>
      </c>
      <c r="D580" s="3" t="s">
        <v>1084</v>
      </c>
      <c r="E580" s="3" t="s">
        <v>547</v>
      </c>
      <c r="F580" s="3" t="s">
        <v>464</v>
      </c>
      <c r="G580" s="3" t="s">
        <v>260</v>
      </c>
      <c r="H580" s="3" t="s">
        <v>255</v>
      </c>
      <c r="I580" s="3" t="s">
        <v>1085</v>
      </c>
      <c r="J580" s="3" t="s">
        <v>46</v>
      </c>
      <c r="K580" s="2">
        <v>40</v>
      </c>
      <c r="L580" s="1">
        <v>64700</v>
      </c>
      <c r="M580" s="1">
        <v>2588000</v>
      </c>
      <c r="N580" s="1">
        <v>13</v>
      </c>
      <c r="O580" s="1">
        <v>336440</v>
      </c>
    </row>
    <row r="581" spans="1:15">
      <c r="A581" s="6">
        <v>2026</v>
      </c>
      <c r="B581" s="7">
        <v>5</v>
      </c>
      <c r="C581" s="8">
        <v>46150</v>
      </c>
      <c r="D581" s="3" t="s">
        <v>1086</v>
      </c>
      <c r="E581" s="3" t="s">
        <v>677</v>
      </c>
      <c r="F581" s="3" t="s">
        <v>464</v>
      </c>
      <c r="G581" s="3" t="s">
        <v>260</v>
      </c>
      <c r="H581" s="3" t="s">
        <v>255</v>
      </c>
      <c r="I581" s="3" t="s">
        <v>1087</v>
      </c>
      <c r="J581" s="3" t="s">
        <v>466</v>
      </c>
      <c r="K581" s="2">
        <v>10</v>
      </c>
      <c r="L581" s="1">
        <v>120000</v>
      </c>
      <c r="M581" s="1">
        <v>1200000</v>
      </c>
      <c r="N581" s="1">
        <v>8</v>
      </c>
      <c r="O581" s="1">
        <v>96000</v>
      </c>
    </row>
    <row r="582" spans="1:15">
      <c r="A582" s="6">
        <v>2026</v>
      </c>
      <c r="B582" s="7">
        <v>5</v>
      </c>
      <c r="C582" s="8">
        <v>46150</v>
      </c>
      <c r="D582" s="3" t="s">
        <v>1088</v>
      </c>
      <c r="E582" s="3" t="s">
        <v>1089</v>
      </c>
      <c r="F582" s="3" t="s">
        <v>864</v>
      </c>
      <c r="G582" s="3" t="s">
        <v>273</v>
      </c>
      <c r="H582" s="3" t="s">
        <v>255</v>
      </c>
      <c r="I582" s="3" t="s">
        <v>865</v>
      </c>
      <c r="J582" s="3" t="s">
        <v>41</v>
      </c>
      <c r="K582" s="2">
        <v>10</v>
      </c>
      <c r="L582" s="1">
        <v>90000</v>
      </c>
      <c r="M582" s="1">
        <v>900000</v>
      </c>
      <c r="N582" s="1">
        <v>5</v>
      </c>
      <c r="O582" s="1">
        <v>45000</v>
      </c>
    </row>
    <row r="583" spans="1:15">
      <c r="A583" s="6">
        <v>2026</v>
      </c>
      <c r="B583" s="7">
        <v>5</v>
      </c>
      <c r="C583" s="8">
        <v>46150</v>
      </c>
      <c r="D583" s="3" t="s">
        <v>1088</v>
      </c>
      <c r="E583" s="3" t="s">
        <v>1089</v>
      </c>
      <c r="F583" s="3" t="s">
        <v>864</v>
      </c>
      <c r="G583" s="3" t="s">
        <v>273</v>
      </c>
      <c r="H583" s="3" t="s">
        <v>255</v>
      </c>
      <c r="I583" s="3" t="s">
        <v>865</v>
      </c>
      <c r="J583" s="3" t="s">
        <v>41</v>
      </c>
      <c r="K583" s="2">
        <v>190</v>
      </c>
      <c r="L583" s="1">
        <v>90000</v>
      </c>
      <c r="M583" s="1">
        <v>17100000</v>
      </c>
      <c r="N583" s="1">
        <v>5</v>
      </c>
      <c r="O583" s="1">
        <v>855000</v>
      </c>
    </row>
    <row r="584" spans="1:15">
      <c r="A584" s="6">
        <v>2026</v>
      </c>
      <c r="B584" s="7">
        <v>5</v>
      </c>
      <c r="C584" s="8">
        <v>46150</v>
      </c>
      <c r="D584" s="3" t="s">
        <v>1090</v>
      </c>
      <c r="E584" s="3" t="s">
        <v>271</v>
      </c>
      <c r="F584" s="3" t="s">
        <v>887</v>
      </c>
      <c r="G584" s="3" t="s">
        <v>273</v>
      </c>
      <c r="H584" s="3" t="s">
        <v>255</v>
      </c>
      <c r="I584" s="3" t="s">
        <v>913</v>
      </c>
      <c r="J584" s="3" t="s">
        <v>46</v>
      </c>
      <c r="K584" s="2">
        <v>10</v>
      </c>
      <c r="L584" s="1">
        <v>64700</v>
      </c>
      <c r="M584" s="1">
        <v>647000</v>
      </c>
      <c r="N584" s="1">
        <v>15</v>
      </c>
      <c r="O584" s="1">
        <v>97050</v>
      </c>
    </row>
    <row r="585" spans="1:15">
      <c r="A585" s="6">
        <v>2026</v>
      </c>
      <c r="B585" s="7">
        <v>5</v>
      </c>
      <c r="C585" s="8">
        <v>46154</v>
      </c>
      <c r="D585" s="3" t="s">
        <v>1091</v>
      </c>
      <c r="E585" s="3" t="s">
        <v>332</v>
      </c>
      <c r="F585" s="3" t="s">
        <v>333</v>
      </c>
      <c r="G585" s="3" t="s">
        <v>260</v>
      </c>
      <c r="H585" s="3" t="s">
        <v>255</v>
      </c>
      <c r="I585" s="3" t="s">
        <v>289</v>
      </c>
      <c r="J585" s="3" t="s">
        <v>21</v>
      </c>
      <c r="K585" s="2">
        <v>-98</v>
      </c>
      <c r="L585" s="1">
        <v>40621</v>
      </c>
      <c r="M585" s="1">
        <v>-3980858</v>
      </c>
      <c r="N585" s="1">
        <v>12</v>
      </c>
      <c r="O585" s="1">
        <v>477702.96</v>
      </c>
    </row>
    <row r="586" spans="1:15">
      <c r="A586" s="6">
        <v>2026</v>
      </c>
      <c r="B586" s="7">
        <v>5</v>
      </c>
      <c r="C586" s="8">
        <v>46154</v>
      </c>
      <c r="D586" s="3" t="s">
        <v>1092</v>
      </c>
      <c r="E586" s="3" t="s">
        <v>547</v>
      </c>
      <c r="F586" s="3" t="s">
        <v>464</v>
      </c>
      <c r="G586" s="3" t="s">
        <v>260</v>
      </c>
      <c r="H586" s="3" t="s">
        <v>255</v>
      </c>
      <c r="I586" s="3" t="s">
        <v>859</v>
      </c>
      <c r="J586" s="3" t="s">
        <v>46</v>
      </c>
      <c r="K586" s="2">
        <v>40</v>
      </c>
      <c r="L586" s="1">
        <v>64700</v>
      </c>
      <c r="M586" s="1">
        <v>2588000</v>
      </c>
      <c r="N586" s="1">
        <v>13</v>
      </c>
      <c r="O586" s="1">
        <v>336440</v>
      </c>
    </row>
    <row r="587" spans="1:15">
      <c r="A587" s="6">
        <v>2026</v>
      </c>
      <c r="B587" s="7">
        <v>5</v>
      </c>
      <c r="C587" s="8">
        <v>46154</v>
      </c>
      <c r="D587" s="3" t="s">
        <v>1093</v>
      </c>
      <c r="E587" s="3" t="s">
        <v>547</v>
      </c>
      <c r="F587" s="3" t="s">
        <v>464</v>
      </c>
      <c r="G587" s="3" t="s">
        <v>260</v>
      </c>
      <c r="H587" s="3" t="s">
        <v>255</v>
      </c>
      <c r="I587" s="3" t="s">
        <v>1030</v>
      </c>
      <c r="J587" s="3" t="s">
        <v>466</v>
      </c>
      <c r="K587" s="2">
        <v>34</v>
      </c>
      <c r="L587" s="1">
        <v>120000</v>
      </c>
      <c r="M587" s="1">
        <v>4080000</v>
      </c>
      <c r="N587" s="1">
        <v>10</v>
      </c>
      <c r="O587" s="1">
        <v>408000</v>
      </c>
    </row>
    <row r="588" spans="1:15">
      <c r="A588" s="6">
        <v>2026</v>
      </c>
      <c r="B588" s="7">
        <v>5</v>
      </c>
      <c r="C588" s="8">
        <v>46154</v>
      </c>
      <c r="D588" s="3" t="s">
        <v>1094</v>
      </c>
      <c r="E588" s="3" t="s">
        <v>912</v>
      </c>
      <c r="F588" s="3" t="s">
        <v>871</v>
      </c>
      <c r="G588" s="3" t="s">
        <v>273</v>
      </c>
      <c r="H588" s="3" t="s">
        <v>255</v>
      </c>
      <c r="I588" s="3" t="s">
        <v>934</v>
      </c>
      <c r="J588" s="3" t="s">
        <v>466</v>
      </c>
      <c r="K588" s="2">
        <v>20</v>
      </c>
      <c r="L588" s="1">
        <v>120000</v>
      </c>
      <c r="M588" s="1">
        <v>2400000</v>
      </c>
      <c r="N588" s="1">
        <v>15</v>
      </c>
      <c r="O588" s="1">
        <v>360000</v>
      </c>
    </row>
    <row r="589" spans="1:15">
      <c r="A589" s="6">
        <v>2026</v>
      </c>
      <c r="B589" s="7">
        <v>5</v>
      </c>
      <c r="C589" s="8">
        <v>46154</v>
      </c>
      <c r="D589" s="3" t="s">
        <v>1094</v>
      </c>
      <c r="E589" s="3" t="s">
        <v>912</v>
      </c>
      <c r="F589" s="3" t="s">
        <v>871</v>
      </c>
      <c r="G589" s="3" t="s">
        <v>273</v>
      </c>
      <c r="H589" s="3" t="s">
        <v>255</v>
      </c>
      <c r="I589" s="3" t="s">
        <v>934</v>
      </c>
      <c r="J589" s="3" t="s">
        <v>41</v>
      </c>
      <c r="K589" s="2">
        <v>20</v>
      </c>
      <c r="L589" s="1">
        <v>90000</v>
      </c>
      <c r="M589" s="1">
        <v>1800000</v>
      </c>
      <c r="N589" s="1">
        <v>15</v>
      </c>
      <c r="O589" s="1">
        <v>270000</v>
      </c>
    </row>
    <row r="590" spans="1:15">
      <c r="A590" s="6">
        <v>2026</v>
      </c>
      <c r="B590" s="7">
        <v>5</v>
      </c>
      <c r="C590" s="8">
        <v>46154</v>
      </c>
      <c r="D590" s="3" t="s">
        <v>1095</v>
      </c>
      <c r="E590" s="3" t="s">
        <v>736</v>
      </c>
      <c r="F590" s="3" t="s">
        <v>704</v>
      </c>
      <c r="G590" s="3" t="s">
        <v>254</v>
      </c>
      <c r="H590" s="3" t="s">
        <v>255</v>
      </c>
      <c r="I590" s="3" t="s">
        <v>915</v>
      </c>
      <c r="J590" s="3" t="s">
        <v>46</v>
      </c>
      <c r="K590" s="2">
        <v>30</v>
      </c>
      <c r="L590" s="1">
        <v>64700</v>
      </c>
      <c r="M590" s="1">
        <v>1941000</v>
      </c>
      <c r="N590" s="1">
        <v>8</v>
      </c>
      <c r="O590" s="1">
        <v>155280</v>
      </c>
    </row>
    <row r="591" spans="1:15">
      <c r="A591" s="6">
        <v>2026</v>
      </c>
      <c r="B591" s="7">
        <v>5</v>
      </c>
      <c r="C591" s="8">
        <v>46154</v>
      </c>
      <c r="D591" s="3" t="s">
        <v>1096</v>
      </c>
      <c r="E591" s="3" t="s">
        <v>489</v>
      </c>
      <c r="F591" s="3" t="s">
        <v>464</v>
      </c>
      <c r="G591" s="3" t="s">
        <v>260</v>
      </c>
      <c r="H591" s="3" t="s">
        <v>255</v>
      </c>
      <c r="I591" s="3" t="s">
        <v>490</v>
      </c>
      <c r="J591" s="3" t="s">
        <v>466</v>
      </c>
      <c r="K591" s="2">
        <v>20</v>
      </c>
      <c r="L591" s="1">
        <v>120000</v>
      </c>
      <c r="M591" s="1">
        <v>2400000</v>
      </c>
      <c r="N591" s="1">
        <v>8</v>
      </c>
      <c r="O591" s="1">
        <v>192000</v>
      </c>
    </row>
    <row r="592" spans="1:15">
      <c r="A592" s="6">
        <v>2026</v>
      </c>
      <c r="B592" s="7">
        <v>5</v>
      </c>
      <c r="C592" s="8">
        <v>46154</v>
      </c>
      <c r="D592" s="3" t="s">
        <v>1097</v>
      </c>
      <c r="E592" s="3" t="s">
        <v>271</v>
      </c>
      <c r="F592" s="3" t="s">
        <v>871</v>
      </c>
      <c r="G592" s="3" t="s">
        <v>273</v>
      </c>
      <c r="H592" s="3" t="s">
        <v>255</v>
      </c>
      <c r="I592" s="3" t="s">
        <v>1098</v>
      </c>
      <c r="J592" s="3" t="s">
        <v>466</v>
      </c>
      <c r="K592" s="2">
        <v>100</v>
      </c>
      <c r="L592" s="1">
        <v>120000</v>
      </c>
      <c r="M592" s="1">
        <v>12000000</v>
      </c>
      <c r="N592" s="1">
        <v>15</v>
      </c>
      <c r="O592" s="1">
        <v>1800000</v>
      </c>
    </row>
    <row r="593" spans="1:15">
      <c r="A593" s="6">
        <v>2026</v>
      </c>
      <c r="B593" s="7">
        <v>5</v>
      </c>
      <c r="C593" s="8">
        <v>46154</v>
      </c>
      <c r="D593" s="3" t="s">
        <v>1099</v>
      </c>
      <c r="E593" s="3" t="s">
        <v>1100</v>
      </c>
      <c r="F593" s="3" t="s">
        <v>1101</v>
      </c>
      <c r="G593" s="3" t="s">
        <v>273</v>
      </c>
      <c r="H593" s="3" t="s">
        <v>255</v>
      </c>
      <c r="I593" s="3" t="s">
        <v>498</v>
      </c>
      <c r="J593" s="3" t="s">
        <v>38</v>
      </c>
      <c r="K593" s="2">
        <v>50</v>
      </c>
      <c r="L593" s="1">
        <v>65000</v>
      </c>
      <c r="M593" s="1">
        <v>3250000</v>
      </c>
      <c r="N593" s="1">
        <v>15</v>
      </c>
      <c r="O593" s="1">
        <v>487500</v>
      </c>
    </row>
    <row r="594" spans="1:15">
      <c r="A594" s="6">
        <v>2026</v>
      </c>
      <c r="B594" s="7">
        <v>5</v>
      </c>
      <c r="C594" s="8">
        <v>46154</v>
      </c>
      <c r="D594" s="3" t="s">
        <v>1102</v>
      </c>
      <c r="E594" s="3" t="s">
        <v>271</v>
      </c>
      <c r="F594" s="3" t="s">
        <v>871</v>
      </c>
      <c r="G594" s="3" t="s">
        <v>273</v>
      </c>
      <c r="H594" s="3" t="s">
        <v>255</v>
      </c>
      <c r="I594" s="3" t="s">
        <v>989</v>
      </c>
      <c r="J594" s="3" t="s">
        <v>38</v>
      </c>
      <c r="K594" s="2">
        <v>25</v>
      </c>
      <c r="L594" s="1">
        <v>65000</v>
      </c>
      <c r="M594" s="1">
        <v>1625000</v>
      </c>
      <c r="N594" s="1">
        <v>15</v>
      </c>
      <c r="O594" s="1">
        <v>243750</v>
      </c>
    </row>
    <row r="595" spans="1:15">
      <c r="A595" s="6">
        <v>2026</v>
      </c>
      <c r="B595" s="7">
        <v>5</v>
      </c>
      <c r="C595" s="8">
        <v>46154</v>
      </c>
      <c r="D595" s="3" t="s">
        <v>1103</v>
      </c>
      <c r="E595" s="3" t="s">
        <v>874</v>
      </c>
      <c r="F595" s="3" t="s">
        <v>875</v>
      </c>
      <c r="G595" s="3" t="s">
        <v>273</v>
      </c>
      <c r="H595" s="3" t="s">
        <v>255</v>
      </c>
      <c r="I595" s="3" t="s">
        <v>971</v>
      </c>
      <c r="J595" s="3" t="s">
        <v>466</v>
      </c>
      <c r="K595" s="2">
        <v>120</v>
      </c>
      <c r="L595" s="1">
        <v>120000</v>
      </c>
      <c r="M595" s="1">
        <v>14400000</v>
      </c>
      <c r="N595" s="1">
        <v>15</v>
      </c>
      <c r="O595" s="1">
        <v>2160000</v>
      </c>
    </row>
    <row r="596" spans="1:15">
      <c r="A596" s="6">
        <v>2026</v>
      </c>
      <c r="B596" s="7">
        <v>5</v>
      </c>
      <c r="C596" s="8">
        <v>46155</v>
      </c>
      <c r="D596" s="3" t="s">
        <v>1104</v>
      </c>
      <c r="E596" s="3" t="s">
        <v>886</v>
      </c>
      <c r="F596" s="3" t="s">
        <v>887</v>
      </c>
      <c r="G596" s="3" t="s">
        <v>273</v>
      </c>
      <c r="H596" s="3" t="s">
        <v>255</v>
      </c>
      <c r="I596" s="3" t="s">
        <v>1105</v>
      </c>
      <c r="J596" s="3" t="s">
        <v>46</v>
      </c>
      <c r="K596" s="2">
        <v>50</v>
      </c>
      <c r="L596" s="1">
        <v>64700</v>
      </c>
      <c r="M596" s="1">
        <v>3235000</v>
      </c>
      <c r="N596" s="1">
        <v>15</v>
      </c>
      <c r="O596" s="1">
        <v>485250</v>
      </c>
    </row>
    <row r="597" spans="1:15">
      <c r="A597" s="6">
        <v>2026</v>
      </c>
      <c r="B597" s="7">
        <v>5</v>
      </c>
      <c r="C597" s="8">
        <v>46155</v>
      </c>
      <c r="D597" s="3" t="s">
        <v>1106</v>
      </c>
      <c r="E597" s="3" t="s">
        <v>271</v>
      </c>
      <c r="F597" s="3" t="s">
        <v>871</v>
      </c>
      <c r="G597" s="3" t="s">
        <v>273</v>
      </c>
      <c r="H597" s="3" t="s">
        <v>255</v>
      </c>
      <c r="I597" s="3" t="s">
        <v>1107</v>
      </c>
      <c r="J597" s="3" t="s">
        <v>38</v>
      </c>
      <c r="K597" s="2">
        <v>20</v>
      </c>
      <c r="L597" s="1">
        <v>65000</v>
      </c>
      <c r="M597" s="1">
        <v>1300000</v>
      </c>
      <c r="N597" s="1">
        <v>15</v>
      </c>
      <c r="O597" s="1">
        <v>195000</v>
      </c>
    </row>
    <row r="598" spans="1:15">
      <c r="A598" s="6">
        <v>2026</v>
      </c>
      <c r="B598" s="7">
        <v>5</v>
      </c>
      <c r="C598" s="8">
        <v>46155</v>
      </c>
      <c r="D598" s="3" t="s">
        <v>1106</v>
      </c>
      <c r="E598" s="3" t="s">
        <v>271</v>
      </c>
      <c r="F598" s="3" t="s">
        <v>871</v>
      </c>
      <c r="G598" s="3" t="s">
        <v>273</v>
      </c>
      <c r="H598" s="3" t="s">
        <v>255</v>
      </c>
      <c r="I598" s="3" t="s">
        <v>1107</v>
      </c>
      <c r="J598" s="3" t="s">
        <v>41</v>
      </c>
      <c r="K598" s="2">
        <v>20</v>
      </c>
      <c r="L598" s="1">
        <v>90000</v>
      </c>
      <c r="M598" s="1">
        <v>1800000</v>
      </c>
      <c r="N598" s="1">
        <v>15</v>
      </c>
      <c r="O598" s="1">
        <v>270000</v>
      </c>
    </row>
    <row r="599" spans="1:15">
      <c r="A599" s="6">
        <v>2026</v>
      </c>
      <c r="B599" s="7">
        <v>5</v>
      </c>
      <c r="C599" s="8">
        <v>46155</v>
      </c>
      <c r="D599" s="3" t="s">
        <v>1108</v>
      </c>
      <c r="E599" s="3" t="s">
        <v>271</v>
      </c>
      <c r="F599" s="3" t="s">
        <v>871</v>
      </c>
      <c r="G599" s="3" t="s">
        <v>273</v>
      </c>
      <c r="H599" s="3" t="s">
        <v>255</v>
      </c>
      <c r="I599" s="3" t="s">
        <v>902</v>
      </c>
      <c r="J599" s="3" t="s">
        <v>41</v>
      </c>
      <c r="K599" s="2">
        <v>100</v>
      </c>
      <c r="L599" s="1">
        <v>90000</v>
      </c>
      <c r="M599" s="1">
        <v>9000000</v>
      </c>
      <c r="N599" s="1">
        <v>15</v>
      </c>
      <c r="O599" s="1">
        <v>1350000</v>
      </c>
    </row>
    <row r="600" spans="1:15">
      <c r="A600" s="6">
        <v>2026</v>
      </c>
      <c r="B600" s="7">
        <v>5</v>
      </c>
      <c r="C600" s="8">
        <v>46155</v>
      </c>
      <c r="D600" s="3" t="s">
        <v>1109</v>
      </c>
      <c r="E600" s="3" t="s">
        <v>260</v>
      </c>
      <c r="F600" s="3" t="s">
        <v>32</v>
      </c>
      <c r="G600" s="3" t="s">
        <v>260</v>
      </c>
      <c r="H600" s="3" t="s">
        <v>255</v>
      </c>
      <c r="I600" s="3" t="s">
        <v>957</v>
      </c>
      <c r="J600" s="3" t="s">
        <v>41</v>
      </c>
      <c r="K600" s="2">
        <v>700</v>
      </c>
      <c r="L600" s="1">
        <v>90000</v>
      </c>
      <c r="M600" s="1">
        <v>63000000</v>
      </c>
      <c r="N600" s="1">
        <v>3</v>
      </c>
      <c r="O600" s="1">
        <v>1890000</v>
      </c>
    </row>
    <row r="601" spans="1:15">
      <c r="A601" s="6">
        <v>2026</v>
      </c>
      <c r="B601" s="7">
        <v>5</v>
      </c>
      <c r="C601" s="8">
        <v>46155</v>
      </c>
      <c r="D601" s="3" t="s">
        <v>1110</v>
      </c>
      <c r="E601" s="3" t="s">
        <v>489</v>
      </c>
      <c r="F601" s="3" t="s">
        <v>464</v>
      </c>
      <c r="G601" s="3" t="s">
        <v>260</v>
      </c>
      <c r="H601" s="3" t="s">
        <v>255</v>
      </c>
      <c r="I601" s="3" t="s">
        <v>529</v>
      </c>
      <c r="J601" s="3" t="s">
        <v>466</v>
      </c>
      <c r="K601" s="2">
        <v>40</v>
      </c>
      <c r="L601" s="1">
        <v>120000</v>
      </c>
      <c r="M601" s="1">
        <v>4800000</v>
      </c>
      <c r="N601" s="1">
        <v>10</v>
      </c>
      <c r="O601" s="1">
        <v>480000</v>
      </c>
    </row>
    <row r="602" spans="1:15">
      <c r="A602" s="6">
        <v>2026</v>
      </c>
      <c r="B602" s="7">
        <v>5</v>
      </c>
      <c r="C602" s="8">
        <v>46155</v>
      </c>
      <c r="D602" s="3" t="s">
        <v>1111</v>
      </c>
      <c r="E602" s="3" t="s">
        <v>547</v>
      </c>
      <c r="F602" s="3" t="s">
        <v>464</v>
      </c>
      <c r="G602" s="3" t="s">
        <v>260</v>
      </c>
      <c r="H602" s="3" t="s">
        <v>255</v>
      </c>
      <c r="I602" s="3" t="s">
        <v>784</v>
      </c>
      <c r="J602" s="3" t="s">
        <v>46</v>
      </c>
      <c r="K602" s="2">
        <v>10</v>
      </c>
      <c r="L602" s="1">
        <v>64700</v>
      </c>
      <c r="M602" s="1">
        <v>647000</v>
      </c>
      <c r="N602" s="1">
        <v>13</v>
      </c>
      <c r="O602" s="1">
        <v>84110</v>
      </c>
    </row>
    <row r="603" spans="1:15">
      <c r="A603" s="6">
        <v>2026</v>
      </c>
      <c r="B603" s="7">
        <v>5</v>
      </c>
      <c r="C603" s="8">
        <v>46155</v>
      </c>
      <c r="D603" s="3" t="s">
        <v>1112</v>
      </c>
      <c r="E603" s="3" t="s">
        <v>463</v>
      </c>
      <c r="F603" s="3" t="s">
        <v>464</v>
      </c>
      <c r="G603" s="3" t="s">
        <v>260</v>
      </c>
      <c r="H603" s="3" t="s">
        <v>255</v>
      </c>
      <c r="I603" s="3" t="s">
        <v>479</v>
      </c>
      <c r="J603" s="3" t="s">
        <v>46</v>
      </c>
      <c r="K603" s="2">
        <v>40</v>
      </c>
      <c r="L603" s="1">
        <v>64700</v>
      </c>
      <c r="M603" s="1">
        <v>2588000</v>
      </c>
      <c r="N603" s="1">
        <v>8</v>
      </c>
      <c r="O603" s="1">
        <v>207040</v>
      </c>
    </row>
    <row r="604" spans="1:15">
      <c r="A604" s="6">
        <v>2026</v>
      </c>
      <c r="B604" s="7">
        <v>5</v>
      </c>
      <c r="C604" s="8">
        <v>46155</v>
      </c>
      <c r="D604" s="3" t="s">
        <v>1113</v>
      </c>
      <c r="E604" s="3" t="s">
        <v>501</v>
      </c>
      <c r="F604" s="3" t="s">
        <v>502</v>
      </c>
      <c r="G604" s="3" t="s">
        <v>260</v>
      </c>
      <c r="H604" s="3" t="s">
        <v>255</v>
      </c>
      <c r="I604" s="3" t="s">
        <v>602</v>
      </c>
      <c r="J604" s="3" t="s">
        <v>38</v>
      </c>
      <c r="K604" s="2">
        <v>20</v>
      </c>
      <c r="L604" s="1">
        <v>65000</v>
      </c>
      <c r="M604" s="1">
        <v>1300000</v>
      </c>
      <c r="N604" s="1">
        <v>8</v>
      </c>
      <c r="O604" s="1">
        <v>104000</v>
      </c>
    </row>
    <row r="605" spans="1:15">
      <c r="A605" s="6">
        <v>2026</v>
      </c>
      <c r="B605" s="7">
        <v>5</v>
      </c>
      <c r="C605" s="8">
        <v>46156</v>
      </c>
      <c r="D605" s="3" t="s">
        <v>1114</v>
      </c>
      <c r="E605" s="3" t="s">
        <v>736</v>
      </c>
      <c r="F605" s="3" t="s">
        <v>704</v>
      </c>
      <c r="G605" s="3" t="s">
        <v>254</v>
      </c>
      <c r="H605" s="3" t="s">
        <v>255</v>
      </c>
      <c r="I605" s="3" t="s">
        <v>737</v>
      </c>
      <c r="J605" s="3" t="s">
        <v>46</v>
      </c>
      <c r="K605" s="2">
        <v>25</v>
      </c>
      <c r="L605" s="1">
        <v>64700</v>
      </c>
      <c r="M605" s="1">
        <v>1617500</v>
      </c>
      <c r="N605" s="1">
        <v>12</v>
      </c>
      <c r="O605" s="1">
        <v>194100</v>
      </c>
    </row>
    <row r="606" spans="1:15">
      <c r="A606" s="6">
        <v>2026</v>
      </c>
      <c r="B606" s="7">
        <v>5</v>
      </c>
      <c r="C606" s="8">
        <v>46156</v>
      </c>
      <c r="D606" s="3" t="s">
        <v>1115</v>
      </c>
      <c r="E606" s="3" t="s">
        <v>912</v>
      </c>
      <c r="F606" s="3" t="s">
        <v>871</v>
      </c>
      <c r="G606" s="3" t="s">
        <v>273</v>
      </c>
      <c r="H606" s="3" t="s">
        <v>255</v>
      </c>
      <c r="I606" s="3" t="s">
        <v>913</v>
      </c>
      <c r="J606" s="3" t="s">
        <v>41</v>
      </c>
      <c r="K606" s="2">
        <v>100</v>
      </c>
      <c r="L606" s="1">
        <v>90000</v>
      </c>
      <c r="M606" s="1">
        <v>9000000</v>
      </c>
      <c r="N606" s="1">
        <v>15</v>
      </c>
      <c r="O606" s="1">
        <v>1350000</v>
      </c>
    </row>
    <row r="607" spans="1:15">
      <c r="A607" s="6">
        <v>2026</v>
      </c>
      <c r="B607" s="7">
        <v>5</v>
      </c>
      <c r="C607" s="8">
        <v>46156</v>
      </c>
      <c r="D607" s="3" t="s">
        <v>1116</v>
      </c>
      <c r="E607" s="3" t="s">
        <v>1089</v>
      </c>
      <c r="F607" s="3" t="s">
        <v>864</v>
      </c>
      <c r="G607" s="3" t="s">
        <v>273</v>
      </c>
      <c r="H607" s="3" t="s">
        <v>255</v>
      </c>
      <c r="I607" s="3" t="s">
        <v>865</v>
      </c>
      <c r="J607" s="3" t="s">
        <v>38</v>
      </c>
      <c r="K607" s="2">
        <v>100</v>
      </c>
      <c r="L607" s="1">
        <v>65000</v>
      </c>
      <c r="M607" s="1">
        <v>6500000</v>
      </c>
      <c r="N607" s="1">
        <v>6</v>
      </c>
      <c r="O607" s="1">
        <v>390000</v>
      </c>
    </row>
    <row r="608" spans="1:15">
      <c r="A608" s="6">
        <v>2026</v>
      </c>
      <c r="B608" s="7">
        <v>5</v>
      </c>
      <c r="C608" s="8">
        <v>46157</v>
      </c>
      <c r="D608" s="3" t="s">
        <v>1117</v>
      </c>
      <c r="E608" s="3" t="s">
        <v>920</v>
      </c>
      <c r="F608" s="3" t="s">
        <v>871</v>
      </c>
      <c r="G608" s="3" t="s">
        <v>273</v>
      </c>
      <c r="H608" s="3" t="s">
        <v>255</v>
      </c>
      <c r="I608" s="3" t="s">
        <v>1118</v>
      </c>
      <c r="J608" s="3" t="s">
        <v>466</v>
      </c>
      <c r="K608" s="2">
        <v>20</v>
      </c>
      <c r="L608" s="1">
        <v>120000</v>
      </c>
      <c r="M608" s="1">
        <v>2400000</v>
      </c>
      <c r="N608" s="1">
        <v>15</v>
      </c>
      <c r="O608" s="1">
        <v>360000</v>
      </c>
    </row>
    <row r="609" spans="1:15">
      <c r="A609" s="6">
        <v>2026</v>
      </c>
      <c r="B609" s="7">
        <v>5</v>
      </c>
      <c r="C609" s="8">
        <v>46157</v>
      </c>
      <c r="D609" s="3" t="s">
        <v>1117</v>
      </c>
      <c r="E609" s="3" t="s">
        <v>920</v>
      </c>
      <c r="F609" s="3" t="s">
        <v>871</v>
      </c>
      <c r="G609" s="3" t="s">
        <v>273</v>
      </c>
      <c r="H609" s="3" t="s">
        <v>255</v>
      </c>
      <c r="I609" s="3" t="s">
        <v>1118</v>
      </c>
      <c r="J609" s="3" t="s">
        <v>41</v>
      </c>
      <c r="K609" s="2">
        <v>20</v>
      </c>
      <c r="L609" s="1">
        <v>90000</v>
      </c>
      <c r="M609" s="1">
        <v>1800000</v>
      </c>
      <c r="N609" s="1">
        <v>15</v>
      </c>
      <c r="O609" s="1">
        <v>270000</v>
      </c>
    </row>
    <row r="610" spans="1:15">
      <c r="A610" s="6">
        <v>2026</v>
      </c>
      <c r="B610" s="7">
        <v>5</v>
      </c>
      <c r="C610" s="8">
        <v>46157</v>
      </c>
      <c r="D610" s="3" t="s">
        <v>1117</v>
      </c>
      <c r="E610" s="3" t="s">
        <v>920</v>
      </c>
      <c r="F610" s="3" t="s">
        <v>871</v>
      </c>
      <c r="G610" s="3" t="s">
        <v>273</v>
      </c>
      <c r="H610" s="3" t="s">
        <v>255</v>
      </c>
      <c r="I610" s="3" t="s">
        <v>1118</v>
      </c>
      <c r="J610" s="3" t="s">
        <v>38</v>
      </c>
      <c r="K610" s="2">
        <v>20</v>
      </c>
      <c r="L610" s="1">
        <v>65000</v>
      </c>
      <c r="M610" s="1">
        <v>1300000</v>
      </c>
      <c r="N610" s="1">
        <v>15</v>
      </c>
      <c r="O610" s="1">
        <v>195000</v>
      </c>
    </row>
    <row r="611" spans="1:15">
      <c r="A611" s="6">
        <v>2026</v>
      </c>
      <c r="B611" s="7">
        <v>5</v>
      </c>
      <c r="C611" s="8">
        <v>46157</v>
      </c>
      <c r="D611" s="3" t="s">
        <v>1119</v>
      </c>
      <c r="E611" s="3" t="s">
        <v>886</v>
      </c>
      <c r="F611" s="3" t="s">
        <v>887</v>
      </c>
      <c r="G611" s="3" t="s">
        <v>273</v>
      </c>
      <c r="H611" s="3" t="s">
        <v>255</v>
      </c>
      <c r="I611" s="3" t="s">
        <v>1055</v>
      </c>
      <c r="J611" s="3" t="s">
        <v>46</v>
      </c>
      <c r="K611" s="2">
        <v>50</v>
      </c>
      <c r="L611" s="1">
        <v>64700</v>
      </c>
      <c r="M611" s="1">
        <v>3235000</v>
      </c>
      <c r="N611" s="1">
        <v>15</v>
      </c>
      <c r="O611" s="1">
        <v>485250</v>
      </c>
    </row>
    <row r="612" spans="1:15">
      <c r="A612" s="6">
        <v>2026</v>
      </c>
      <c r="B612" s="7">
        <v>5</v>
      </c>
      <c r="C612" s="8">
        <v>46157</v>
      </c>
      <c r="D612" s="3" t="s">
        <v>1120</v>
      </c>
      <c r="E612" s="3" t="s">
        <v>1121</v>
      </c>
      <c r="F612" s="3" t="s">
        <v>1027</v>
      </c>
      <c r="G612" s="3" t="s">
        <v>273</v>
      </c>
      <c r="H612" s="3" t="s">
        <v>255</v>
      </c>
      <c r="I612" s="3" t="s">
        <v>602</v>
      </c>
      <c r="J612" s="3" t="s">
        <v>41</v>
      </c>
      <c r="K612" s="2">
        <v>41</v>
      </c>
      <c r="L612" s="1">
        <v>90000</v>
      </c>
      <c r="M612" s="1">
        <v>3690000</v>
      </c>
      <c r="N612" s="1">
        <v>15</v>
      </c>
      <c r="O612" s="1">
        <v>553500</v>
      </c>
    </row>
    <row r="613" spans="1:15">
      <c r="A613" s="6">
        <v>2026</v>
      </c>
      <c r="B613" s="7">
        <v>5</v>
      </c>
      <c r="C613" s="8">
        <v>46157</v>
      </c>
      <c r="D613" s="3" t="s">
        <v>1122</v>
      </c>
      <c r="E613" s="3" t="s">
        <v>1047</v>
      </c>
      <c r="F613" s="3" t="s">
        <v>1001</v>
      </c>
      <c r="G613" s="3" t="s">
        <v>273</v>
      </c>
      <c r="H613" s="3" t="s">
        <v>255</v>
      </c>
      <c r="I613" s="3" t="s">
        <v>1123</v>
      </c>
      <c r="J613" s="3" t="s">
        <v>41</v>
      </c>
      <c r="K613" s="2">
        <v>10</v>
      </c>
      <c r="L613" s="1">
        <v>90000</v>
      </c>
      <c r="M613" s="1">
        <v>900000</v>
      </c>
      <c r="N613" s="1">
        <v>15</v>
      </c>
      <c r="O613" s="1">
        <v>135000</v>
      </c>
    </row>
    <row r="614" spans="1:15">
      <c r="A614" s="6">
        <v>2026</v>
      </c>
      <c r="B614" s="7">
        <v>5</v>
      </c>
      <c r="C614" s="8">
        <v>46157</v>
      </c>
      <c r="D614" s="3" t="s">
        <v>1124</v>
      </c>
      <c r="E614" s="3" t="s">
        <v>1125</v>
      </c>
      <c r="F614" s="3" t="s">
        <v>1001</v>
      </c>
      <c r="G614" s="3" t="s">
        <v>273</v>
      </c>
      <c r="H614" s="3" t="s">
        <v>255</v>
      </c>
      <c r="I614" s="3" t="s">
        <v>302</v>
      </c>
      <c r="J614" s="3" t="s">
        <v>41</v>
      </c>
      <c r="K614" s="2">
        <v>5</v>
      </c>
      <c r="L614" s="1">
        <v>90000</v>
      </c>
      <c r="M614" s="1">
        <v>450000</v>
      </c>
      <c r="N614" s="1">
        <v>15</v>
      </c>
      <c r="O614" s="1">
        <v>67500</v>
      </c>
    </row>
    <row r="615" spans="1:15">
      <c r="A615" s="6">
        <v>2026</v>
      </c>
      <c r="B615" s="7">
        <v>5</v>
      </c>
      <c r="C615" s="8">
        <v>46157</v>
      </c>
      <c r="D615" s="3" t="s">
        <v>1126</v>
      </c>
      <c r="E615" s="3" t="s">
        <v>1127</v>
      </c>
      <c r="F615" s="3" t="s">
        <v>894</v>
      </c>
      <c r="G615" s="3" t="s">
        <v>273</v>
      </c>
      <c r="H615" s="3" t="s">
        <v>255</v>
      </c>
      <c r="I615" s="3" t="s">
        <v>665</v>
      </c>
      <c r="J615" s="3" t="s">
        <v>41</v>
      </c>
      <c r="K615" s="2">
        <v>50</v>
      </c>
      <c r="L615" s="1">
        <v>90000</v>
      </c>
      <c r="M615" s="1">
        <v>4500000</v>
      </c>
      <c r="N615" s="1">
        <v>8</v>
      </c>
      <c r="O615" s="1">
        <v>360000</v>
      </c>
    </row>
    <row r="616" spans="1:15">
      <c r="A616" s="6">
        <v>2026</v>
      </c>
      <c r="B616" s="7">
        <v>5</v>
      </c>
      <c r="C616" s="8">
        <v>46157</v>
      </c>
      <c r="D616" s="3" t="s">
        <v>1128</v>
      </c>
      <c r="E616" s="3" t="s">
        <v>547</v>
      </c>
      <c r="F616" s="3" t="s">
        <v>464</v>
      </c>
      <c r="G616" s="3" t="s">
        <v>260</v>
      </c>
      <c r="H616" s="3" t="s">
        <v>255</v>
      </c>
      <c r="I616" s="3" t="s">
        <v>1030</v>
      </c>
      <c r="J616" s="3" t="s">
        <v>466</v>
      </c>
      <c r="K616" s="2">
        <v>30</v>
      </c>
      <c r="L616" s="1">
        <v>120000</v>
      </c>
      <c r="M616" s="1">
        <v>3600000</v>
      </c>
      <c r="N616" s="1">
        <v>8</v>
      </c>
      <c r="O616" s="1">
        <v>288000</v>
      </c>
    </row>
    <row r="617" spans="1:15">
      <c r="A617" s="6">
        <v>2026</v>
      </c>
      <c r="B617" s="7">
        <v>5</v>
      </c>
      <c r="C617" s="8">
        <v>46157</v>
      </c>
      <c r="D617" s="3" t="s">
        <v>1129</v>
      </c>
      <c r="E617" s="3" t="s">
        <v>912</v>
      </c>
      <c r="F617" s="3" t="s">
        <v>871</v>
      </c>
      <c r="G617" s="3" t="s">
        <v>273</v>
      </c>
      <c r="H617" s="3" t="s">
        <v>255</v>
      </c>
      <c r="I617" s="3" t="s">
        <v>944</v>
      </c>
      <c r="J617" s="3" t="s">
        <v>41</v>
      </c>
      <c r="K617" s="2">
        <v>30</v>
      </c>
      <c r="L617" s="1">
        <v>90000</v>
      </c>
      <c r="M617" s="1">
        <v>2700000</v>
      </c>
      <c r="N617" s="1">
        <v>15</v>
      </c>
      <c r="O617" s="1">
        <v>405000</v>
      </c>
    </row>
    <row r="618" spans="1:15">
      <c r="A618" s="6">
        <v>2026</v>
      </c>
      <c r="B618" s="7">
        <v>5</v>
      </c>
      <c r="C618" s="8">
        <v>46157</v>
      </c>
      <c r="D618" s="3" t="s">
        <v>1130</v>
      </c>
      <c r="E618" s="3" t="s">
        <v>893</v>
      </c>
      <c r="F618" s="3" t="s">
        <v>894</v>
      </c>
      <c r="G618" s="3" t="s">
        <v>273</v>
      </c>
      <c r="H618" s="3" t="s">
        <v>255</v>
      </c>
      <c r="I618" s="3" t="s">
        <v>635</v>
      </c>
      <c r="J618" s="3" t="s">
        <v>41</v>
      </c>
      <c r="K618" s="2">
        <v>100</v>
      </c>
      <c r="L618" s="1">
        <v>90000</v>
      </c>
      <c r="M618" s="1">
        <v>9000000</v>
      </c>
      <c r="N618" s="1">
        <v>15</v>
      </c>
      <c r="O618" s="1">
        <v>1350000</v>
      </c>
    </row>
    <row r="619" spans="1:15">
      <c r="A619" s="6">
        <v>2026</v>
      </c>
      <c r="B619" s="7">
        <v>5</v>
      </c>
      <c r="C619" s="8">
        <v>46157</v>
      </c>
      <c r="D619" s="3" t="s">
        <v>1131</v>
      </c>
      <c r="E619" s="3" t="s">
        <v>271</v>
      </c>
      <c r="F619" s="3" t="s">
        <v>871</v>
      </c>
      <c r="G619" s="3" t="s">
        <v>273</v>
      </c>
      <c r="H619" s="3" t="s">
        <v>255</v>
      </c>
      <c r="I619" s="3" t="s">
        <v>917</v>
      </c>
      <c r="J619" s="3" t="s">
        <v>38</v>
      </c>
      <c r="K619" s="2">
        <v>50</v>
      </c>
      <c r="L619" s="1">
        <v>65000</v>
      </c>
      <c r="M619" s="1">
        <v>3250000</v>
      </c>
      <c r="N619" s="1">
        <v>15</v>
      </c>
      <c r="O619" s="1">
        <v>487500</v>
      </c>
    </row>
    <row r="620" spans="1:15">
      <c r="A620" s="6">
        <v>2026</v>
      </c>
      <c r="B620" s="7">
        <v>5</v>
      </c>
      <c r="C620" s="8">
        <v>46157</v>
      </c>
      <c r="D620" s="3" t="s">
        <v>1132</v>
      </c>
      <c r="E620" s="3" t="s">
        <v>1100</v>
      </c>
      <c r="F620" s="3" t="s">
        <v>1101</v>
      </c>
      <c r="G620" s="3" t="s">
        <v>273</v>
      </c>
      <c r="H620" s="3" t="s">
        <v>255</v>
      </c>
      <c r="I620" s="3" t="s">
        <v>498</v>
      </c>
      <c r="J620" s="3" t="s">
        <v>38</v>
      </c>
      <c r="K620" s="2">
        <v>50</v>
      </c>
      <c r="L620" s="1">
        <v>65000</v>
      </c>
      <c r="M620" s="1">
        <v>3250000</v>
      </c>
      <c r="N620" s="1">
        <v>15</v>
      </c>
      <c r="O620" s="1">
        <v>487500</v>
      </c>
    </row>
    <row r="621" spans="1:15">
      <c r="A621" s="6">
        <v>2026</v>
      </c>
      <c r="B621" s="7">
        <v>5</v>
      </c>
      <c r="C621" s="8">
        <v>46157</v>
      </c>
      <c r="D621" s="3" t="s">
        <v>1133</v>
      </c>
      <c r="E621" s="3" t="s">
        <v>899</v>
      </c>
      <c r="F621" s="3" t="s">
        <v>871</v>
      </c>
      <c r="G621" s="3" t="s">
        <v>273</v>
      </c>
      <c r="H621" s="3" t="s">
        <v>255</v>
      </c>
      <c r="I621" s="3" t="s">
        <v>1134</v>
      </c>
      <c r="J621" s="3" t="s">
        <v>466</v>
      </c>
      <c r="K621" s="2">
        <v>10</v>
      </c>
      <c r="L621" s="1">
        <v>120000</v>
      </c>
      <c r="M621" s="1">
        <v>1200000</v>
      </c>
      <c r="N621" s="1">
        <v>15</v>
      </c>
      <c r="O621" s="1">
        <v>180000</v>
      </c>
    </row>
    <row r="622" spans="1:15">
      <c r="A622" s="6">
        <v>2026</v>
      </c>
      <c r="B622" s="7">
        <v>5</v>
      </c>
      <c r="C622" s="8">
        <v>46157</v>
      </c>
      <c r="D622" s="3" t="s">
        <v>1133</v>
      </c>
      <c r="E622" s="3" t="s">
        <v>899</v>
      </c>
      <c r="F622" s="3" t="s">
        <v>871</v>
      </c>
      <c r="G622" s="3" t="s">
        <v>273</v>
      </c>
      <c r="H622" s="3" t="s">
        <v>255</v>
      </c>
      <c r="I622" s="3" t="s">
        <v>1134</v>
      </c>
      <c r="J622" s="3" t="s">
        <v>38</v>
      </c>
      <c r="K622" s="2">
        <v>10</v>
      </c>
      <c r="L622" s="1">
        <v>65000</v>
      </c>
      <c r="M622" s="1">
        <v>650000</v>
      </c>
      <c r="N622" s="1">
        <v>15</v>
      </c>
      <c r="O622" s="1">
        <v>97500</v>
      </c>
    </row>
    <row r="623" spans="1:15">
      <c r="A623" s="6">
        <v>2026</v>
      </c>
      <c r="B623" s="7">
        <v>5</v>
      </c>
      <c r="C623" s="8">
        <v>46157</v>
      </c>
      <c r="D623" s="3" t="s">
        <v>1133</v>
      </c>
      <c r="E623" s="3" t="s">
        <v>899</v>
      </c>
      <c r="F623" s="3" t="s">
        <v>871</v>
      </c>
      <c r="G623" s="3" t="s">
        <v>273</v>
      </c>
      <c r="H623" s="3" t="s">
        <v>255</v>
      </c>
      <c r="I623" s="3" t="s">
        <v>1134</v>
      </c>
      <c r="J623" s="3" t="s">
        <v>41</v>
      </c>
      <c r="K623" s="2">
        <v>10</v>
      </c>
      <c r="L623" s="1">
        <v>90000</v>
      </c>
      <c r="M623" s="1">
        <v>900000</v>
      </c>
      <c r="N623" s="1">
        <v>15</v>
      </c>
      <c r="O623" s="1">
        <v>135000</v>
      </c>
    </row>
    <row r="624" spans="1:15">
      <c r="A624" s="6">
        <v>2026</v>
      </c>
      <c r="B624" s="7">
        <v>5</v>
      </c>
      <c r="C624" s="8">
        <v>46157</v>
      </c>
      <c r="D624" s="3" t="s">
        <v>1135</v>
      </c>
      <c r="E624" s="3" t="s">
        <v>874</v>
      </c>
      <c r="F624" s="3" t="s">
        <v>875</v>
      </c>
      <c r="G624" s="3" t="s">
        <v>273</v>
      </c>
      <c r="H624" s="3" t="s">
        <v>255</v>
      </c>
      <c r="I624" s="3" t="s">
        <v>1136</v>
      </c>
      <c r="J624" s="3" t="s">
        <v>38</v>
      </c>
      <c r="K624" s="2">
        <v>18</v>
      </c>
      <c r="L624" s="1">
        <v>65000</v>
      </c>
      <c r="M624" s="1">
        <v>1170000</v>
      </c>
      <c r="N624" s="1">
        <v>15</v>
      </c>
      <c r="O624" s="1">
        <v>175500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FE17-6FF5-D946-BA23-3802724FB478}">
  <dimension ref="A1:O25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3"/>
    </sheetView>
  </sheetViews>
  <sheetFormatPr baseColWidth="10" defaultRowHeight="16"/>
  <cols>
    <col min="3" max="3" width="13.83203125" customWidth="1"/>
    <col min="4" max="4" width="21.1640625" customWidth="1"/>
    <col min="5" max="5" width="22" customWidth="1"/>
    <col min="6" max="6" width="27.5" customWidth="1"/>
    <col min="7" max="7" width="14.1640625" customWidth="1"/>
    <col min="9" max="9" width="31.33203125" customWidth="1"/>
    <col min="10" max="10" width="44" customWidth="1"/>
    <col min="11" max="11" width="13" customWidth="1"/>
    <col min="12" max="12" width="11" bestFit="1" customWidth="1"/>
    <col min="13" max="13" width="12.33203125" bestFit="1" customWidth="1"/>
    <col min="14" max="15" width="11" bestFit="1" customWidth="1"/>
  </cols>
  <sheetData>
    <row r="1" spans="1:15">
      <c r="K1" s="5">
        <f>SUBTOTAL(9,K3:K1048576)</f>
        <v>11777</v>
      </c>
      <c r="M1" s="5">
        <f>SUBTOTAL(9,M3:M1048576)</f>
        <v>718324826.39999998</v>
      </c>
    </row>
    <row r="2" spans="1:15" ht="2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6">
        <v>2025</v>
      </c>
      <c r="B3" s="7">
        <v>3</v>
      </c>
      <c r="C3" s="8">
        <v>45721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2">
        <v>20</v>
      </c>
      <c r="L3" s="1">
        <v>36955.08</v>
      </c>
      <c r="M3" s="1">
        <v>739101.6</v>
      </c>
      <c r="N3" s="1">
        <v>15</v>
      </c>
      <c r="O3" s="1">
        <v>110865.24</v>
      </c>
    </row>
    <row r="4" spans="1:15">
      <c r="A4" s="6">
        <v>2025</v>
      </c>
      <c r="B4" s="7">
        <v>3</v>
      </c>
      <c r="C4" s="8">
        <v>45728</v>
      </c>
      <c r="D4" s="3" t="s">
        <v>22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23</v>
      </c>
      <c r="J4" s="3" t="s">
        <v>21</v>
      </c>
      <c r="K4" s="2">
        <v>30</v>
      </c>
      <c r="L4" s="1">
        <v>36955.08</v>
      </c>
      <c r="M4" s="1">
        <v>1108652.3999999999</v>
      </c>
      <c r="N4" s="1">
        <v>15</v>
      </c>
      <c r="O4" s="1">
        <v>166297.85999999999</v>
      </c>
    </row>
    <row r="5" spans="1:15">
      <c r="A5" s="6">
        <v>2025</v>
      </c>
      <c r="B5" s="7">
        <v>3</v>
      </c>
      <c r="C5" s="8">
        <v>45733</v>
      </c>
      <c r="D5" s="3" t="s">
        <v>24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25</v>
      </c>
      <c r="J5" s="3" t="s">
        <v>21</v>
      </c>
      <c r="K5" s="2">
        <v>60</v>
      </c>
      <c r="L5" s="1">
        <v>36955.08</v>
      </c>
      <c r="M5" s="1">
        <v>2217304.7999999998</v>
      </c>
      <c r="N5" s="1">
        <v>15</v>
      </c>
      <c r="O5" s="1">
        <v>332595.71999999997</v>
      </c>
    </row>
    <row r="6" spans="1:15">
      <c r="A6" s="6">
        <v>2025</v>
      </c>
      <c r="B6" s="7">
        <v>3</v>
      </c>
      <c r="C6" s="8">
        <v>45733</v>
      </c>
      <c r="D6" s="3" t="s">
        <v>26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2">
        <v>50</v>
      </c>
      <c r="L6" s="1">
        <v>36955.08</v>
      </c>
      <c r="M6" s="1">
        <v>1847754</v>
      </c>
      <c r="N6" s="1">
        <v>15</v>
      </c>
      <c r="O6" s="1">
        <v>277163.09999999998</v>
      </c>
    </row>
    <row r="7" spans="1:15">
      <c r="A7" s="6">
        <v>2025</v>
      </c>
      <c r="B7" s="7">
        <v>4</v>
      </c>
      <c r="C7" s="8">
        <v>45749</v>
      </c>
      <c r="D7" s="3" t="s">
        <v>27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28</v>
      </c>
      <c r="J7" s="3" t="s">
        <v>21</v>
      </c>
      <c r="K7" s="2">
        <v>43</v>
      </c>
      <c r="L7" s="1">
        <v>36955.08</v>
      </c>
      <c r="M7" s="1">
        <v>1589068.44</v>
      </c>
      <c r="N7" s="1">
        <v>15</v>
      </c>
      <c r="O7" s="1">
        <v>238360.27</v>
      </c>
    </row>
    <row r="8" spans="1:15">
      <c r="A8" s="6">
        <v>2025</v>
      </c>
      <c r="B8" s="7">
        <v>4</v>
      </c>
      <c r="C8" s="8">
        <v>45751</v>
      </c>
      <c r="D8" s="3" t="s">
        <v>29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30</v>
      </c>
      <c r="J8" s="3" t="s">
        <v>21</v>
      </c>
      <c r="K8" s="2">
        <v>50</v>
      </c>
      <c r="L8" s="1">
        <v>36955.08</v>
      </c>
      <c r="M8" s="1">
        <v>1847754</v>
      </c>
      <c r="N8" s="1">
        <v>15</v>
      </c>
      <c r="O8" s="1">
        <v>277163.09999999998</v>
      </c>
    </row>
    <row r="9" spans="1:15">
      <c r="A9" s="6">
        <v>2025</v>
      </c>
      <c r="B9" s="7">
        <v>5</v>
      </c>
      <c r="C9" s="8">
        <v>45798</v>
      </c>
      <c r="D9" s="3" t="s">
        <v>31</v>
      </c>
      <c r="E9" s="3"/>
      <c r="F9" s="3" t="s">
        <v>32</v>
      </c>
      <c r="G9" s="3" t="s">
        <v>18</v>
      </c>
      <c r="H9" s="3" t="s">
        <v>19</v>
      </c>
      <c r="I9" s="3" t="s">
        <v>33</v>
      </c>
      <c r="J9" s="3" t="s">
        <v>21</v>
      </c>
      <c r="K9" s="1">
        <v>3827</v>
      </c>
      <c r="L9" s="1">
        <v>36955.08</v>
      </c>
      <c r="M9" s="1">
        <v>141427091.16</v>
      </c>
      <c r="N9" s="1">
        <v>3</v>
      </c>
      <c r="O9" s="1">
        <v>4242812.7300000004</v>
      </c>
    </row>
    <row r="10" spans="1:15">
      <c r="A10" s="6">
        <v>2026</v>
      </c>
      <c r="B10" s="7">
        <v>1</v>
      </c>
      <c r="C10" s="8">
        <v>46035</v>
      </c>
      <c r="D10" s="3" t="s">
        <v>34</v>
      </c>
      <c r="E10" s="3" t="s">
        <v>35</v>
      </c>
      <c r="F10" s="3" t="s">
        <v>36</v>
      </c>
      <c r="G10" s="3" t="s">
        <v>18</v>
      </c>
      <c r="H10" s="3" t="s">
        <v>19</v>
      </c>
      <c r="I10" s="3" t="s">
        <v>37</v>
      </c>
      <c r="J10" s="3" t="s">
        <v>38</v>
      </c>
      <c r="K10" s="2">
        <v>10</v>
      </c>
      <c r="L10" s="1">
        <v>65000</v>
      </c>
      <c r="M10" s="1">
        <v>650000</v>
      </c>
      <c r="N10" s="1">
        <v>5</v>
      </c>
      <c r="O10" s="1">
        <v>32500</v>
      </c>
    </row>
    <row r="11" spans="1:15">
      <c r="A11" s="6">
        <v>2026</v>
      </c>
      <c r="B11" s="7">
        <v>1</v>
      </c>
      <c r="C11" s="8">
        <v>46036</v>
      </c>
      <c r="D11" s="3" t="s">
        <v>39</v>
      </c>
      <c r="E11" s="3" t="s">
        <v>35</v>
      </c>
      <c r="F11" s="3" t="s">
        <v>36</v>
      </c>
      <c r="G11" s="3" t="s">
        <v>18</v>
      </c>
      <c r="H11" s="3" t="s">
        <v>19</v>
      </c>
      <c r="I11" s="3" t="s">
        <v>40</v>
      </c>
      <c r="J11" s="3" t="s">
        <v>41</v>
      </c>
      <c r="K11" s="2">
        <v>40</v>
      </c>
      <c r="L11" s="1">
        <v>90000</v>
      </c>
      <c r="M11" s="1">
        <v>3600000</v>
      </c>
      <c r="N11" s="1">
        <v>5</v>
      </c>
      <c r="O11" s="1">
        <v>180000</v>
      </c>
    </row>
    <row r="12" spans="1:15">
      <c r="A12" s="6">
        <v>2026</v>
      </c>
      <c r="B12" s="7">
        <v>1</v>
      </c>
      <c r="C12" s="8">
        <v>46036</v>
      </c>
      <c r="D12" s="3" t="s">
        <v>39</v>
      </c>
      <c r="E12" s="3" t="s">
        <v>35</v>
      </c>
      <c r="F12" s="3" t="s">
        <v>36</v>
      </c>
      <c r="G12" s="3" t="s">
        <v>18</v>
      </c>
      <c r="H12" s="3" t="s">
        <v>19</v>
      </c>
      <c r="I12" s="3" t="s">
        <v>40</v>
      </c>
      <c r="J12" s="3" t="s">
        <v>38</v>
      </c>
      <c r="K12" s="2">
        <v>20</v>
      </c>
      <c r="L12" s="1">
        <v>65000</v>
      </c>
      <c r="M12" s="1">
        <v>1300000</v>
      </c>
      <c r="N12" s="1">
        <v>5</v>
      </c>
      <c r="O12" s="1">
        <v>65000</v>
      </c>
    </row>
    <row r="13" spans="1:15">
      <c r="A13" s="6">
        <v>2026</v>
      </c>
      <c r="B13" s="7">
        <v>1</v>
      </c>
      <c r="C13" s="8">
        <v>46036</v>
      </c>
      <c r="D13" s="3" t="s">
        <v>42</v>
      </c>
      <c r="E13" s="3" t="s">
        <v>43</v>
      </c>
      <c r="F13" s="3" t="s">
        <v>44</v>
      </c>
      <c r="G13" s="3" t="s">
        <v>18</v>
      </c>
      <c r="H13" s="3" t="s">
        <v>19</v>
      </c>
      <c r="I13" s="3" t="s">
        <v>45</v>
      </c>
      <c r="J13" s="3" t="s">
        <v>46</v>
      </c>
      <c r="K13" s="2">
        <v>20</v>
      </c>
      <c r="L13" s="1">
        <v>64700</v>
      </c>
      <c r="M13" s="1">
        <v>1294000</v>
      </c>
      <c r="N13" s="1">
        <v>10</v>
      </c>
      <c r="O13" s="1">
        <v>129400</v>
      </c>
    </row>
    <row r="14" spans="1:15">
      <c r="A14" s="6">
        <v>2026</v>
      </c>
      <c r="B14" s="7">
        <v>1</v>
      </c>
      <c r="C14" s="8">
        <v>46037</v>
      </c>
      <c r="D14" s="3" t="s">
        <v>47</v>
      </c>
      <c r="E14" s="3" t="s">
        <v>48</v>
      </c>
      <c r="F14" s="3" t="s">
        <v>36</v>
      </c>
      <c r="G14" s="3" t="s">
        <v>18</v>
      </c>
      <c r="H14" s="3" t="s">
        <v>19</v>
      </c>
      <c r="I14" s="3" t="s">
        <v>49</v>
      </c>
      <c r="J14" s="3" t="s">
        <v>46</v>
      </c>
      <c r="K14" s="2">
        <v>10</v>
      </c>
      <c r="L14" s="1">
        <v>64700</v>
      </c>
      <c r="M14" s="1">
        <v>647000</v>
      </c>
      <c r="N14" s="1">
        <v>5</v>
      </c>
      <c r="O14" s="1">
        <v>32350</v>
      </c>
    </row>
    <row r="15" spans="1:15">
      <c r="A15" s="6">
        <v>2026</v>
      </c>
      <c r="B15" s="7">
        <v>1</v>
      </c>
      <c r="C15" s="8">
        <v>46037</v>
      </c>
      <c r="D15" s="3" t="s">
        <v>47</v>
      </c>
      <c r="E15" s="3" t="s">
        <v>48</v>
      </c>
      <c r="F15" s="3" t="s">
        <v>36</v>
      </c>
      <c r="G15" s="3" t="s">
        <v>18</v>
      </c>
      <c r="H15" s="3" t="s">
        <v>19</v>
      </c>
      <c r="I15" s="3" t="s">
        <v>49</v>
      </c>
      <c r="J15" s="3" t="s">
        <v>38</v>
      </c>
      <c r="K15" s="2">
        <v>20</v>
      </c>
      <c r="L15" s="1">
        <v>65000</v>
      </c>
      <c r="M15" s="1">
        <v>1300000</v>
      </c>
      <c r="N15" s="1">
        <v>5</v>
      </c>
      <c r="O15" s="1">
        <v>65000</v>
      </c>
    </row>
    <row r="16" spans="1:15">
      <c r="A16" s="6">
        <v>2026</v>
      </c>
      <c r="B16" s="7">
        <v>1</v>
      </c>
      <c r="C16" s="8">
        <v>46037</v>
      </c>
      <c r="D16" s="3" t="s">
        <v>50</v>
      </c>
      <c r="E16" s="3" t="s">
        <v>35</v>
      </c>
      <c r="F16" s="3" t="s">
        <v>36</v>
      </c>
      <c r="G16" s="3" t="s">
        <v>18</v>
      </c>
      <c r="H16" s="3" t="s">
        <v>19</v>
      </c>
      <c r="I16" s="3" t="s">
        <v>51</v>
      </c>
      <c r="J16" s="3" t="s">
        <v>41</v>
      </c>
      <c r="K16" s="2">
        <v>10</v>
      </c>
      <c r="L16" s="1">
        <v>90000</v>
      </c>
      <c r="M16" s="1">
        <v>900000</v>
      </c>
      <c r="N16" s="1">
        <v>5</v>
      </c>
      <c r="O16" s="1">
        <v>45000</v>
      </c>
    </row>
    <row r="17" spans="1:15">
      <c r="A17" s="6">
        <v>2026</v>
      </c>
      <c r="B17" s="7">
        <v>1</v>
      </c>
      <c r="C17" s="8">
        <v>46037</v>
      </c>
      <c r="D17" s="3" t="s">
        <v>52</v>
      </c>
      <c r="E17" s="3" t="s">
        <v>48</v>
      </c>
      <c r="F17" s="3" t="s">
        <v>36</v>
      </c>
      <c r="G17" s="3" t="s">
        <v>18</v>
      </c>
      <c r="H17" s="3" t="s">
        <v>19</v>
      </c>
      <c r="I17" s="3" t="s">
        <v>53</v>
      </c>
      <c r="J17" s="3" t="s">
        <v>38</v>
      </c>
      <c r="K17" s="2">
        <v>50</v>
      </c>
      <c r="L17" s="1">
        <v>65000</v>
      </c>
      <c r="M17" s="1">
        <v>3250000</v>
      </c>
      <c r="N17" s="1">
        <v>5</v>
      </c>
      <c r="O17" s="1">
        <v>162500</v>
      </c>
    </row>
    <row r="18" spans="1:15">
      <c r="A18" s="6">
        <v>2026</v>
      </c>
      <c r="B18" s="7">
        <v>1</v>
      </c>
      <c r="C18" s="8">
        <v>46038</v>
      </c>
      <c r="D18" s="3" t="s">
        <v>54</v>
      </c>
      <c r="E18" s="3" t="s">
        <v>48</v>
      </c>
      <c r="F18" s="3" t="s">
        <v>36</v>
      </c>
      <c r="G18" s="3" t="s">
        <v>18</v>
      </c>
      <c r="H18" s="3" t="s">
        <v>19</v>
      </c>
      <c r="I18" s="3" t="s">
        <v>55</v>
      </c>
      <c r="J18" s="3" t="s">
        <v>38</v>
      </c>
      <c r="K18" s="2">
        <v>32</v>
      </c>
      <c r="L18" s="1">
        <v>65000</v>
      </c>
      <c r="M18" s="1">
        <v>2080000</v>
      </c>
      <c r="N18" s="1">
        <v>5</v>
      </c>
      <c r="O18" s="1">
        <v>104000</v>
      </c>
    </row>
    <row r="19" spans="1:15">
      <c r="A19" s="6">
        <v>2026</v>
      </c>
      <c r="B19" s="7">
        <v>1</v>
      </c>
      <c r="C19" s="8">
        <v>46038</v>
      </c>
      <c r="D19" s="3" t="s">
        <v>54</v>
      </c>
      <c r="E19" s="3" t="s">
        <v>48</v>
      </c>
      <c r="F19" s="3" t="s">
        <v>36</v>
      </c>
      <c r="G19" s="3" t="s">
        <v>18</v>
      </c>
      <c r="H19" s="3" t="s">
        <v>19</v>
      </c>
      <c r="I19" s="3" t="s">
        <v>55</v>
      </c>
      <c r="J19" s="3" t="s">
        <v>46</v>
      </c>
      <c r="K19" s="2">
        <v>20</v>
      </c>
      <c r="L19" s="1">
        <v>64700</v>
      </c>
      <c r="M19" s="1">
        <v>1294000</v>
      </c>
      <c r="N19" s="1">
        <v>5</v>
      </c>
      <c r="O19" s="1">
        <v>64700</v>
      </c>
    </row>
    <row r="20" spans="1:15">
      <c r="A20" s="6">
        <v>2026</v>
      </c>
      <c r="B20" s="7">
        <v>1</v>
      </c>
      <c r="C20" s="8">
        <v>46038</v>
      </c>
      <c r="D20" s="3" t="s">
        <v>56</v>
      </c>
      <c r="E20" s="3"/>
      <c r="F20" s="3" t="s">
        <v>36</v>
      </c>
      <c r="G20" s="3" t="s">
        <v>18</v>
      </c>
      <c r="H20" s="3" t="s">
        <v>19</v>
      </c>
      <c r="I20" s="3" t="s">
        <v>57</v>
      </c>
      <c r="J20" s="3" t="s">
        <v>38</v>
      </c>
      <c r="K20" s="2">
        <v>10</v>
      </c>
      <c r="L20" s="1">
        <v>65000</v>
      </c>
      <c r="M20" s="1">
        <v>650000</v>
      </c>
      <c r="N20" s="1">
        <v>5</v>
      </c>
      <c r="O20" s="1">
        <v>32500</v>
      </c>
    </row>
    <row r="21" spans="1:15">
      <c r="A21" s="6">
        <v>2026</v>
      </c>
      <c r="B21" s="7">
        <v>1</v>
      </c>
      <c r="C21" s="8">
        <v>46038</v>
      </c>
      <c r="D21" s="3" t="s">
        <v>56</v>
      </c>
      <c r="E21" s="3"/>
      <c r="F21" s="3" t="s">
        <v>36</v>
      </c>
      <c r="G21" s="3" t="s">
        <v>18</v>
      </c>
      <c r="H21" s="3" t="s">
        <v>19</v>
      </c>
      <c r="I21" s="3" t="s">
        <v>57</v>
      </c>
      <c r="J21" s="3" t="s">
        <v>41</v>
      </c>
      <c r="K21" s="2">
        <v>10</v>
      </c>
      <c r="L21" s="1">
        <v>90000</v>
      </c>
      <c r="M21" s="1">
        <v>900000</v>
      </c>
      <c r="N21" s="1">
        <v>5</v>
      </c>
      <c r="O21" s="1">
        <v>45000</v>
      </c>
    </row>
    <row r="22" spans="1:15">
      <c r="A22" s="6">
        <v>2026</v>
      </c>
      <c r="B22" s="7">
        <v>1</v>
      </c>
      <c r="C22" s="8">
        <v>46041</v>
      </c>
      <c r="D22" s="3" t="s">
        <v>58</v>
      </c>
      <c r="E22" s="3" t="s">
        <v>59</v>
      </c>
      <c r="F22" s="3" t="s">
        <v>36</v>
      </c>
      <c r="G22" s="3" t="s">
        <v>18</v>
      </c>
      <c r="H22" s="3" t="s">
        <v>19</v>
      </c>
      <c r="I22" s="3" t="s">
        <v>60</v>
      </c>
      <c r="J22" s="3" t="s">
        <v>38</v>
      </c>
      <c r="K22" s="2">
        <v>50</v>
      </c>
      <c r="L22" s="1">
        <v>65000</v>
      </c>
      <c r="M22" s="1">
        <v>3250000</v>
      </c>
      <c r="N22" s="1">
        <v>5</v>
      </c>
      <c r="O22" s="1">
        <v>162500</v>
      </c>
    </row>
    <row r="23" spans="1:15">
      <c r="A23" s="6">
        <v>2026</v>
      </c>
      <c r="B23" s="7">
        <v>1</v>
      </c>
      <c r="C23" s="8">
        <v>46041</v>
      </c>
      <c r="D23" s="3" t="s">
        <v>61</v>
      </c>
      <c r="E23" s="3" t="s">
        <v>43</v>
      </c>
      <c r="F23" s="3" t="s">
        <v>44</v>
      </c>
      <c r="G23" s="3" t="s">
        <v>18</v>
      </c>
      <c r="H23" s="3" t="s">
        <v>19</v>
      </c>
      <c r="I23" s="3" t="s">
        <v>62</v>
      </c>
      <c r="J23" s="3" t="s">
        <v>46</v>
      </c>
      <c r="K23" s="2">
        <v>50</v>
      </c>
      <c r="L23" s="1">
        <v>64700</v>
      </c>
      <c r="M23" s="1">
        <v>3235000</v>
      </c>
      <c r="N23" s="1">
        <v>10</v>
      </c>
      <c r="O23" s="1">
        <v>323500</v>
      </c>
    </row>
    <row r="24" spans="1:15">
      <c r="A24" s="6">
        <v>2026</v>
      </c>
      <c r="B24" s="7">
        <v>1</v>
      </c>
      <c r="C24" s="8">
        <v>46042</v>
      </c>
      <c r="D24" s="3" t="s">
        <v>63</v>
      </c>
      <c r="E24" s="3" t="s">
        <v>43</v>
      </c>
      <c r="F24" s="3" t="s">
        <v>44</v>
      </c>
      <c r="G24" s="3" t="s">
        <v>18</v>
      </c>
      <c r="H24" s="3" t="s">
        <v>19</v>
      </c>
      <c r="I24" s="3" t="s">
        <v>64</v>
      </c>
      <c r="J24" s="3" t="s">
        <v>46</v>
      </c>
      <c r="K24" s="2">
        <v>20</v>
      </c>
      <c r="L24" s="1">
        <v>64700</v>
      </c>
      <c r="M24" s="1">
        <v>1294000</v>
      </c>
      <c r="N24" s="1">
        <v>10</v>
      </c>
      <c r="O24" s="1">
        <v>129400</v>
      </c>
    </row>
    <row r="25" spans="1:15">
      <c r="A25" s="6">
        <v>2026</v>
      </c>
      <c r="B25" s="7">
        <v>1</v>
      </c>
      <c r="C25" s="8">
        <v>46042</v>
      </c>
      <c r="D25" s="3" t="s">
        <v>65</v>
      </c>
      <c r="E25" s="3" t="s">
        <v>59</v>
      </c>
      <c r="F25" s="3" t="s">
        <v>36</v>
      </c>
      <c r="G25" s="3" t="s">
        <v>18</v>
      </c>
      <c r="H25" s="3" t="s">
        <v>19</v>
      </c>
      <c r="I25" s="3" t="s">
        <v>66</v>
      </c>
      <c r="J25" s="3" t="s">
        <v>38</v>
      </c>
      <c r="K25" s="2">
        <v>10</v>
      </c>
      <c r="L25" s="1">
        <v>65000</v>
      </c>
      <c r="M25" s="1">
        <v>650000</v>
      </c>
      <c r="N25" s="1">
        <v>5</v>
      </c>
      <c r="O25" s="1">
        <v>32500</v>
      </c>
    </row>
    <row r="26" spans="1:15">
      <c r="A26" s="6">
        <v>2026</v>
      </c>
      <c r="B26" s="7">
        <v>1</v>
      </c>
      <c r="C26" s="8">
        <v>46043</v>
      </c>
      <c r="D26" s="3" t="s">
        <v>67</v>
      </c>
      <c r="E26" s="3" t="s">
        <v>68</v>
      </c>
      <c r="F26" s="3" t="s">
        <v>36</v>
      </c>
      <c r="G26" s="3" t="s">
        <v>18</v>
      </c>
      <c r="H26" s="3" t="s">
        <v>19</v>
      </c>
      <c r="I26" s="3" t="s">
        <v>69</v>
      </c>
      <c r="J26" s="3" t="s">
        <v>46</v>
      </c>
      <c r="K26" s="2">
        <v>10</v>
      </c>
      <c r="L26" s="1">
        <v>64700</v>
      </c>
      <c r="M26" s="1">
        <v>647000</v>
      </c>
      <c r="N26" s="1">
        <v>5</v>
      </c>
      <c r="O26" s="1">
        <v>32350</v>
      </c>
    </row>
    <row r="27" spans="1:15">
      <c r="A27" s="6">
        <v>2026</v>
      </c>
      <c r="B27" s="7">
        <v>1</v>
      </c>
      <c r="C27" s="8">
        <v>46043</v>
      </c>
      <c r="D27" s="3" t="s">
        <v>67</v>
      </c>
      <c r="E27" s="3" t="s">
        <v>68</v>
      </c>
      <c r="F27" s="3" t="s">
        <v>36</v>
      </c>
      <c r="G27" s="3" t="s">
        <v>18</v>
      </c>
      <c r="H27" s="3" t="s">
        <v>19</v>
      </c>
      <c r="I27" s="3" t="s">
        <v>69</v>
      </c>
      <c r="J27" s="3" t="s">
        <v>41</v>
      </c>
      <c r="K27" s="2">
        <v>10</v>
      </c>
      <c r="L27" s="1">
        <v>90000</v>
      </c>
      <c r="M27" s="1">
        <v>900000</v>
      </c>
      <c r="N27" s="1">
        <v>5</v>
      </c>
      <c r="O27" s="1">
        <v>45000</v>
      </c>
    </row>
    <row r="28" spans="1:15">
      <c r="A28" s="6">
        <v>2026</v>
      </c>
      <c r="B28" s="7">
        <v>1</v>
      </c>
      <c r="C28" s="8">
        <v>46043</v>
      </c>
      <c r="D28" s="3" t="s">
        <v>67</v>
      </c>
      <c r="E28" s="3" t="s">
        <v>68</v>
      </c>
      <c r="F28" s="3" t="s">
        <v>36</v>
      </c>
      <c r="G28" s="3" t="s">
        <v>18</v>
      </c>
      <c r="H28" s="3" t="s">
        <v>19</v>
      </c>
      <c r="I28" s="3" t="s">
        <v>69</v>
      </c>
      <c r="J28" s="3" t="s">
        <v>38</v>
      </c>
      <c r="K28" s="2">
        <v>10</v>
      </c>
      <c r="L28" s="1">
        <v>65000</v>
      </c>
      <c r="M28" s="1">
        <v>650000</v>
      </c>
      <c r="N28" s="1">
        <v>5</v>
      </c>
      <c r="O28" s="1">
        <v>32500</v>
      </c>
    </row>
    <row r="29" spans="1:15">
      <c r="A29" s="6">
        <v>2026</v>
      </c>
      <c r="B29" s="7">
        <v>1</v>
      </c>
      <c r="C29" s="8">
        <v>46043</v>
      </c>
      <c r="D29" s="3" t="s">
        <v>70</v>
      </c>
      <c r="E29" s="3" t="s">
        <v>48</v>
      </c>
      <c r="F29" s="3" t="s">
        <v>36</v>
      </c>
      <c r="G29" s="3" t="s">
        <v>18</v>
      </c>
      <c r="H29" s="3" t="s">
        <v>19</v>
      </c>
      <c r="I29" s="3" t="s">
        <v>71</v>
      </c>
      <c r="J29" s="3" t="s">
        <v>38</v>
      </c>
      <c r="K29" s="2">
        <v>10</v>
      </c>
      <c r="L29" s="1">
        <v>65000</v>
      </c>
      <c r="M29" s="1">
        <v>650000</v>
      </c>
      <c r="N29" s="1">
        <v>5</v>
      </c>
      <c r="O29" s="1">
        <v>32500</v>
      </c>
    </row>
    <row r="30" spans="1:15">
      <c r="A30" s="6">
        <v>2026</v>
      </c>
      <c r="B30" s="7">
        <v>1</v>
      </c>
      <c r="C30" s="8">
        <v>46043</v>
      </c>
      <c r="D30" s="3" t="s">
        <v>72</v>
      </c>
      <c r="E30" s="3" t="s">
        <v>35</v>
      </c>
      <c r="F30" s="3" t="s">
        <v>36</v>
      </c>
      <c r="G30" s="3" t="s">
        <v>18</v>
      </c>
      <c r="H30" s="3" t="s">
        <v>19</v>
      </c>
      <c r="I30" s="3" t="s">
        <v>73</v>
      </c>
      <c r="J30" s="3" t="s">
        <v>41</v>
      </c>
      <c r="K30" s="2">
        <v>20</v>
      </c>
      <c r="L30" s="1">
        <v>90000</v>
      </c>
      <c r="M30" s="1">
        <v>1800000</v>
      </c>
      <c r="N30" s="1">
        <v>5</v>
      </c>
      <c r="O30" s="1">
        <v>90000</v>
      </c>
    </row>
    <row r="31" spans="1:15">
      <c r="A31" s="6">
        <v>2026</v>
      </c>
      <c r="B31" s="7">
        <v>1</v>
      </c>
      <c r="C31" s="8">
        <v>46043</v>
      </c>
      <c r="D31" s="3" t="s">
        <v>72</v>
      </c>
      <c r="E31" s="3" t="s">
        <v>35</v>
      </c>
      <c r="F31" s="3" t="s">
        <v>36</v>
      </c>
      <c r="G31" s="3" t="s">
        <v>18</v>
      </c>
      <c r="H31" s="3" t="s">
        <v>19</v>
      </c>
      <c r="I31" s="3" t="s">
        <v>73</v>
      </c>
      <c r="J31" s="3" t="s">
        <v>46</v>
      </c>
      <c r="K31" s="2">
        <v>20</v>
      </c>
      <c r="L31" s="1">
        <v>64700</v>
      </c>
      <c r="M31" s="1">
        <v>1294000</v>
      </c>
      <c r="N31" s="1">
        <v>5</v>
      </c>
      <c r="O31" s="1">
        <v>64700</v>
      </c>
    </row>
    <row r="32" spans="1:15">
      <c r="A32" s="6">
        <v>2026</v>
      </c>
      <c r="B32" s="7">
        <v>1</v>
      </c>
      <c r="C32" s="8">
        <v>46043</v>
      </c>
      <c r="D32" s="3" t="s">
        <v>72</v>
      </c>
      <c r="E32" s="3" t="s">
        <v>35</v>
      </c>
      <c r="F32" s="3" t="s">
        <v>36</v>
      </c>
      <c r="G32" s="3" t="s">
        <v>18</v>
      </c>
      <c r="H32" s="3" t="s">
        <v>19</v>
      </c>
      <c r="I32" s="3" t="s">
        <v>73</v>
      </c>
      <c r="J32" s="3" t="s">
        <v>38</v>
      </c>
      <c r="K32" s="2">
        <v>20</v>
      </c>
      <c r="L32" s="1">
        <v>65000</v>
      </c>
      <c r="M32" s="1">
        <v>1300000</v>
      </c>
      <c r="N32" s="1">
        <v>5</v>
      </c>
      <c r="O32" s="1">
        <v>65000</v>
      </c>
    </row>
    <row r="33" spans="1:15">
      <c r="A33" s="6">
        <v>2026</v>
      </c>
      <c r="B33" s="7">
        <v>1</v>
      </c>
      <c r="C33" s="8">
        <v>46044</v>
      </c>
      <c r="D33" s="3" t="s">
        <v>74</v>
      </c>
      <c r="E33" s="3" t="s">
        <v>35</v>
      </c>
      <c r="F33" s="3" t="s">
        <v>36</v>
      </c>
      <c r="G33" s="3" t="s">
        <v>18</v>
      </c>
      <c r="H33" s="3" t="s">
        <v>19</v>
      </c>
      <c r="I33" s="3" t="s">
        <v>75</v>
      </c>
      <c r="J33" s="3" t="s">
        <v>38</v>
      </c>
      <c r="K33" s="2">
        <v>20</v>
      </c>
      <c r="L33" s="1">
        <v>65000</v>
      </c>
      <c r="M33" s="1">
        <v>1300000</v>
      </c>
      <c r="N33" s="1">
        <v>5</v>
      </c>
      <c r="O33" s="1">
        <v>65000</v>
      </c>
    </row>
    <row r="34" spans="1:15">
      <c r="A34" s="6">
        <v>2026</v>
      </c>
      <c r="B34" s="7">
        <v>1</v>
      </c>
      <c r="C34" s="8">
        <v>46044</v>
      </c>
      <c r="D34" s="3" t="s">
        <v>74</v>
      </c>
      <c r="E34" s="3" t="s">
        <v>35</v>
      </c>
      <c r="F34" s="3" t="s">
        <v>36</v>
      </c>
      <c r="G34" s="3" t="s">
        <v>18</v>
      </c>
      <c r="H34" s="3" t="s">
        <v>19</v>
      </c>
      <c r="I34" s="3" t="s">
        <v>75</v>
      </c>
      <c r="J34" s="3" t="s">
        <v>46</v>
      </c>
      <c r="K34" s="2">
        <v>20</v>
      </c>
      <c r="L34" s="1">
        <v>64700</v>
      </c>
      <c r="M34" s="1">
        <v>1294000</v>
      </c>
      <c r="N34" s="1">
        <v>5</v>
      </c>
      <c r="O34" s="1">
        <v>64700</v>
      </c>
    </row>
    <row r="35" spans="1:15">
      <c r="A35" s="6">
        <v>2026</v>
      </c>
      <c r="B35" s="7">
        <v>1</v>
      </c>
      <c r="C35" s="8">
        <v>46044</v>
      </c>
      <c r="D35" s="3" t="s">
        <v>74</v>
      </c>
      <c r="E35" s="3" t="s">
        <v>35</v>
      </c>
      <c r="F35" s="3" t="s">
        <v>36</v>
      </c>
      <c r="G35" s="3" t="s">
        <v>18</v>
      </c>
      <c r="H35" s="3" t="s">
        <v>19</v>
      </c>
      <c r="I35" s="3" t="s">
        <v>75</v>
      </c>
      <c r="J35" s="3" t="s">
        <v>41</v>
      </c>
      <c r="K35" s="2">
        <v>20</v>
      </c>
      <c r="L35" s="1">
        <v>90000</v>
      </c>
      <c r="M35" s="1">
        <v>1800000</v>
      </c>
      <c r="N35" s="1">
        <v>5</v>
      </c>
      <c r="O35" s="1">
        <v>90000</v>
      </c>
    </row>
    <row r="36" spans="1:15">
      <c r="A36" s="6">
        <v>2026</v>
      </c>
      <c r="B36" s="7">
        <v>1</v>
      </c>
      <c r="C36" s="8">
        <v>46044</v>
      </c>
      <c r="D36" s="3" t="s">
        <v>76</v>
      </c>
      <c r="E36" s="3" t="s">
        <v>35</v>
      </c>
      <c r="F36" s="3" t="s">
        <v>36</v>
      </c>
      <c r="G36" s="3" t="s">
        <v>18</v>
      </c>
      <c r="H36" s="3" t="s">
        <v>19</v>
      </c>
      <c r="I36" s="3" t="s">
        <v>75</v>
      </c>
      <c r="J36" s="3" t="s">
        <v>38</v>
      </c>
      <c r="K36" s="2">
        <v>20</v>
      </c>
      <c r="L36" s="1">
        <v>65000</v>
      </c>
      <c r="M36" s="1">
        <v>1300000</v>
      </c>
      <c r="N36" s="1">
        <v>5</v>
      </c>
      <c r="O36" s="1">
        <v>65000</v>
      </c>
    </row>
    <row r="37" spans="1:15">
      <c r="A37" s="6">
        <v>2026</v>
      </c>
      <c r="B37" s="7">
        <v>1</v>
      </c>
      <c r="C37" s="8">
        <v>46044</v>
      </c>
      <c r="D37" s="3" t="s">
        <v>76</v>
      </c>
      <c r="E37" s="3" t="s">
        <v>35</v>
      </c>
      <c r="F37" s="3" t="s">
        <v>36</v>
      </c>
      <c r="G37" s="3" t="s">
        <v>18</v>
      </c>
      <c r="H37" s="3" t="s">
        <v>19</v>
      </c>
      <c r="I37" s="3" t="s">
        <v>75</v>
      </c>
      <c r="J37" s="3" t="s">
        <v>46</v>
      </c>
      <c r="K37" s="2">
        <v>20</v>
      </c>
      <c r="L37" s="1">
        <v>64700</v>
      </c>
      <c r="M37" s="1">
        <v>1294000</v>
      </c>
      <c r="N37" s="1">
        <v>5</v>
      </c>
      <c r="O37" s="1">
        <v>64700</v>
      </c>
    </row>
    <row r="38" spans="1:15">
      <c r="A38" s="6">
        <v>2026</v>
      </c>
      <c r="B38" s="7">
        <v>1</v>
      </c>
      <c r="C38" s="8">
        <v>46044</v>
      </c>
      <c r="D38" s="3" t="s">
        <v>76</v>
      </c>
      <c r="E38" s="3" t="s">
        <v>35</v>
      </c>
      <c r="F38" s="3" t="s">
        <v>36</v>
      </c>
      <c r="G38" s="3" t="s">
        <v>18</v>
      </c>
      <c r="H38" s="3" t="s">
        <v>19</v>
      </c>
      <c r="I38" s="3" t="s">
        <v>75</v>
      </c>
      <c r="J38" s="3" t="s">
        <v>41</v>
      </c>
      <c r="K38" s="2">
        <v>20</v>
      </c>
      <c r="L38" s="1">
        <v>90000</v>
      </c>
      <c r="M38" s="1">
        <v>1800000</v>
      </c>
      <c r="N38" s="1">
        <v>5</v>
      </c>
      <c r="O38" s="1">
        <v>90000</v>
      </c>
    </row>
    <row r="39" spans="1:15">
      <c r="A39" s="6">
        <v>2026</v>
      </c>
      <c r="B39" s="7">
        <v>1</v>
      </c>
      <c r="C39" s="8">
        <v>46045</v>
      </c>
      <c r="D39" s="3" t="s">
        <v>77</v>
      </c>
      <c r="E39" s="3" t="s">
        <v>78</v>
      </c>
      <c r="F39" s="3" t="s">
        <v>78</v>
      </c>
      <c r="G39" s="3" t="s">
        <v>78</v>
      </c>
      <c r="H39" s="3" t="s">
        <v>19</v>
      </c>
      <c r="I39" s="3" t="s">
        <v>79</v>
      </c>
      <c r="J39" s="3" t="s">
        <v>41</v>
      </c>
      <c r="K39" s="2">
        <v>150</v>
      </c>
      <c r="L39" s="1">
        <v>90000</v>
      </c>
      <c r="M39" s="1">
        <v>13500000</v>
      </c>
      <c r="N39" s="1">
        <v>5</v>
      </c>
      <c r="O39" s="1">
        <v>675000</v>
      </c>
    </row>
    <row r="40" spans="1:15">
      <c r="A40" s="6">
        <v>2026</v>
      </c>
      <c r="B40" s="7">
        <v>1</v>
      </c>
      <c r="C40" s="8">
        <v>46045</v>
      </c>
      <c r="D40" s="3" t="s">
        <v>77</v>
      </c>
      <c r="E40" s="3" t="s">
        <v>78</v>
      </c>
      <c r="F40" s="3" t="s">
        <v>78</v>
      </c>
      <c r="G40" s="3" t="s">
        <v>78</v>
      </c>
      <c r="H40" s="3" t="s">
        <v>19</v>
      </c>
      <c r="I40" s="3" t="s">
        <v>79</v>
      </c>
      <c r="J40" s="3" t="s">
        <v>46</v>
      </c>
      <c r="K40" s="2">
        <v>120</v>
      </c>
      <c r="L40" s="1">
        <v>64700</v>
      </c>
      <c r="M40" s="1">
        <v>7764000</v>
      </c>
      <c r="N40" s="1">
        <v>5</v>
      </c>
      <c r="O40" s="1">
        <v>388200</v>
      </c>
    </row>
    <row r="41" spans="1:15">
      <c r="A41" s="6">
        <v>2026</v>
      </c>
      <c r="B41" s="7">
        <v>1</v>
      </c>
      <c r="C41" s="8">
        <v>46045</v>
      </c>
      <c r="D41" s="3" t="s">
        <v>77</v>
      </c>
      <c r="E41" s="3" t="s">
        <v>78</v>
      </c>
      <c r="F41" s="3" t="s">
        <v>78</v>
      </c>
      <c r="G41" s="3" t="s">
        <v>78</v>
      </c>
      <c r="H41" s="3" t="s">
        <v>19</v>
      </c>
      <c r="I41" s="3" t="s">
        <v>79</v>
      </c>
      <c r="J41" s="3" t="s">
        <v>38</v>
      </c>
      <c r="K41" s="2">
        <v>150</v>
      </c>
      <c r="L41" s="1">
        <v>65000</v>
      </c>
      <c r="M41" s="1">
        <v>9750000</v>
      </c>
      <c r="N41" s="1">
        <v>5</v>
      </c>
      <c r="O41" s="1">
        <v>487500</v>
      </c>
    </row>
    <row r="42" spans="1:15">
      <c r="A42" s="6">
        <v>2026</v>
      </c>
      <c r="B42" s="7">
        <v>1</v>
      </c>
      <c r="C42" s="8">
        <v>46048</v>
      </c>
      <c r="D42" s="3" t="s">
        <v>80</v>
      </c>
      <c r="E42" s="3" t="s">
        <v>59</v>
      </c>
      <c r="F42" s="3" t="s">
        <v>36</v>
      </c>
      <c r="G42" s="3" t="s">
        <v>18</v>
      </c>
      <c r="H42" s="3" t="s">
        <v>19</v>
      </c>
      <c r="I42" s="3" t="s">
        <v>81</v>
      </c>
      <c r="J42" s="3" t="s">
        <v>38</v>
      </c>
      <c r="K42" s="2">
        <v>30</v>
      </c>
      <c r="L42" s="1">
        <v>65000</v>
      </c>
      <c r="M42" s="1">
        <v>1950000</v>
      </c>
      <c r="N42" s="1">
        <v>5</v>
      </c>
      <c r="O42" s="1">
        <v>97500</v>
      </c>
    </row>
    <row r="43" spans="1:15">
      <c r="A43" s="6">
        <v>2026</v>
      </c>
      <c r="B43" s="7">
        <v>1</v>
      </c>
      <c r="C43" s="8">
        <v>46048</v>
      </c>
      <c r="D43" s="3" t="s">
        <v>82</v>
      </c>
      <c r="E43" s="3" t="s">
        <v>43</v>
      </c>
      <c r="F43" s="3" t="s">
        <v>44</v>
      </c>
      <c r="G43" s="3" t="s">
        <v>18</v>
      </c>
      <c r="H43" s="3" t="s">
        <v>19</v>
      </c>
      <c r="I43" s="3" t="s">
        <v>83</v>
      </c>
      <c r="J43" s="3" t="s">
        <v>46</v>
      </c>
      <c r="K43" s="2">
        <v>10</v>
      </c>
      <c r="L43" s="1">
        <v>64700</v>
      </c>
      <c r="M43" s="1">
        <v>647000</v>
      </c>
      <c r="N43" s="1">
        <v>10</v>
      </c>
      <c r="O43" s="1">
        <v>64700</v>
      </c>
    </row>
    <row r="44" spans="1:15">
      <c r="A44" s="6">
        <v>2026</v>
      </c>
      <c r="B44" s="7">
        <v>1</v>
      </c>
      <c r="C44" s="8">
        <v>46050</v>
      </c>
      <c r="D44" s="3" t="s">
        <v>84</v>
      </c>
      <c r="E44" s="3" t="s">
        <v>48</v>
      </c>
      <c r="F44" s="3" t="s">
        <v>36</v>
      </c>
      <c r="G44" s="3" t="s">
        <v>18</v>
      </c>
      <c r="H44" s="3" t="s">
        <v>19</v>
      </c>
      <c r="I44" s="3" t="s">
        <v>85</v>
      </c>
      <c r="J44" s="3" t="s">
        <v>41</v>
      </c>
      <c r="K44" s="2">
        <v>10</v>
      </c>
      <c r="L44" s="1">
        <v>90000</v>
      </c>
      <c r="M44" s="1">
        <v>900000</v>
      </c>
      <c r="N44" s="1">
        <v>5</v>
      </c>
      <c r="O44" s="1">
        <v>45000</v>
      </c>
    </row>
    <row r="45" spans="1:15">
      <c r="A45" s="6">
        <v>2026</v>
      </c>
      <c r="B45" s="7">
        <v>1</v>
      </c>
      <c r="C45" s="8">
        <v>46050</v>
      </c>
      <c r="D45" s="3" t="s">
        <v>86</v>
      </c>
      <c r="E45" s="3" t="s">
        <v>48</v>
      </c>
      <c r="F45" s="3" t="s">
        <v>36</v>
      </c>
      <c r="G45" s="3" t="s">
        <v>18</v>
      </c>
      <c r="H45" s="3" t="s">
        <v>19</v>
      </c>
      <c r="I45" s="3" t="s">
        <v>71</v>
      </c>
      <c r="J45" s="3" t="s">
        <v>38</v>
      </c>
      <c r="K45" s="2">
        <v>50</v>
      </c>
      <c r="L45" s="1">
        <v>65000</v>
      </c>
      <c r="M45" s="1">
        <v>3250000</v>
      </c>
      <c r="N45" s="1">
        <v>5</v>
      </c>
      <c r="O45" s="1">
        <v>162500</v>
      </c>
    </row>
    <row r="46" spans="1:15">
      <c r="A46" s="6">
        <v>2026</v>
      </c>
      <c r="B46" s="7">
        <v>1</v>
      </c>
      <c r="C46" s="8">
        <v>46050</v>
      </c>
      <c r="D46" s="3" t="s">
        <v>87</v>
      </c>
      <c r="E46" s="3" t="s">
        <v>35</v>
      </c>
      <c r="F46" s="3" t="s">
        <v>36</v>
      </c>
      <c r="G46" s="3" t="s">
        <v>18</v>
      </c>
      <c r="H46" s="3" t="s">
        <v>19</v>
      </c>
      <c r="I46" s="3" t="s">
        <v>40</v>
      </c>
      <c r="J46" s="3" t="s">
        <v>41</v>
      </c>
      <c r="K46" s="2">
        <v>30</v>
      </c>
      <c r="L46" s="1">
        <v>90000</v>
      </c>
      <c r="M46" s="1">
        <v>2700000</v>
      </c>
      <c r="N46" s="1">
        <v>5</v>
      </c>
      <c r="O46" s="1">
        <v>135000</v>
      </c>
    </row>
    <row r="47" spans="1:15">
      <c r="A47" s="6">
        <v>2026</v>
      </c>
      <c r="B47" s="7">
        <v>1</v>
      </c>
      <c r="C47" s="8">
        <v>46052</v>
      </c>
      <c r="D47" s="3" t="s">
        <v>88</v>
      </c>
      <c r="E47" s="3" t="s">
        <v>48</v>
      </c>
      <c r="F47" s="3" t="s">
        <v>36</v>
      </c>
      <c r="G47" s="3" t="s">
        <v>18</v>
      </c>
      <c r="H47" s="3" t="s">
        <v>19</v>
      </c>
      <c r="I47" s="3" t="s">
        <v>89</v>
      </c>
      <c r="J47" s="3" t="s">
        <v>38</v>
      </c>
      <c r="K47" s="2">
        <v>10</v>
      </c>
      <c r="L47" s="1">
        <v>65000</v>
      </c>
      <c r="M47" s="1">
        <v>650000</v>
      </c>
      <c r="N47" s="1">
        <v>5</v>
      </c>
      <c r="O47" s="1">
        <v>32500</v>
      </c>
    </row>
    <row r="48" spans="1:15">
      <c r="A48" s="6">
        <v>2026</v>
      </c>
      <c r="B48" s="7">
        <v>1</v>
      </c>
      <c r="C48" s="8">
        <v>46052</v>
      </c>
      <c r="D48" s="3" t="s">
        <v>88</v>
      </c>
      <c r="E48" s="3" t="s">
        <v>48</v>
      </c>
      <c r="F48" s="3" t="s">
        <v>36</v>
      </c>
      <c r="G48" s="3" t="s">
        <v>18</v>
      </c>
      <c r="H48" s="3" t="s">
        <v>19</v>
      </c>
      <c r="I48" s="3" t="s">
        <v>89</v>
      </c>
      <c r="J48" s="3" t="s">
        <v>41</v>
      </c>
      <c r="K48" s="2">
        <v>10</v>
      </c>
      <c r="L48" s="1">
        <v>90000</v>
      </c>
      <c r="M48" s="1">
        <v>900000</v>
      </c>
      <c r="N48" s="1">
        <v>5</v>
      </c>
      <c r="O48" s="1">
        <v>45000</v>
      </c>
    </row>
    <row r="49" spans="1:15">
      <c r="A49" s="6">
        <v>2026</v>
      </c>
      <c r="B49" s="7">
        <v>1</v>
      </c>
      <c r="C49" s="8">
        <v>46052</v>
      </c>
      <c r="D49" s="3" t="s">
        <v>90</v>
      </c>
      <c r="E49" s="3" t="s">
        <v>43</v>
      </c>
      <c r="F49" s="3" t="s">
        <v>44</v>
      </c>
      <c r="G49" s="3" t="s">
        <v>18</v>
      </c>
      <c r="H49" s="3" t="s">
        <v>19</v>
      </c>
      <c r="I49" s="3" t="s">
        <v>91</v>
      </c>
      <c r="J49" s="3" t="s">
        <v>46</v>
      </c>
      <c r="K49" s="2">
        <v>10</v>
      </c>
      <c r="L49" s="1">
        <v>64700</v>
      </c>
      <c r="M49" s="1">
        <v>647000</v>
      </c>
      <c r="N49" s="1">
        <v>8</v>
      </c>
      <c r="O49" s="1">
        <v>51760</v>
      </c>
    </row>
    <row r="50" spans="1:15">
      <c r="A50" s="6">
        <v>2026</v>
      </c>
      <c r="B50" s="7">
        <v>2</v>
      </c>
      <c r="C50" s="8">
        <v>46055</v>
      </c>
      <c r="D50" s="3" t="s">
        <v>92</v>
      </c>
      <c r="E50" s="3"/>
      <c r="F50" s="3" t="s">
        <v>44</v>
      </c>
      <c r="G50" s="3" t="s">
        <v>18</v>
      </c>
      <c r="H50" s="3" t="s">
        <v>19</v>
      </c>
      <c r="I50" s="3" t="s">
        <v>93</v>
      </c>
      <c r="J50" s="3" t="s">
        <v>46</v>
      </c>
      <c r="K50" s="2">
        <v>20</v>
      </c>
      <c r="L50" s="1">
        <v>64700</v>
      </c>
      <c r="M50" s="1">
        <v>1294000</v>
      </c>
      <c r="N50" s="1">
        <v>10</v>
      </c>
      <c r="O50" s="1">
        <v>129400</v>
      </c>
    </row>
    <row r="51" spans="1:15">
      <c r="A51" s="6">
        <v>2026</v>
      </c>
      <c r="B51" s="7">
        <v>2</v>
      </c>
      <c r="C51" s="8">
        <v>46055</v>
      </c>
      <c r="D51" s="3" t="s">
        <v>92</v>
      </c>
      <c r="E51" s="3"/>
      <c r="F51" s="3" t="s">
        <v>44</v>
      </c>
      <c r="G51" s="3" t="s">
        <v>18</v>
      </c>
      <c r="H51" s="3" t="s">
        <v>19</v>
      </c>
      <c r="I51" s="3" t="s">
        <v>93</v>
      </c>
      <c r="J51" s="3" t="s">
        <v>46</v>
      </c>
      <c r="K51" s="2">
        <v>20</v>
      </c>
      <c r="L51" s="1">
        <v>64700</v>
      </c>
      <c r="M51" s="1">
        <v>1294000</v>
      </c>
      <c r="N51" s="1">
        <v>10</v>
      </c>
      <c r="O51" s="1">
        <v>129400</v>
      </c>
    </row>
    <row r="52" spans="1:15">
      <c r="A52" s="6">
        <v>2026</v>
      </c>
      <c r="B52" s="7">
        <v>2</v>
      </c>
      <c r="C52" s="8">
        <v>46056</v>
      </c>
      <c r="D52" s="3" t="s">
        <v>94</v>
      </c>
      <c r="E52" s="3" t="s">
        <v>35</v>
      </c>
      <c r="F52" s="3" t="s">
        <v>36</v>
      </c>
      <c r="G52" s="3" t="s">
        <v>18</v>
      </c>
      <c r="H52" s="3" t="s">
        <v>19</v>
      </c>
      <c r="I52" s="3" t="s">
        <v>75</v>
      </c>
      <c r="J52" s="3" t="s">
        <v>41</v>
      </c>
      <c r="K52" s="2">
        <v>20</v>
      </c>
      <c r="L52" s="1">
        <v>90000</v>
      </c>
      <c r="M52" s="1">
        <v>1800000</v>
      </c>
      <c r="N52" s="1">
        <v>5</v>
      </c>
      <c r="O52" s="1">
        <v>90000</v>
      </c>
    </row>
    <row r="53" spans="1:15">
      <c r="A53" s="6">
        <v>2026</v>
      </c>
      <c r="B53" s="7">
        <v>2</v>
      </c>
      <c r="C53" s="8">
        <v>46056</v>
      </c>
      <c r="D53" s="3" t="s">
        <v>94</v>
      </c>
      <c r="E53" s="3" t="s">
        <v>35</v>
      </c>
      <c r="F53" s="3" t="s">
        <v>36</v>
      </c>
      <c r="G53" s="3" t="s">
        <v>18</v>
      </c>
      <c r="H53" s="3" t="s">
        <v>19</v>
      </c>
      <c r="I53" s="3" t="s">
        <v>75</v>
      </c>
      <c r="J53" s="3" t="s">
        <v>46</v>
      </c>
      <c r="K53" s="2">
        <v>30</v>
      </c>
      <c r="L53" s="1">
        <v>64700</v>
      </c>
      <c r="M53" s="1">
        <v>1941000</v>
      </c>
      <c r="N53" s="1">
        <v>5</v>
      </c>
      <c r="O53" s="1">
        <v>97050</v>
      </c>
    </row>
    <row r="54" spans="1:15">
      <c r="A54" s="6">
        <v>2026</v>
      </c>
      <c r="B54" s="7">
        <v>2</v>
      </c>
      <c r="C54" s="8">
        <v>46056</v>
      </c>
      <c r="D54" s="3" t="s">
        <v>94</v>
      </c>
      <c r="E54" s="3" t="s">
        <v>35</v>
      </c>
      <c r="F54" s="3" t="s">
        <v>36</v>
      </c>
      <c r="G54" s="3" t="s">
        <v>18</v>
      </c>
      <c r="H54" s="3" t="s">
        <v>19</v>
      </c>
      <c r="I54" s="3" t="s">
        <v>75</v>
      </c>
      <c r="J54" s="3" t="s">
        <v>38</v>
      </c>
      <c r="K54" s="2">
        <v>20</v>
      </c>
      <c r="L54" s="1">
        <v>65000</v>
      </c>
      <c r="M54" s="1">
        <v>1300000</v>
      </c>
      <c r="N54" s="1">
        <v>5</v>
      </c>
      <c r="O54" s="1">
        <v>65000</v>
      </c>
    </row>
    <row r="55" spans="1:15">
      <c r="A55" s="6">
        <v>2026</v>
      </c>
      <c r="B55" s="7">
        <v>2</v>
      </c>
      <c r="C55" s="8">
        <v>46056</v>
      </c>
      <c r="D55" s="3" t="s">
        <v>95</v>
      </c>
      <c r="E55" s="3" t="s">
        <v>43</v>
      </c>
      <c r="F55" s="3" t="s">
        <v>44</v>
      </c>
      <c r="G55" s="3" t="s">
        <v>18</v>
      </c>
      <c r="H55" s="3" t="s">
        <v>19</v>
      </c>
      <c r="I55" s="3" t="s">
        <v>64</v>
      </c>
      <c r="J55" s="3" t="s">
        <v>46</v>
      </c>
      <c r="K55" s="2">
        <v>20</v>
      </c>
      <c r="L55" s="1">
        <v>64700</v>
      </c>
      <c r="M55" s="1">
        <v>1294000</v>
      </c>
      <c r="N55" s="1">
        <v>10</v>
      </c>
      <c r="O55" s="1">
        <v>129400</v>
      </c>
    </row>
    <row r="56" spans="1:15">
      <c r="A56" s="6">
        <v>2026</v>
      </c>
      <c r="B56" s="7">
        <v>2</v>
      </c>
      <c r="C56" s="8">
        <v>46057</v>
      </c>
      <c r="D56" s="3" t="s">
        <v>96</v>
      </c>
      <c r="E56" s="3" t="s">
        <v>48</v>
      </c>
      <c r="F56" s="3" t="s">
        <v>36</v>
      </c>
      <c r="G56" s="3" t="s">
        <v>18</v>
      </c>
      <c r="H56" s="3" t="s">
        <v>19</v>
      </c>
      <c r="I56" s="3" t="s">
        <v>97</v>
      </c>
      <c r="J56" s="3" t="s">
        <v>38</v>
      </c>
      <c r="K56" s="2">
        <v>20</v>
      </c>
      <c r="L56" s="1">
        <v>65000</v>
      </c>
      <c r="M56" s="1">
        <v>1300000</v>
      </c>
      <c r="N56" s="1">
        <v>5</v>
      </c>
      <c r="O56" s="1">
        <v>65000</v>
      </c>
    </row>
    <row r="57" spans="1:15">
      <c r="A57" s="6">
        <v>2026</v>
      </c>
      <c r="B57" s="7">
        <v>2</v>
      </c>
      <c r="C57" s="8">
        <v>46057</v>
      </c>
      <c r="D57" s="3" t="s">
        <v>98</v>
      </c>
      <c r="E57" s="3" t="s">
        <v>43</v>
      </c>
      <c r="F57" s="3" t="s">
        <v>44</v>
      </c>
      <c r="G57" s="3" t="s">
        <v>18</v>
      </c>
      <c r="H57" s="3" t="s">
        <v>19</v>
      </c>
      <c r="I57" s="3" t="s">
        <v>99</v>
      </c>
      <c r="J57" s="3" t="s">
        <v>46</v>
      </c>
      <c r="K57" s="2">
        <v>25</v>
      </c>
      <c r="L57" s="1">
        <v>64700</v>
      </c>
      <c r="M57" s="1">
        <v>1617500</v>
      </c>
      <c r="N57" s="1">
        <v>10</v>
      </c>
      <c r="O57" s="1">
        <v>161750</v>
      </c>
    </row>
    <row r="58" spans="1:15">
      <c r="A58" s="6">
        <v>2026</v>
      </c>
      <c r="B58" s="7">
        <v>2</v>
      </c>
      <c r="C58" s="8">
        <v>46057</v>
      </c>
      <c r="D58" s="3" t="s">
        <v>100</v>
      </c>
      <c r="E58" s="3" t="s">
        <v>48</v>
      </c>
      <c r="F58" s="3" t="s">
        <v>36</v>
      </c>
      <c r="G58" s="3" t="s">
        <v>18</v>
      </c>
      <c r="H58" s="3" t="s">
        <v>19</v>
      </c>
      <c r="I58" s="3" t="s">
        <v>53</v>
      </c>
      <c r="J58" s="3" t="s">
        <v>38</v>
      </c>
      <c r="K58" s="2">
        <v>48</v>
      </c>
      <c r="L58" s="1">
        <v>65000</v>
      </c>
      <c r="M58" s="1">
        <v>3120000</v>
      </c>
      <c r="N58" s="1">
        <v>5</v>
      </c>
      <c r="O58" s="1">
        <v>156000</v>
      </c>
    </row>
    <row r="59" spans="1:15">
      <c r="A59" s="6">
        <v>2026</v>
      </c>
      <c r="B59" s="7">
        <v>2</v>
      </c>
      <c r="C59" s="8">
        <v>46057</v>
      </c>
      <c r="D59" s="3" t="s">
        <v>100</v>
      </c>
      <c r="E59" s="3" t="s">
        <v>48</v>
      </c>
      <c r="F59" s="3" t="s">
        <v>36</v>
      </c>
      <c r="G59" s="3" t="s">
        <v>18</v>
      </c>
      <c r="H59" s="3" t="s">
        <v>19</v>
      </c>
      <c r="I59" s="3" t="s">
        <v>53</v>
      </c>
      <c r="J59" s="3" t="s">
        <v>38</v>
      </c>
      <c r="K59" s="2">
        <v>2</v>
      </c>
      <c r="L59" s="1">
        <v>65000</v>
      </c>
      <c r="M59" s="1">
        <v>130000</v>
      </c>
      <c r="N59" s="1">
        <v>5</v>
      </c>
      <c r="O59" s="1">
        <v>6500</v>
      </c>
    </row>
    <row r="60" spans="1:15">
      <c r="A60" s="6">
        <v>2026</v>
      </c>
      <c r="B60" s="7">
        <v>2</v>
      </c>
      <c r="C60" s="8">
        <v>46058</v>
      </c>
      <c r="D60" s="3" t="s">
        <v>101</v>
      </c>
      <c r="E60" s="3" t="s">
        <v>59</v>
      </c>
      <c r="F60" s="3" t="s">
        <v>36</v>
      </c>
      <c r="G60" s="3" t="s">
        <v>18</v>
      </c>
      <c r="H60" s="3" t="s">
        <v>19</v>
      </c>
      <c r="I60" s="3" t="s">
        <v>81</v>
      </c>
      <c r="J60" s="3" t="s">
        <v>38</v>
      </c>
      <c r="K60" s="2">
        <v>50</v>
      </c>
      <c r="L60" s="1">
        <v>65000</v>
      </c>
      <c r="M60" s="1">
        <v>3250000</v>
      </c>
      <c r="N60" s="1">
        <v>5</v>
      </c>
      <c r="O60" s="1">
        <v>162500</v>
      </c>
    </row>
    <row r="61" spans="1:15">
      <c r="A61" s="6">
        <v>2026</v>
      </c>
      <c r="B61" s="7">
        <v>2</v>
      </c>
      <c r="C61" s="8">
        <v>46062</v>
      </c>
      <c r="D61" s="3" t="s">
        <v>102</v>
      </c>
      <c r="E61" s="3" t="s">
        <v>48</v>
      </c>
      <c r="F61" s="3" t="s">
        <v>36</v>
      </c>
      <c r="G61" s="3" t="s">
        <v>18</v>
      </c>
      <c r="H61" s="3" t="s">
        <v>19</v>
      </c>
      <c r="I61" s="3" t="s">
        <v>103</v>
      </c>
      <c r="J61" s="3" t="s">
        <v>41</v>
      </c>
      <c r="K61" s="2">
        <v>10</v>
      </c>
      <c r="L61" s="1">
        <v>90000</v>
      </c>
      <c r="M61" s="1">
        <v>900000</v>
      </c>
      <c r="N61" s="1">
        <v>5</v>
      </c>
      <c r="O61" s="1">
        <v>45000</v>
      </c>
    </row>
    <row r="62" spans="1:15">
      <c r="A62" s="6">
        <v>2026</v>
      </c>
      <c r="B62" s="7">
        <v>2</v>
      </c>
      <c r="C62" s="8">
        <v>46062</v>
      </c>
      <c r="D62" s="3" t="s">
        <v>104</v>
      </c>
      <c r="E62" s="3" t="s">
        <v>68</v>
      </c>
      <c r="F62" s="3" t="s">
        <v>36</v>
      </c>
      <c r="G62" s="3" t="s">
        <v>18</v>
      </c>
      <c r="H62" s="3" t="s">
        <v>19</v>
      </c>
      <c r="I62" s="3" t="s">
        <v>51</v>
      </c>
      <c r="J62" s="3" t="s">
        <v>41</v>
      </c>
      <c r="K62" s="2">
        <v>20</v>
      </c>
      <c r="L62" s="1">
        <v>90000</v>
      </c>
      <c r="M62" s="1">
        <v>1800000</v>
      </c>
      <c r="N62" s="1">
        <v>5</v>
      </c>
      <c r="O62" s="1">
        <v>90000</v>
      </c>
    </row>
    <row r="63" spans="1:15">
      <c r="A63" s="6">
        <v>2026</v>
      </c>
      <c r="B63" s="7">
        <v>2</v>
      </c>
      <c r="C63" s="8">
        <v>46062</v>
      </c>
      <c r="D63" s="3" t="s">
        <v>105</v>
      </c>
      <c r="E63" s="3" t="s">
        <v>68</v>
      </c>
      <c r="F63" s="3" t="s">
        <v>36</v>
      </c>
      <c r="G63" s="3" t="s">
        <v>18</v>
      </c>
      <c r="H63" s="3" t="s">
        <v>19</v>
      </c>
      <c r="I63" s="3" t="s">
        <v>69</v>
      </c>
      <c r="J63" s="3" t="s">
        <v>41</v>
      </c>
      <c r="K63" s="2">
        <v>20</v>
      </c>
      <c r="L63" s="1">
        <v>90000</v>
      </c>
      <c r="M63" s="1">
        <v>1800000</v>
      </c>
      <c r="N63" s="1">
        <v>5</v>
      </c>
      <c r="O63" s="1">
        <v>90000</v>
      </c>
    </row>
    <row r="64" spans="1:15">
      <c r="A64" s="6">
        <v>2026</v>
      </c>
      <c r="B64" s="7">
        <v>2</v>
      </c>
      <c r="C64" s="8">
        <v>46062</v>
      </c>
      <c r="D64" s="3" t="s">
        <v>105</v>
      </c>
      <c r="E64" s="3" t="s">
        <v>68</v>
      </c>
      <c r="F64" s="3" t="s">
        <v>36</v>
      </c>
      <c r="G64" s="3" t="s">
        <v>18</v>
      </c>
      <c r="H64" s="3" t="s">
        <v>19</v>
      </c>
      <c r="I64" s="3" t="s">
        <v>69</v>
      </c>
      <c r="J64" s="3" t="s">
        <v>38</v>
      </c>
      <c r="K64" s="2">
        <v>20</v>
      </c>
      <c r="L64" s="1">
        <v>65000</v>
      </c>
      <c r="M64" s="1">
        <v>1300000</v>
      </c>
      <c r="N64" s="1">
        <v>5</v>
      </c>
      <c r="O64" s="1">
        <v>65000</v>
      </c>
    </row>
    <row r="65" spans="1:15">
      <c r="A65" s="6">
        <v>2026</v>
      </c>
      <c r="B65" s="7">
        <v>2</v>
      </c>
      <c r="C65" s="8">
        <v>46062</v>
      </c>
      <c r="D65" s="3" t="s">
        <v>105</v>
      </c>
      <c r="E65" s="3" t="s">
        <v>68</v>
      </c>
      <c r="F65" s="3" t="s">
        <v>36</v>
      </c>
      <c r="G65" s="3" t="s">
        <v>18</v>
      </c>
      <c r="H65" s="3" t="s">
        <v>19</v>
      </c>
      <c r="I65" s="3" t="s">
        <v>69</v>
      </c>
      <c r="J65" s="3" t="s">
        <v>46</v>
      </c>
      <c r="K65" s="2">
        <v>20</v>
      </c>
      <c r="L65" s="1">
        <v>64700</v>
      </c>
      <c r="M65" s="1">
        <v>1294000</v>
      </c>
      <c r="N65" s="1">
        <v>5</v>
      </c>
      <c r="O65" s="1">
        <v>64700</v>
      </c>
    </row>
    <row r="66" spans="1:15">
      <c r="A66" s="6">
        <v>2026</v>
      </c>
      <c r="B66" s="7">
        <v>2</v>
      </c>
      <c r="C66" s="8">
        <v>46063</v>
      </c>
      <c r="D66" s="3" t="s">
        <v>106</v>
      </c>
      <c r="E66" s="3" t="s">
        <v>35</v>
      </c>
      <c r="F66" s="3" t="s">
        <v>36</v>
      </c>
      <c r="G66" s="3" t="s">
        <v>18</v>
      </c>
      <c r="H66" s="3" t="s">
        <v>19</v>
      </c>
      <c r="I66" s="3" t="s">
        <v>75</v>
      </c>
      <c r="J66" s="3" t="s">
        <v>46</v>
      </c>
      <c r="K66" s="2">
        <v>50</v>
      </c>
      <c r="L66" s="1">
        <v>64700</v>
      </c>
      <c r="M66" s="1">
        <v>3235000</v>
      </c>
      <c r="N66" s="1">
        <v>5</v>
      </c>
      <c r="O66" s="1">
        <v>161750</v>
      </c>
    </row>
    <row r="67" spans="1:15">
      <c r="A67" s="6">
        <v>2026</v>
      </c>
      <c r="B67" s="7">
        <v>2</v>
      </c>
      <c r="C67" s="8">
        <v>46063</v>
      </c>
      <c r="D67" s="3" t="s">
        <v>106</v>
      </c>
      <c r="E67" s="3" t="s">
        <v>35</v>
      </c>
      <c r="F67" s="3" t="s">
        <v>36</v>
      </c>
      <c r="G67" s="3" t="s">
        <v>18</v>
      </c>
      <c r="H67" s="3" t="s">
        <v>19</v>
      </c>
      <c r="I67" s="3" t="s">
        <v>75</v>
      </c>
      <c r="J67" s="3" t="s">
        <v>38</v>
      </c>
      <c r="K67" s="2">
        <v>20</v>
      </c>
      <c r="L67" s="1">
        <v>65000</v>
      </c>
      <c r="M67" s="1">
        <v>1300000</v>
      </c>
      <c r="N67" s="1">
        <v>5</v>
      </c>
      <c r="O67" s="1">
        <v>65000</v>
      </c>
    </row>
    <row r="68" spans="1:15">
      <c r="A68" s="6">
        <v>2026</v>
      </c>
      <c r="B68" s="7">
        <v>2</v>
      </c>
      <c r="C68" s="8">
        <v>46063</v>
      </c>
      <c r="D68" s="3" t="s">
        <v>107</v>
      </c>
      <c r="E68" s="3" t="s">
        <v>48</v>
      </c>
      <c r="F68" s="3" t="s">
        <v>36</v>
      </c>
      <c r="G68" s="3" t="s">
        <v>18</v>
      </c>
      <c r="H68" s="3" t="s">
        <v>19</v>
      </c>
      <c r="I68" s="3" t="s">
        <v>49</v>
      </c>
      <c r="J68" s="3" t="s">
        <v>38</v>
      </c>
      <c r="K68" s="2">
        <v>20</v>
      </c>
      <c r="L68" s="1">
        <v>65000</v>
      </c>
      <c r="M68" s="1">
        <v>1300000</v>
      </c>
      <c r="N68" s="1">
        <v>5</v>
      </c>
      <c r="O68" s="1">
        <v>65000</v>
      </c>
    </row>
    <row r="69" spans="1:15">
      <c r="A69" s="6">
        <v>2026</v>
      </c>
      <c r="B69" s="7">
        <v>2</v>
      </c>
      <c r="C69" s="8">
        <v>46065</v>
      </c>
      <c r="D69" s="3" t="s">
        <v>108</v>
      </c>
      <c r="E69" s="3" t="s">
        <v>43</v>
      </c>
      <c r="F69" s="3" t="s">
        <v>44</v>
      </c>
      <c r="G69" s="3" t="s">
        <v>18</v>
      </c>
      <c r="H69" s="3" t="s">
        <v>19</v>
      </c>
      <c r="I69" s="3" t="s">
        <v>109</v>
      </c>
      <c r="J69" s="3" t="s">
        <v>46</v>
      </c>
      <c r="K69" s="2">
        <v>30</v>
      </c>
      <c r="L69" s="1">
        <v>64700</v>
      </c>
      <c r="M69" s="1">
        <v>1941000</v>
      </c>
      <c r="N69" s="1">
        <v>10</v>
      </c>
      <c r="O69" s="1">
        <v>194100</v>
      </c>
    </row>
    <row r="70" spans="1:15">
      <c r="A70" s="6">
        <v>2026</v>
      </c>
      <c r="B70" s="7">
        <v>2</v>
      </c>
      <c r="C70" s="8">
        <v>46065</v>
      </c>
      <c r="D70" s="3" t="s">
        <v>110</v>
      </c>
      <c r="E70" s="3" t="s">
        <v>35</v>
      </c>
      <c r="F70" s="3" t="s">
        <v>36</v>
      </c>
      <c r="G70" s="3" t="s">
        <v>18</v>
      </c>
      <c r="H70" s="3" t="s">
        <v>19</v>
      </c>
      <c r="I70" s="3" t="s">
        <v>111</v>
      </c>
      <c r="J70" s="3" t="s">
        <v>38</v>
      </c>
      <c r="K70" s="2">
        <v>10</v>
      </c>
      <c r="L70" s="1">
        <v>65000</v>
      </c>
      <c r="M70" s="1">
        <v>650000</v>
      </c>
      <c r="N70" s="1">
        <v>5</v>
      </c>
      <c r="O70" s="1">
        <v>32500</v>
      </c>
    </row>
    <row r="71" spans="1:15">
      <c r="A71" s="6">
        <v>2026</v>
      </c>
      <c r="B71" s="7">
        <v>2</v>
      </c>
      <c r="C71" s="8">
        <v>46065</v>
      </c>
      <c r="D71" s="3" t="s">
        <v>110</v>
      </c>
      <c r="E71" s="3" t="s">
        <v>35</v>
      </c>
      <c r="F71" s="3" t="s">
        <v>36</v>
      </c>
      <c r="G71" s="3" t="s">
        <v>18</v>
      </c>
      <c r="H71" s="3" t="s">
        <v>19</v>
      </c>
      <c r="I71" s="3" t="s">
        <v>111</v>
      </c>
      <c r="J71" s="3" t="s">
        <v>46</v>
      </c>
      <c r="K71" s="2">
        <v>10</v>
      </c>
      <c r="L71" s="1">
        <v>64700</v>
      </c>
      <c r="M71" s="1">
        <v>647000</v>
      </c>
      <c r="N71" s="1">
        <v>5</v>
      </c>
      <c r="O71" s="1">
        <v>32350</v>
      </c>
    </row>
    <row r="72" spans="1:15">
      <c r="A72" s="6">
        <v>2026</v>
      </c>
      <c r="B72" s="7">
        <v>2</v>
      </c>
      <c r="C72" s="8">
        <v>46065</v>
      </c>
      <c r="D72" s="3" t="s">
        <v>110</v>
      </c>
      <c r="E72" s="3" t="s">
        <v>35</v>
      </c>
      <c r="F72" s="3" t="s">
        <v>36</v>
      </c>
      <c r="G72" s="3" t="s">
        <v>18</v>
      </c>
      <c r="H72" s="3" t="s">
        <v>19</v>
      </c>
      <c r="I72" s="3" t="s">
        <v>111</v>
      </c>
      <c r="J72" s="3" t="s">
        <v>41</v>
      </c>
      <c r="K72" s="2">
        <v>10</v>
      </c>
      <c r="L72" s="1">
        <v>90000</v>
      </c>
      <c r="M72" s="1">
        <v>900000</v>
      </c>
      <c r="N72" s="1">
        <v>5</v>
      </c>
      <c r="O72" s="1">
        <v>45000</v>
      </c>
    </row>
    <row r="73" spans="1:15">
      <c r="A73" s="6">
        <v>2026</v>
      </c>
      <c r="B73" s="7">
        <v>2</v>
      </c>
      <c r="C73" s="8">
        <v>46065</v>
      </c>
      <c r="D73" s="3" t="s">
        <v>112</v>
      </c>
      <c r="E73" s="3" t="s">
        <v>43</v>
      </c>
      <c r="F73" s="3" t="s">
        <v>44</v>
      </c>
      <c r="G73" s="3" t="s">
        <v>18</v>
      </c>
      <c r="H73" s="3" t="s">
        <v>19</v>
      </c>
      <c r="I73" s="3" t="s">
        <v>113</v>
      </c>
      <c r="J73" s="3" t="s">
        <v>46</v>
      </c>
      <c r="K73" s="2">
        <v>5</v>
      </c>
      <c r="L73" s="1">
        <v>64700</v>
      </c>
      <c r="M73" s="1">
        <v>323500</v>
      </c>
      <c r="N73" s="1">
        <v>10</v>
      </c>
      <c r="O73" s="1">
        <v>32350</v>
      </c>
    </row>
    <row r="74" spans="1:15">
      <c r="A74" s="6">
        <v>2026</v>
      </c>
      <c r="B74" s="7">
        <v>2</v>
      </c>
      <c r="C74" s="8">
        <v>46066</v>
      </c>
      <c r="D74" s="3" t="s">
        <v>114</v>
      </c>
      <c r="E74" s="3" t="s">
        <v>78</v>
      </c>
      <c r="F74" s="3" t="s">
        <v>78</v>
      </c>
      <c r="G74" s="3" t="s">
        <v>78</v>
      </c>
      <c r="H74" s="3" t="s">
        <v>19</v>
      </c>
      <c r="I74" s="3" t="s">
        <v>79</v>
      </c>
      <c r="J74" s="3" t="s">
        <v>46</v>
      </c>
      <c r="K74" s="2">
        <v>200</v>
      </c>
      <c r="L74" s="1">
        <v>64700</v>
      </c>
      <c r="M74" s="1">
        <v>12940000</v>
      </c>
      <c r="N74" s="1">
        <v>5</v>
      </c>
      <c r="O74" s="1">
        <v>647000</v>
      </c>
    </row>
    <row r="75" spans="1:15">
      <c r="A75" s="6">
        <v>2026</v>
      </c>
      <c r="B75" s="7">
        <v>2</v>
      </c>
      <c r="C75" s="8">
        <v>46066</v>
      </c>
      <c r="D75" s="3" t="s">
        <v>114</v>
      </c>
      <c r="E75" s="3" t="s">
        <v>78</v>
      </c>
      <c r="F75" s="3" t="s">
        <v>78</v>
      </c>
      <c r="G75" s="3" t="s">
        <v>78</v>
      </c>
      <c r="H75" s="3" t="s">
        <v>19</v>
      </c>
      <c r="I75" s="3" t="s">
        <v>79</v>
      </c>
      <c r="J75" s="3" t="s">
        <v>41</v>
      </c>
      <c r="K75" s="2">
        <v>150</v>
      </c>
      <c r="L75" s="1">
        <v>90000</v>
      </c>
      <c r="M75" s="1">
        <v>13500000</v>
      </c>
      <c r="N75" s="1">
        <v>5</v>
      </c>
      <c r="O75" s="1">
        <v>675000</v>
      </c>
    </row>
    <row r="76" spans="1:15">
      <c r="A76" s="6">
        <v>2026</v>
      </c>
      <c r="B76" s="7">
        <v>2</v>
      </c>
      <c r="C76" s="8">
        <v>46066</v>
      </c>
      <c r="D76" s="3" t="s">
        <v>114</v>
      </c>
      <c r="E76" s="3" t="s">
        <v>78</v>
      </c>
      <c r="F76" s="3" t="s">
        <v>78</v>
      </c>
      <c r="G76" s="3" t="s">
        <v>78</v>
      </c>
      <c r="H76" s="3" t="s">
        <v>19</v>
      </c>
      <c r="I76" s="3" t="s">
        <v>79</v>
      </c>
      <c r="J76" s="3" t="s">
        <v>38</v>
      </c>
      <c r="K76" s="2">
        <v>100</v>
      </c>
      <c r="L76" s="1">
        <v>65000</v>
      </c>
      <c r="M76" s="1">
        <v>6500000</v>
      </c>
      <c r="N76" s="1">
        <v>5</v>
      </c>
      <c r="O76" s="1">
        <v>325000</v>
      </c>
    </row>
    <row r="77" spans="1:15">
      <c r="A77" s="6">
        <v>2026</v>
      </c>
      <c r="B77" s="7">
        <v>2</v>
      </c>
      <c r="C77" s="8">
        <v>46069</v>
      </c>
      <c r="D77" s="3" t="s">
        <v>115</v>
      </c>
      <c r="E77" s="3" t="s">
        <v>48</v>
      </c>
      <c r="F77" s="3" t="s">
        <v>36</v>
      </c>
      <c r="G77" s="3" t="s">
        <v>18</v>
      </c>
      <c r="H77" s="3" t="s">
        <v>19</v>
      </c>
      <c r="I77" s="3" t="s">
        <v>103</v>
      </c>
      <c r="J77" s="3" t="s">
        <v>41</v>
      </c>
      <c r="K77" s="2">
        <v>10</v>
      </c>
      <c r="L77" s="1">
        <v>90000</v>
      </c>
      <c r="M77" s="1">
        <v>900000</v>
      </c>
      <c r="N77" s="1">
        <v>5</v>
      </c>
      <c r="O77" s="1">
        <v>45000</v>
      </c>
    </row>
    <row r="78" spans="1:15">
      <c r="A78" s="6">
        <v>2026</v>
      </c>
      <c r="B78" s="7">
        <v>2</v>
      </c>
      <c r="C78" s="8">
        <v>46070</v>
      </c>
      <c r="D78" s="3" t="s">
        <v>116</v>
      </c>
      <c r="E78" s="3" t="s">
        <v>43</v>
      </c>
      <c r="F78" s="3" t="s">
        <v>44</v>
      </c>
      <c r="G78" s="3" t="s">
        <v>18</v>
      </c>
      <c r="H78" s="3" t="s">
        <v>19</v>
      </c>
      <c r="I78" s="3" t="s">
        <v>117</v>
      </c>
      <c r="J78" s="3" t="s">
        <v>46</v>
      </c>
      <c r="K78" s="2">
        <v>40</v>
      </c>
      <c r="L78" s="1">
        <v>64700</v>
      </c>
      <c r="M78" s="1">
        <v>2588000</v>
      </c>
      <c r="N78" s="1">
        <v>10</v>
      </c>
      <c r="O78" s="1">
        <v>258800</v>
      </c>
    </row>
    <row r="79" spans="1:15">
      <c r="A79" s="6">
        <v>2026</v>
      </c>
      <c r="B79" s="7">
        <v>2</v>
      </c>
      <c r="C79" s="8">
        <v>46071</v>
      </c>
      <c r="D79" s="3" t="s">
        <v>118</v>
      </c>
      <c r="E79" s="3" t="s">
        <v>35</v>
      </c>
      <c r="F79" s="3" t="s">
        <v>36</v>
      </c>
      <c r="G79" s="3" t="s">
        <v>18</v>
      </c>
      <c r="H79" s="3" t="s">
        <v>19</v>
      </c>
      <c r="I79" s="3" t="s">
        <v>75</v>
      </c>
      <c r="J79" s="3" t="s">
        <v>38</v>
      </c>
      <c r="K79" s="2">
        <v>30</v>
      </c>
      <c r="L79" s="1">
        <v>65000</v>
      </c>
      <c r="M79" s="1">
        <v>1950000</v>
      </c>
      <c r="N79" s="1">
        <v>5</v>
      </c>
      <c r="O79" s="1">
        <v>97500</v>
      </c>
    </row>
    <row r="80" spans="1:15">
      <c r="A80" s="6">
        <v>2026</v>
      </c>
      <c r="B80" s="7">
        <v>2</v>
      </c>
      <c r="C80" s="8">
        <v>46071</v>
      </c>
      <c r="D80" s="3" t="s">
        <v>118</v>
      </c>
      <c r="E80" s="3" t="s">
        <v>35</v>
      </c>
      <c r="F80" s="3" t="s">
        <v>36</v>
      </c>
      <c r="G80" s="3" t="s">
        <v>18</v>
      </c>
      <c r="H80" s="3" t="s">
        <v>19</v>
      </c>
      <c r="I80" s="3" t="s">
        <v>75</v>
      </c>
      <c r="J80" s="3" t="s">
        <v>38</v>
      </c>
      <c r="K80" s="2">
        <v>20</v>
      </c>
      <c r="L80" s="1">
        <v>65000</v>
      </c>
      <c r="M80" s="1">
        <v>1300000</v>
      </c>
      <c r="N80" s="1">
        <v>5</v>
      </c>
      <c r="O80" s="1">
        <v>65000</v>
      </c>
    </row>
    <row r="81" spans="1:15">
      <c r="A81" s="6">
        <v>2026</v>
      </c>
      <c r="B81" s="7">
        <v>2</v>
      </c>
      <c r="C81" s="8">
        <v>46071</v>
      </c>
      <c r="D81" s="3" t="s">
        <v>118</v>
      </c>
      <c r="E81" s="3" t="s">
        <v>35</v>
      </c>
      <c r="F81" s="3" t="s">
        <v>36</v>
      </c>
      <c r="G81" s="3" t="s">
        <v>18</v>
      </c>
      <c r="H81" s="3" t="s">
        <v>19</v>
      </c>
      <c r="I81" s="3" t="s">
        <v>75</v>
      </c>
      <c r="J81" s="3" t="s">
        <v>41</v>
      </c>
      <c r="K81" s="2">
        <v>50</v>
      </c>
      <c r="L81" s="1">
        <v>90000</v>
      </c>
      <c r="M81" s="1">
        <v>4500000</v>
      </c>
      <c r="N81" s="1">
        <v>5</v>
      </c>
      <c r="O81" s="1">
        <v>225000</v>
      </c>
    </row>
    <row r="82" spans="1:15">
      <c r="A82" s="6">
        <v>2026</v>
      </c>
      <c r="B82" s="7">
        <v>2</v>
      </c>
      <c r="C82" s="8">
        <v>46071</v>
      </c>
      <c r="D82" s="3" t="s">
        <v>118</v>
      </c>
      <c r="E82" s="3" t="s">
        <v>35</v>
      </c>
      <c r="F82" s="3" t="s">
        <v>36</v>
      </c>
      <c r="G82" s="3" t="s">
        <v>18</v>
      </c>
      <c r="H82" s="3" t="s">
        <v>19</v>
      </c>
      <c r="I82" s="3" t="s">
        <v>75</v>
      </c>
      <c r="J82" s="3" t="s">
        <v>46</v>
      </c>
      <c r="K82" s="2">
        <v>25</v>
      </c>
      <c r="L82" s="1">
        <v>64700</v>
      </c>
      <c r="M82" s="1">
        <v>1617500</v>
      </c>
      <c r="N82" s="1">
        <v>5</v>
      </c>
      <c r="O82" s="1">
        <v>80875</v>
      </c>
    </row>
    <row r="83" spans="1:15">
      <c r="A83" s="6">
        <v>2026</v>
      </c>
      <c r="B83" s="7">
        <v>2</v>
      </c>
      <c r="C83" s="8">
        <v>46071</v>
      </c>
      <c r="D83" s="3" t="s">
        <v>118</v>
      </c>
      <c r="E83" s="3" t="s">
        <v>35</v>
      </c>
      <c r="F83" s="3" t="s">
        <v>36</v>
      </c>
      <c r="G83" s="3" t="s">
        <v>18</v>
      </c>
      <c r="H83" s="3" t="s">
        <v>19</v>
      </c>
      <c r="I83" s="3" t="s">
        <v>75</v>
      </c>
      <c r="J83" s="3" t="s">
        <v>46</v>
      </c>
      <c r="K83" s="2">
        <v>55</v>
      </c>
      <c r="L83" s="1">
        <v>64700</v>
      </c>
      <c r="M83" s="1">
        <v>3558500</v>
      </c>
      <c r="N83" s="1">
        <v>5</v>
      </c>
      <c r="O83" s="1">
        <v>177925</v>
      </c>
    </row>
    <row r="84" spans="1:15">
      <c r="A84" s="6">
        <v>2026</v>
      </c>
      <c r="B84" s="7">
        <v>2</v>
      </c>
      <c r="C84" s="8">
        <v>46071</v>
      </c>
      <c r="D84" s="3" t="s">
        <v>119</v>
      </c>
      <c r="E84" s="3" t="s">
        <v>48</v>
      </c>
      <c r="F84" s="3" t="s">
        <v>36</v>
      </c>
      <c r="G84" s="3" t="s">
        <v>18</v>
      </c>
      <c r="H84" s="3" t="s">
        <v>19</v>
      </c>
      <c r="I84" s="3" t="s">
        <v>120</v>
      </c>
      <c r="J84" s="3" t="s">
        <v>38</v>
      </c>
      <c r="K84" s="2">
        <v>20</v>
      </c>
      <c r="L84" s="1">
        <v>65000</v>
      </c>
      <c r="M84" s="1">
        <v>1300000</v>
      </c>
      <c r="N84" s="1">
        <v>5</v>
      </c>
      <c r="O84" s="1">
        <v>65000</v>
      </c>
    </row>
    <row r="85" spans="1:15">
      <c r="A85" s="6">
        <v>2026</v>
      </c>
      <c r="B85" s="7">
        <v>2</v>
      </c>
      <c r="C85" s="8">
        <v>46071</v>
      </c>
      <c r="D85" s="3" t="s">
        <v>119</v>
      </c>
      <c r="E85" s="3" t="s">
        <v>48</v>
      </c>
      <c r="F85" s="3" t="s">
        <v>36</v>
      </c>
      <c r="G85" s="3" t="s">
        <v>18</v>
      </c>
      <c r="H85" s="3" t="s">
        <v>19</v>
      </c>
      <c r="I85" s="3" t="s">
        <v>120</v>
      </c>
      <c r="J85" s="3" t="s">
        <v>41</v>
      </c>
      <c r="K85" s="2">
        <v>5</v>
      </c>
      <c r="L85" s="1">
        <v>90000</v>
      </c>
      <c r="M85" s="1">
        <v>450000</v>
      </c>
      <c r="N85" s="1">
        <v>5</v>
      </c>
      <c r="O85" s="1">
        <v>22500</v>
      </c>
    </row>
    <row r="86" spans="1:15">
      <c r="A86" s="6">
        <v>2026</v>
      </c>
      <c r="B86" s="7">
        <v>2</v>
      </c>
      <c r="C86" s="8">
        <v>46071</v>
      </c>
      <c r="D86" s="3" t="s">
        <v>119</v>
      </c>
      <c r="E86" s="3" t="s">
        <v>48</v>
      </c>
      <c r="F86" s="3" t="s">
        <v>36</v>
      </c>
      <c r="G86" s="3" t="s">
        <v>18</v>
      </c>
      <c r="H86" s="3" t="s">
        <v>19</v>
      </c>
      <c r="I86" s="3" t="s">
        <v>120</v>
      </c>
      <c r="J86" s="3" t="s">
        <v>46</v>
      </c>
      <c r="K86" s="2">
        <v>5</v>
      </c>
      <c r="L86" s="1">
        <v>64700</v>
      </c>
      <c r="M86" s="1">
        <v>323500</v>
      </c>
      <c r="N86" s="1">
        <v>5</v>
      </c>
      <c r="O86" s="1">
        <v>16175</v>
      </c>
    </row>
    <row r="87" spans="1:15">
      <c r="A87" s="6">
        <v>2026</v>
      </c>
      <c r="B87" s="7">
        <v>2</v>
      </c>
      <c r="C87" s="8">
        <v>46071</v>
      </c>
      <c r="D87" s="3" t="s">
        <v>121</v>
      </c>
      <c r="E87" s="3" t="s">
        <v>59</v>
      </c>
      <c r="F87" s="3" t="s">
        <v>36</v>
      </c>
      <c r="G87" s="3" t="s">
        <v>18</v>
      </c>
      <c r="H87" s="3" t="s">
        <v>19</v>
      </c>
      <c r="I87" s="3" t="s">
        <v>122</v>
      </c>
      <c r="J87" s="3" t="s">
        <v>38</v>
      </c>
      <c r="K87" s="2">
        <v>40</v>
      </c>
      <c r="L87" s="1">
        <v>65000</v>
      </c>
      <c r="M87" s="1">
        <v>2600000</v>
      </c>
      <c r="N87" s="1">
        <v>5</v>
      </c>
      <c r="O87" s="1">
        <v>130000</v>
      </c>
    </row>
    <row r="88" spans="1:15">
      <c r="A88" s="6">
        <v>2026</v>
      </c>
      <c r="B88" s="7">
        <v>2</v>
      </c>
      <c r="C88" s="8">
        <v>46071</v>
      </c>
      <c r="D88" s="3" t="s">
        <v>121</v>
      </c>
      <c r="E88" s="3" t="s">
        <v>59</v>
      </c>
      <c r="F88" s="3" t="s">
        <v>36</v>
      </c>
      <c r="G88" s="3" t="s">
        <v>18</v>
      </c>
      <c r="H88" s="3" t="s">
        <v>19</v>
      </c>
      <c r="I88" s="3" t="s">
        <v>122</v>
      </c>
      <c r="J88" s="3" t="s">
        <v>38</v>
      </c>
      <c r="K88" s="2">
        <v>10</v>
      </c>
      <c r="L88" s="1">
        <v>65000</v>
      </c>
      <c r="M88" s="1">
        <v>650000</v>
      </c>
      <c r="N88" s="1">
        <v>5</v>
      </c>
      <c r="O88" s="1">
        <v>32500</v>
      </c>
    </row>
    <row r="89" spans="1:15">
      <c r="A89" s="6">
        <v>2026</v>
      </c>
      <c r="B89" s="7">
        <v>2</v>
      </c>
      <c r="C89" s="8">
        <v>46071</v>
      </c>
      <c r="D89" s="3" t="s">
        <v>123</v>
      </c>
      <c r="E89" s="3" t="s">
        <v>48</v>
      </c>
      <c r="F89" s="3" t="s">
        <v>36</v>
      </c>
      <c r="G89" s="3" t="s">
        <v>18</v>
      </c>
      <c r="H89" s="3" t="s">
        <v>19</v>
      </c>
      <c r="I89" s="3" t="s">
        <v>124</v>
      </c>
      <c r="J89" s="3" t="s">
        <v>38</v>
      </c>
      <c r="K89" s="2">
        <v>10</v>
      </c>
      <c r="L89" s="1">
        <v>65000</v>
      </c>
      <c r="M89" s="1">
        <v>650000</v>
      </c>
      <c r="N89" s="1">
        <v>5</v>
      </c>
      <c r="O89" s="1">
        <v>32500</v>
      </c>
    </row>
    <row r="90" spans="1:15">
      <c r="A90" s="6">
        <v>2026</v>
      </c>
      <c r="B90" s="7">
        <v>2</v>
      </c>
      <c r="C90" s="8">
        <v>46071</v>
      </c>
      <c r="D90" s="3" t="s">
        <v>123</v>
      </c>
      <c r="E90" s="3" t="s">
        <v>48</v>
      </c>
      <c r="F90" s="3" t="s">
        <v>36</v>
      </c>
      <c r="G90" s="3" t="s">
        <v>18</v>
      </c>
      <c r="H90" s="3" t="s">
        <v>19</v>
      </c>
      <c r="I90" s="3" t="s">
        <v>124</v>
      </c>
      <c r="J90" s="3" t="s">
        <v>46</v>
      </c>
      <c r="K90" s="2">
        <v>10</v>
      </c>
      <c r="L90" s="1">
        <v>64700</v>
      </c>
      <c r="M90" s="1">
        <v>647000</v>
      </c>
      <c r="N90" s="1">
        <v>5</v>
      </c>
      <c r="O90" s="1">
        <v>32350</v>
      </c>
    </row>
    <row r="91" spans="1:15">
      <c r="A91" s="6">
        <v>2026</v>
      </c>
      <c r="B91" s="7">
        <v>2</v>
      </c>
      <c r="C91" s="8">
        <v>46071</v>
      </c>
      <c r="D91" s="3" t="s">
        <v>123</v>
      </c>
      <c r="E91" s="3" t="s">
        <v>48</v>
      </c>
      <c r="F91" s="3" t="s">
        <v>36</v>
      </c>
      <c r="G91" s="3" t="s">
        <v>18</v>
      </c>
      <c r="H91" s="3" t="s">
        <v>19</v>
      </c>
      <c r="I91" s="3" t="s">
        <v>124</v>
      </c>
      <c r="J91" s="3" t="s">
        <v>46</v>
      </c>
      <c r="K91" s="2">
        <v>10</v>
      </c>
      <c r="L91" s="1">
        <v>64700</v>
      </c>
      <c r="M91" s="1">
        <v>647000</v>
      </c>
      <c r="N91" s="1">
        <v>5</v>
      </c>
      <c r="O91" s="1">
        <v>32350</v>
      </c>
    </row>
    <row r="92" spans="1:15">
      <c r="A92" s="6">
        <v>2026</v>
      </c>
      <c r="B92" s="7">
        <v>2</v>
      </c>
      <c r="C92" s="8">
        <v>46071</v>
      </c>
      <c r="D92" s="3" t="s">
        <v>125</v>
      </c>
      <c r="E92" s="3" t="s">
        <v>59</v>
      </c>
      <c r="F92" s="3" t="s">
        <v>36</v>
      </c>
      <c r="G92" s="3" t="s">
        <v>18</v>
      </c>
      <c r="H92" s="3" t="s">
        <v>19</v>
      </c>
      <c r="I92" s="3" t="s">
        <v>97</v>
      </c>
      <c r="J92" s="3" t="s">
        <v>38</v>
      </c>
      <c r="K92" s="2">
        <v>20</v>
      </c>
      <c r="L92" s="1">
        <v>65000</v>
      </c>
      <c r="M92" s="1">
        <v>1300000</v>
      </c>
      <c r="N92" s="1">
        <v>5</v>
      </c>
      <c r="O92" s="1">
        <v>65000</v>
      </c>
    </row>
    <row r="93" spans="1:15">
      <c r="A93" s="6">
        <v>2026</v>
      </c>
      <c r="B93" s="7">
        <v>2</v>
      </c>
      <c r="C93" s="8">
        <v>46071</v>
      </c>
      <c r="D93" s="3" t="s">
        <v>126</v>
      </c>
      <c r="E93" s="3" t="s">
        <v>68</v>
      </c>
      <c r="F93" s="3" t="s">
        <v>36</v>
      </c>
      <c r="G93" s="3" t="s">
        <v>18</v>
      </c>
      <c r="H93" s="3" t="s">
        <v>19</v>
      </c>
      <c r="I93" s="3" t="s">
        <v>127</v>
      </c>
      <c r="J93" s="3" t="s">
        <v>41</v>
      </c>
      <c r="K93" s="2">
        <v>20</v>
      </c>
      <c r="L93" s="1">
        <v>90000</v>
      </c>
      <c r="M93" s="1">
        <v>1800000</v>
      </c>
      <c r="N93" s="1">
        <v>5</v>
      </c>
      <c r="O93" s="1">
        <v>90000</v>
      </c>
    </row>
    <row r="94" spans="1:15">
      <c r="A94" s="6">
        <v>2026</v>
      </c>
      <c r="B94" s="7">
        <v>2</v>
      </c>
      <c r="C94" s="8">
        <v>46071</v>
      </c>
      <c r="D94" s="3" t="s">
        <v>128</v>
      </c>
      <c r="E94" s="3" t="s">
        <v>68</v>
      </c>
      <c r="F94" s="3" t="s">
        <v>36</v>
      </c>
      <c r="G94" s="3" t="s">
        <v>18</v>
      </c>
      <c r="H94" s="3" t="s">
        <v>19</v>
      </c>
      <c r="I94" s="3" t="s">
        <v>129</v>
      </c>
      <c r="J94" s="3" t="s">
        <v>46</v>
      </c>
      <c r="K94" s="2">
        <v>20</v>
      </c>
      <c r="L94" s="1">
        <v>64700</v>
      </c>
      <c r="M94" s="1">
        <v>1294000</v>
      </c>
      <c r="N94" s="1">
        <v>5</v>
      </c>
      <c r="O94" s="1">
        <v>64700</v>
      </c>
    </row>
    <row r="95" spans="1:15">
      <c r="A95" s="6">
        <v>2026</v>
      </c>
      <c r="B95" s="7">
        <v>2</v>
      </c>
      <c r="C95" s="8">
        <v>46071</v>
      </c>
      <c r="D95" s="3" t="s">
        <v>128</v>
      </c>
      <c r="E95" s="3" t="s">
        <v>68</v>
      </c>
      <c r="F95" s="3" t="s">
        <v>36</v>
      </c>
      <c r="G95" s="3" t="s">
        <v>18</v>
      </c>
      <c r="H95" s="3" t="s">
        <v>19</v>
      </c>
      <c r="I95" s="3" t="s">
        <v>129</v>
      </c>
      <c r="J95" s="3" t="s">
        <v>41</v>
      </c>
      <c r="K95" s="2">
        <v>20</v>
      </c>
      <c r="L95" s="1">
        <v>90000</v>
      </c>
      <c r="M95" s="1">
        <v>1800000</v>
      </c>
      <c r="N95" s="1">
        <v>5</v>
      </c>
      <c r="O95" s="1">
        <v>90000</v>
      </c>
    </row>
    <row r="96" spans="1:15">
      <c r="A96" s="6">
        <v>2026</v>
      </c>
      <c r="B96" s="7">
        <v>2</v>
      </c>
      <c r="C96" s="8">
        <v>46071</v>
      </c>
      <c r="D96" s="3" t="s">
        <v>130</v>
      </c>
      <c r="E96" s="3" t="s">
        <v>35</v>
      </c>
      <c r="F96" s="3" t="s">
        <v>36</v>
      </c>
      <c r="G96" s="3" t="s">
        <v>18</v>
      </c>
      <c r="H96" s="3" t="s">
        <v>19</v>
      </c>
      <c r="I96" s="3" t="s">
        <v>103</v>
      </c>
      <c r="J96" s="3" t="s">
        <v>41</v>
      </c>
      <c r="K96" s="2">
        <v>10</v>
      </c>
      <c r="L96" s="1">
        <v>90000</v>
      </c>
      <c r="M96" s="1">
        <v>900000</v>
      </c>
      <c r="N96" s="1">
        <v>5</v>
      </c>
      <c r="O96" s="1">
        <v>45000</v>
      </c>
    </row>
    <row r="97" spans="1:15">
      <c r="A97" s="6">
        <v>2026</v>
      </c>
      <c r="B97" s="7">
        <v>2</v>
      </c>
      <c r="C97" s="8">
        <v>46072</v>
      </c>
      <c r="D97" s="3" t="s">
        <v>131</v>
      </c>
      <c r="E97" s="3" t="s">
        <v>68</v>
      </c>
      <c r="F97" s="3" t="s">
        <v>36</v>
      </c>
      <c r="G97" s="3" t="s">
        <v>18</v>
      </c>
      <c r="H97" s="3" t="s">
        <v>19</v>
      </c>
      <c r="I97" s="3" t="s">
        <v>69</v>
      </c>
      <c r="J97" s="3" t="s">
        <v>46</v>
      </c>
      <c r="K97" s="2">
        <v>10</v>
      </c>
      <c r="L97" s="1">
        <v>64700</v>
      </c>
      <c r="M97" s="1">
        <v>647000</v>
      </c>
      <c r="N97" s="1">
        <v>5</v>
      </c>
      <c r="O97" s="1">
        <v>32350</v>
      </c>
    </row>
    <row r="98" spans="1:15">
      <c r="A98" s="6">
        <v>2026</v>
      </c>
      <c r="B98" s="7">
        <v>2</v>
      </c>
      <c r="C98" s="8">
        <v>46073</v>
      </c>
      <c r="D98" s="3" t="s">
        <v>132</v>
      </c>
      <c r="E98" s="3" t="s">
        <v>35</v>
      </c>
      <c r="F98" s="3" t="s">
        <v>36</v>
      </c>
      <c r="G98" s="3" t="s">
        <v>18</v>
      </c>
      <c r="H98" s="3" t="s">
        <v>19</v>
      </c>
      <c r="I98" s="3" t="s">
        <v>133</v>
      </c>
      <c r="J98" s="3" t="s">
        <v>41</v>
      </c>
      <c r="K98" s="2">
        <v>15</v>
      </c>
      <c r="L98" s="1">
        <v>90000</v>
      </c>
      <c r="M98" s="1">
        <v>1350000</v>
      </c>
      <c r="N98" s="1">
        <v>5</v>
      </c>
      <c r="O98" s="1">
        <v>67500</v>
      </c>
    </row>
    <row r="99" spans="1:15">
      <c r="A99" s="6">
        <v>2026</v>
      </c>
      <c r="B99" s="7">
        <v>2</v>
      </c>
      <c r="C99" s="8">
        <v>46076</v>
      </c>
      <c r="D99" s="3" t="s">
        <v>134</v>
      </c>
      <c r="E99" s="3"/>
      <c r="F99" s="3" t="s">
        <v>44</v>
      </c>
      <c r="G99" s="3" t="s">
        <v>18</v>
      </c>
      <c r="H99" s="3" t="s">
        <v>19</v>
      </c>
      <c r="I99" s="3" t="s">
        <v>93</v>
      </c>
      <c r="J99" s="3" t="s">
        <v>46</v>
      </c>
      <c r="K99" s="2">
        <v>-20</v>
      </c>
      <c r="L99" s="1">
        <v>64700</v>
      </c>
      <c r="M99" s="1">
        <v>-1294000</v>
      </c>
      <c r="N99" s="1">
        <v>10</v>
      </c>
      <c r="O99" s="1">
        <v>129400</v>
      </c>
    </row>
    <row r="100" spans="1:15">
      <c r="A100" s="6">
        <v>2026</v>
      </c>
      <c r="B100" s="7">
        <v>2</v>
      </c>
      <c r="C100" s="8">
        <v>46076</v>
      </c>
      <c r="D100" s="3" t="s">
        <v>134</v>
      </c>
      <c r="E100" s="3"/>
      <c r="F100" s="3" t="s">
        <v>44</v>
      </c>
      <c r="G100" s="3" t="s">
        <v>18</v>
      </c>
      <c r="H100" s="3" t="s">
        <v>19</v>
      </c>
      <c r="I100" s="3" t="s">
        <v>93</v>
      </c>
      <c r="J100" s="3" t="s">
        <v>46</v>
      </c>
      <c r="K100" s="2">
        <v>-20</v>
      </c>
      <c r="L100" s="1">
        <v>64700</v>
      </c>
      <c r="M100" s="1">
        <v>-1294000</v>
      </c>
      <c r="N100" s="1">
        <v>10</v>
      </c>
      <c r="O100" s="1">
        <v>129400</v>
      </c>
    </row>
    <row r="101" spans="1:15">
      <c r="A101" s="6">
        <v>2026</v>
      </c>
      <c r="B101" s="7">
        <v>2</v>
      </c>
      <c r="C101" s="8">
        <v>46076</v>
      </c>
      <c r="D101" s="3" t="s">
        <v>135</v>
      </c>
      <c r="E101" s="3" t="s">
        <v>48</v>
      </c>
      <c r="F101" s="3" t="s">
        <v>36</v>
      </c>
      <c r="G101" s="3" t="s">
        <v>18</v>
      </c>
      <c r="H101" s="3" t="s">
        <v>19</v>
      </c>
      <c r="I101" s="3" t="s">
        <v>85</v>
      </c>
      <c r="J101" s="3" t="s">
        <v>38</v>
      </c>
      <c r="K101" s="2">
        <v>20</v>
      </c>
      <c r="L101" s="1">
        <v>65000</v>
      </c>
      <c r="M101" s="1">
        <v>1300000</v>
      </c>
      <c r="N101" s="1">
        <v>5</v>
      </c>
      <c r="O101" s="1">
        <v>65000</v>
      </c>
    </row>
    <row r="102" spans="1:15">
      <c r="A102" s="6">
        <v>2026</v>
      </c>
      <c r="B102" s="7">
        <v>2</v>
      </c>
      <c r="C102" s="8">
        <v>46076</v>
      </c>
      <c r="D102" s="3" t="s">
        <v>136</v>
      </c>
      <c r="E102" s="3" t="s">
        <v>48</v>
      </c>
      <c r="F102" s="3" t="s">
        <v>36</v>
      </c>
      <c r="G102" s="3" t="s">
        <v>18</v>
      </c>
      <c r="H102" s="3" t="s">
        <v>19</v>
      </c>
      <c r="I102" s="3" t="s">
        <v>103</v>
      </c>
      <c r="J102" s="3" t="s">
        <v>41</v>
      </c>
      <c r="K102" s="2">
        <v>50</v>
      </c>
      <c r="L102" s="1">
        <v>90000</v>
      </c>
      <c r="M102" s="1">
        <v>4500000</v>
      </c>
      <c r="N102" s="1">
        <v>5</v>
      </c>
      <c r="O102" s="1">
        <v>225000</v>
      </c>
    </row>
    <row r="103" spans="1:15">
      <c r="A103" s="6">
        <v>2026</v>
      </c>
      <c r="B103" s="7">
        <v>2</v>
      </c>
      <c r="C103" s="8">
        <v>46076</v>
      </c>
      <c r="D103" s="3" t="s">
        <v>137</v>
      </c>
      <c r="E103" s="3" t="s">
        <v>43</v>
      </c>
      <c r="F103" s="3" t="s">
        <v>44</v>
      </c>
      <c r="G103" s="3" t="s">
        <v>18</v>
      </c>
      <c r="H103" s="3" t="s">
        <v>19</v>
      </c>
      <c r="I103" s="3" t="s">
        <v>83</v>
      </c>
      <c r="J103" s="3" t="s">
        <v>46</v>
      </c>
      <c r="K103" s="2">
        <v>13</v>
      </c>
      <c r="L103" s="1">
        <v>64700</v>
      </c>
      <c r="M103" s="1">
        <v>841100</v>
      </c>
      <c r="N103" s="1">
        <v>10</v>
      </c>
      <c r="O103" s="1">
        <v>84110</v>
      </c>
    </row>
    <row r="104" spans="1:15">
      <c r="A104" s="6">
        <v>2026</v>
      </c>
      <c r="B104" s="7">
        <v>2</v>
      </c>
      <c r="C104" s="8">
        <v>46076</v>
      </c>
      <c r="D104" s="3" t="s">
        <v>138</v>
      </c>
      <c r="E104" s="3" t="s">
        <v>35</v>
      </c>
      <c r="F104" s="3" t="s">
        <v>36</v>
      </c>
      <c r="G104" s="3" t="s">
        <v>18</v>
      </c>
      <c r="H104" s="3" t="s">
        <v>19</v>
      </c>
      <c r="I104" s="3" t="s">
        <v>73</v>
      </c>
      <c r="J104" s="3" t="s">
        <v>38</v>
      </c>
      <c r="K104" s="2">
        <v>10</v>
      </c>
      <c r="L104" s="1">
        <v>65000</v>
      </c>
      <c r="M104" s="1">
        <v>650000</v>
      </c>
      <c r="N104" s="1">
        <v>5</v>
      </c>
      <c r="O104" s="1">
        <v>32500</v>
      </c>
    </row>
    <row r="105" spans="1:15">
      <c r="A105" s="6">
        <v>2026</v>
      </c>
      <c r="B105" s="7">
        <v>2</v>
      </c>
      <c r="C105" s="8">
        <v>46076</v>
      </c>
      <c r="D105" s="3" t="s">
        <v>139</v>
      </c>
      <c r="E105" s="3" t="s">
        <v>43</v>
      </c>
      <c r="F105" s="3" t="s">
        <v>44</v>
      </c>
      <c r="G105" s="3" t="s">
        <v>18</v>
      </c>
      <c r="H105" s="3" t="s">
        <v>19</v>
      </c>
      <c r="I105" s="3" t="s">
        <v>140</v>
      </c>
      <c r="J105" s="3" t="s">
        <v>46</v>
      </c>
      <c r="K105" s="2">
        <v>20</v>
      </c>
      <c r="L105" s="1">
        <v>64700</v>
      </c>
      <c r="M105" s="1">
        <v>1294000</v>
      </c>
      <c r="N105" s="1">
        <v>10</v>
      </c>
      <c r="O105" s="1">
        <v>129400</v>
      </c>
    </row>
    <row r="106" spans="1:15">
      <c r="A106" s="6">
        <v>2026</v>
      </c>
      <c r="B106" s="7">
        <v>2</v>
      </c>
      <c r="C106" s="8">
        <v>46077</v>
      </c>
      <c r="D106" s="3" t="s">
        <v>141</v>
      </c>
      <c r="E106" s="3" t="s">
        <v>35</v>
      </c>
      <c r="F106" s="3" t="s">
        <v>36</v>
      </c>
      <c r="G106" s="3" t="s">
        <v>18</v>
      </c>
      <c r="H106" s="3" t="s">
        <v>19</v>
      </c>
      <c r="I106" s="3" t="s">
        <v>69</v>
      </c>
      <c r="J106" s="3" t="s">
        <v>46</v>
      </c>
      <c r="K106" s="2">
        <v>30</v>
      </c>
      <c r="L106" s="1">
        <v>64700</v>
      </c>
      <c r="M106" s="1">
        <v>1941000</v>
      </c>
      <c r="N106" s="1">
        <v>5</v>
      </c>
      <c r="O106" s="1">
        <v>97050</v>
      </c>
    </row>
    <row r="107" spans="1:15">
      <c r="A107" s="6">
        <v>2026</v>
      </c>
      <c r="B107" s="7">
        <v>2</v>
      </c>
      <c r="C107" s="8">
        <v>46077</v>
      </c>
      <c r="D107" s="3" t="s">
        <v>141</v>
      </c>
      <c r="E107" s="3" t="s">
        <v>35</v>
      </c>
      <c r="F107" s="3" t="s">
        <v>36</v>
      </c>
      <c r="G107" s="3" t="s">
        <v>18</v>
      </c>
      <c r="H107" s="3" t="s">
        <v>19</v>
      </c>
      <c r="I107" s="3" t="s">
        <v>69</v>
      </c>
      <c r="J107" s="3" t="s">
        <v>41</v>
      </c>
      <c r="K107" s="2">
        <v>30</v>
      </c>
      <c r="L107" s="1">
        <v>90000</v>
      </c>
      <c r="M107" s="1">
        <v>2700000</v>
      </c>
      <c r="N107" s="1">
        <v>5</v>
      </c>
      <c r="O107" s="1">
        <v>135000</v>
      </c>
    </row>
    <row r="108" spans="1:15">
      <c r="A108" s="6">
        <v>2026</v>
      </c>
      <c r="B108" s="7">
        <v>2</v>
      </c>
      <c r="C108" s="8">
        <v>46077</v>
      </c>
      <c r="D108" s="3" t="s">
        <v>141</v>
      </c>
      <c r="E108" s="3" t="s">
        <v>35</v>
      </c>
      <c r="F108" s="3" t="s">
        <v>36</v>
      </c>
      <c r="G108" s="3" t="s">
        <v>18</v>
      </c>
      <c r="H108" s="3" t="s">
        <v>19</v>
      </c>
      <c r="I108" s="3" t="s">
        <v>69</v>
      </c>
      <c r="J108" s="3" t="s">
        <v>38</v>
      </c>
      <c r="K108" s="2">
        <v>30</v>
      </c>
      <c r="L108" s="1">
        <v>65000</v>
      </c>
      <c r="M108" s="1">
        <v>1950000</v>
      </c>
      <c r="N108" s="1">
        <v>5</v>
      </c>
      <c r="O108" s="1">
        <v>97500</v>
      </c>
    </row>
    <row r="109" spans="1:15">
      <c r="A109" s="6">
        <v>2026</v>
      </c>
      <c r="B109" s="7">
        <v>2</v>
      </c>
      <c r="C109" s="8">
        <v>46078</v>
      </c>
      <c r="D109" s="3" t="s">
        <v>142</v>
      </c>
      <c r="E109" s="3" t="s">
        <v>48</v>
      </c>
      <c r="F109" s="3" t="s">
        <v>36</v>
      </c>
      <c r="G109" s="3" t="s">
        <v>18</v>
      </c>
      <c r="H109" s="3" t="s">
        <v>19</v>
      </c>
      <c r="I109" s="3" t="s">
        <v>143</v>
      </c>
      <c r="J109" s="3" t="s">
        <v>41</v>
      </c>
      <c r="K109" s="2">
        <v>10</v>
      </c>
      <c r="L109" s="1">
        <v>90000</v>
      </c>
      <c r="M109" s="1">
        <v>900000</v>
      </c>
      <c r="N109" s="1">
        <v>5</v>
      </c>
      <c r="O109" s="1">
        <v>45000</v>
      </c>
    </row>
    <row r="110" spans="1:15">
      <c r="A110" s="6">
        <v>2026</v>
      </c>
      <c r="B110" s="7">
        <v>2</v>
      </c>
      <c r="C110" s="8">
        <v>46078</v>
      </c>
      <c r="D110" s="3" t="s">
        <v>144</v>
      </c>
      <c r="E110" s="3" t="s">
        <v>48</v>
      </c>
      <c r="F110" s="3" t="s">
        <v>36</v>
      </c>
      <c r="G110" s="3" t="s">
        <v>18</v>
      </c>
      <c r="H110" s="3" t="s">
        <v>19</v>
      </c>
      <c r="I110" s="3" t="s">
        <v>145</v>
      </c>
      <c r="J110" s="3" t="s">
        <v>41</v>
      </c>
      <c r="K110" s="2">
        <v>10</v>
      </c>
      <c r="L110" s="1">
        <v>90000</v>
      </c>
      <c r="M110" s="1">
        <v>900000</v>
      </c>
      <c r="N110" s="1">
        <v>5</v>
      </c>
      <c r="O110" s="1">
        <v>45000</v>
      </c>
    </row>
    <row r="111" spans="1:15">
      <c r="A111" s="6">
        <v>2026</v>
      </c>
      <c r="B111" s="7">
        <v>2</v>
      </c>
      <c r="C111" s="8">
        <v>46078</v>
      </c>
      <c r="D111" s="3" t="s">
        <v>146</v>
      </c>
      <c r="E111" s="3" t="s">
        <v>48</v>
      </c>
      <c r="F111" s="3" t="s">
        <v>36</v>
      </c>
      <c r="G111" s="3" t="s">
        <v>18</v>
      </c>
      <c r="H111" s="3" t="s">
        <v>19</v>
      </c>
      <c r="I111" s="3" t="s">
        <v>120</v>
      </c>
      <c r="J111" s="3" t="s">
        <v>41</v>
      </c>
      <c r="K111" s="2">
        <v>17</v>
      </c>
      <c r="L111" s="1">
        <v>90000</v>
      </c>
      <c r="M111" s="1">
        <v>1530000</v>
      </c>
      <c r="N111" s="1">
        <v>5</v>
      </c>
      <c r="O111" s="1">
        <v>76500</v>
      </c>
    </row>
    <row r="112" spans="1:15">
      <c r="A112" s="6">
        <v>2026</v>
      </c>
      <c r="B112" s="7">
        <v>2</v>
      </c>
      <c r="C112" s="8">
        <v>46078</v>
      </c>
      <c r="D112" s="3" t="s">
        <v>146</v>
      </c>
      <c r="E112" s="3" t="s">
        <v>48</v>
      </c>
      <c r="F112" s="3" t="s">
        <v>36</v>
      </c>
      <c r="G112" s="3" t="s">
        <v>18</v>
      </c>
      <c r="H112" s="3" t="s">
        <v>19</v>
      </c>
      <c r="I112" s="3" t="s">
        <v>120</v>
      </c>
      <c r="J112" s="3" t="s">
        <v>38</v>
      </c>
      <c r="K112" s="2">
        <v>13</v>
      </c>
      <c r="L112" s="1">
        <v>65000</v>
      </c>
      <c r="M112" s="1">
        <v>845000</v>
      </c>
      <c r="N112" s="1">
        <v>5</v>
      </c>
      <c r="O112" s="1">
        <v>42250</v>
      </c>
    </row>
    <row r="113" spans="1:15">
      <c r="A113" s="6">
        <v>2026</v>
      </c>
      <c r="B113" s="7">
        <v>2</v>
      </c>
      <c r="C113" s="8">
        <v>46078</v>
      </c>
      <c r="D113" s="3" t="s">
        <v>147</v>
      </c>
      <c r="E113" s="3" t="s">
        <v>35</v>
      </c>
      <c r="F113" s="3" t="s">
        <v>36</v>
      </c>
      <c r="G113" s="3" t="s">
        <v>18</v>
      </c>
      <c r="H113" s="3" t="s">
        <v>19</v>
      </c>
      <c r="I113" s="3" t="s">
        <v>148</v>
      </c>
      <c r="J113" s="3" t="s">
        <v>41</v>
      </c>
      <c r="K113" s="2">
        <v>40</v>
      </c>
      <c r="L113" s="1">
        <v>90000</v>
      </c>
      <c r="M113" s="1">
        <v>3600000</v>
      </c>
      <c r="N113" s="1">
        <v>5</v>
      </c>
      <c r="O113" s="1">
        <v>180000</v>
      </c>
    </row>
    <row r="114" spans="1:15">
      <c r="A114" s="6">
        <v>2026</v>
      </c>
      <c r="B114" s="7">
        <v>2</v>
      </c>
      <c r="C114" s="8">
        <v>46078</v>
      </c>
      <c r="D114" s="3" t="s">
        <v>147</v>
      </c>
      <c r="E114" s="3" t="s">
        <v>35</v>
      </c>
      <c r="F114" s="3" t="s">
        <v>36</v>
      </c>
      <c r="G114" s="3" t="s">
        <v>18</v>
      </c>
      <c r="H114" s="3" t="s">
        <v>19</v>
      </c>
      <c r="I114" s="3" t="s">
        <v>148</v>
      </c>
      <c r="J114" s="3" t="s">
        <v>46</v>
      </c>
      <c r="K114" s="2">
        <v>10</v>
      </c>
      <c r="L114" s="1">
        <v>64700</v>
      </c>
      <c r="M114" s="1">
        <v>647000</v>
      </c>
      <c r="N114" s="1">
        <v>5</v>
      </c>
      <c r="O114" s="1">
        <v>32350</v>
      </c>
    </row>
    <row r="115" spans="1:15">
      <c r="A115" s="6">
        <v>2026</v>
      </c>
      <c r="B115" s="7">
        <v>2</v>
      </c>
      <c r="C115" s="8">
        <v>46078</v>
      </c>
      <c r="D115" s="3" t="s">
        <v>147</v>
      </c>
      <c r="E115" s="3" t="s">
        <v>35</v>
      </c>
      <c r="F115" s="3" t="s">
        <v>36</v>
      </c>
      <c r="G115" s="3" t="s">
        <v>18</v>
      </c>
      <c r="H115" s="3" t="s">
        <v>19</v>
      </c>
      <c r="I115" s="3" t="s">
        <v>148</v>
      </c>
      <c r="J115" s="3" t="s">
        <v>38</v>
      </c>
      <c r="K115" s="2">
        <v>10</v>
      </c>
      <c r="L115" s="1">
        <v>65000</v>
      </c>
      <c r="M115" s="1">
        <v>650000</v>
      </c>
      <c r="N115" s="1">
        <v>5</v>
      </c>
      <c r="O115" s="1">
        <v>32500</v>
      </c>
    </row>
    <row r="116" spans="1:15">
      <c r="A116" s="6">
        <v>2026</v>
      </c>
      <c r="B116" s="7">
        <v>2</v>
      </c>
      <c r="C116" s="8">
        <v>46080</v>
      </c>
      <c r="D116" s="3" t="s">
        <v>149</v>
      </c>
      <c r="E116" s="3" t="s">
        <v>68</v>
      </c>
      <c r="F116" s="3" t="s">
        <v>36</v>
      </c>
      <c r="G116" s="3" t="s">
        <v>18</v>
      </c>
      <c r="H116" s="3" t="s">
        <v>19</v>
      </c>
      <c r="I116" s="3" t="s">
        <v>129</v>
      </c>
      <c r="J116" s="3" t="s">
        <v>46</v>
      </c>
      <c r="K116" s="2">
        <v>50</v>
      </c>
      <c r="L116" s="1">
        <v>64700</v>
      </c>
      <c r="M116" s="1">
        <v>3235000</v>
      </c>
      <c r="N116" s="1">
        <v>5</v>
      </c>
      <c r="O116" s="1">
        <v>161750</v>
      </c>
    </row>
    <row r="117" spans="1:15">
      <c r="A117" s="6">
        <v>2026</v>
      </c>
      <c r="B117" s="7">
        <v>2</v>
      </c>
      <c r="C117" s="8">
        <v>46080</v>
      </c>
      <c r="D117" s="3" t="s">
        <v>149</v>
      </c>
      <c r="E117" s="3" t="s">
        <v>68</v>
      </c>
      <c r="F117" s="3" t="s">
        <v>36</v>
      </c>
      <c r="G117" s="3" t="s">
        <v>18</v>
      </c>
      <c r="H117" s="3" t="s">
        <v>19</v>
      </c>
      <c r="I117" s="3" t="s">
        <v>129</v>
      </c>
      <c r="J117" s="3" t="s">
        <v>41</v>
      </c>
      <c r="K117" s="2">
        <v>50</v>
      </c>
      <c r="L117" s="1">
        <v>90000</v>
      </c>
      <c r="M117" s="1">
        <v>4500000</v>
      </c>
      <c r="N117" s="1">
        <v>5</v>
      </c>
      <c r="O117" s="1">
        <v>225000</v>
      </c>
    </row>
    <row r="118" spans="1:15">
      <c r="A118" s="6">
        <v>2026</v>
      </c>
      <c r="B118" s="7">
        <v>3</v>
      </c>
      <c r="C118" s="8">
        <v>46085</v>
      </c>
      <c r="D118" s="3" t="s">
        <v>150</v>
      </c>
      <c r="E118" s="3" t="s">
        <v>48</v>
      </c>
      <c r="F118" s="3" t="s">
        <v>36</v>
      </c>
      <c r="G118" s="3" t="s">
        <v>18</v>
      </c>
      <c r="H118" s="3" t="s">
        <v>19</v>
      </c>
      <c r="I118" s="3" t="s">
        <v>53</v>
      </c>
      <c r="J118" s="3" t="s">
        <v>41</v>
      </c>
      <c r="K118" s="2">
        <v>5</v>
      </c>
      <c r="L118" s="1">
        <v>90000</v>
      </c>
      <c r="M118" s="1">
        <v>450000</v>
      </c>
      <c r="N118" s="1">
        <v>5</v>
      </c>
      <c r="O118" s="1">
        <v>22500</v>
      </c>
    </row>
    <row r="119" spans="1:15">
      <c r="A119" s="6">
        <v>2026</v>
      </c>
      <c r="B119" s="7">
        <v>3</v>
      </c>
      <c r="C119" s="8">
        <v>46085</v>
      </c>
      <c r="D119" s="3" t="s">
        <v>151</v>
      </c>
      <c r="E119" s="3" t="s">
        <v>68</v>
      </c>
      <c r="F119" s="3" t="s">
        <v>36</v>
      </c>
      <c r="G119" s="3" t="s">
        <v>18</v>
      </c>
      <c r="H119" s="3" t="s">
        <v>19</v>
      </c>
      <c r="I119" s="3" t="s">
        <v>69</v>
      </c>
      <c r="J119" s="3" t="s">
        <v>38</v>
      </c>
      <c r="K119" s="2">
        <v>35</v>
      </c>
      <c r="L119" s="1">
        <v>65000</v>
      </c>
      <c r="M119" s="1">
        <v>2275000</v>
      </c>
      <c r="N119" s="1">
        <v>5</v>
      </c>
      <c r="O119" s="1">
        <v>113750</v>
      </c>
    </row>
    <row r="120" spans="1:15">
      <c r="A120" s="6">
        <v>2026</v>
      </c>
      <c r="B120" s="7">
        <v>3</v>
      </c>
      <c r="C120" s="8">
        <v>46085</v>
      </c>
      <c r="D120" s="3" t="s">
        <v>151</v>
      </c>
      <c r="E120" s="3" t="s">
        <v>68</v>
      </c>
      <c r="F120" s="3" t="s">
        <v>36</v>
      </c>
      <c r="G120" s="3" t="s">
        <v>18</v>
      </c>
      <c r="H120" s="3" t="s">
        <v>19</v>
      </c>
      <c r="I120" s="3" t="s">
        <v>69</v>
      </c>
      <c r="J120" s="3" t="s">
        <v>41</v>
      </c>
      <c r="K120" s="2">
        <v>40</v>
      </c>
      <c r="L120" s="1">
        <v>90000</v>
      </c>
      <c r="M120" s="1">
        <v>3600000</v>
      </c>
      <c r="N120" s="1">
        <v>5</v>
      </c>
      <c r="O120" s="1">
        <v>180000</v>
      </c>
    </row>
    <row r="121" spans="1:15">
      <c r="A121" s="6">
        <v>2026</v>
      </c>
      <c r="B121" s="7">
        <v>3</v>
      </c>
      <c r="C121" s="8">
        <v>46085</v>
      </c>
      <c r="D121" s="3" t="s">
        <v>151</v>
      </c>
      <c r="E121" s="3" t="s">
        <v>68</v>
      </c>
      <c r="F121" s="3" t="s">
        <v>36</v>
      </c>
      <c r="G121" s="3" t="s">
        <v>18</v>
      </c>
      <c r="H121" s="3" t="s">
        <v>19</v>
      </c>
      <c r="I121" s="3" t="s">
        <v>69</v>
      </c>
      <c r="J121" s="3" t="s">
        <v>46</v>
      </c>
      <c r="K121" s="2">
        <v>40</v>
      </c>
      <c r="L121" s="1">
        <v>64700</v>
      </c>
      <c r="M121" s="1">
        <v>2588000</v>
      </c>
      <c r="N121" s="1">
        <v>5</v>
      </c>
      <c r="O121" s="1">
        <v>129400</v>
      </c>
    </row>
    <row r="122" spans="1:15">
      <c r="A122" s="6">
        <v>2026</v>
      </c>
      <c r="B122" s="7">
        <v>3</v>
      </c>
      <c r="C122" s="8">
        <v>46085</v>
      </c>
      <c r="D122" s="3" t="s">
        <v>152</v>
      </c>
      <c r="E122" s="3" t="s">
        <v>48</v>
      </c>
      <c r="F122" s="3" t="s">
        <v>36</v>
      </c>
      <c r="G122" s="3" t="s">
        <v>18</v>
      </c>
      <c r="H122" s="3" t="s">
        <v>19</v>
      </c>
      <c r="I122" s="3" t="s">
        <v>103</v>
      </c>
      <c r="J122" s="3" t="s">
        <v>41</v>
      </c>
      <c r="K122" s="2">
        <v>50</v>
      </c>
      <c r="L122" s="1">
        <v>90000</v>
      </c>
      <c r="M122" s="1">
        <v>4500000</v>
      </c>
      <c r="N122" s="1">
        <v>5</v>
      </c>
      <c r="O122" s="1">
        <v>225000</v>
      </c>
    </row>
    <row r="123" spans="1:15">
      <c r="A123" s="6">
        <v>2026</v>
      </c>
      <c r="B123" s="7">
        <v>3</v>
      </c>
      <c r="C123" s="8">
        <v>46086</v>
      </c>
      <c r="D123" s="3" t="s">
        <v>153</v>
      </c>
      <c r="E123" s="3" t="s">
        <v>59</v>
      </c>
      <c r="F123" s="3" t="s">
        <v>36</v>
      </c>
      <c r="G123" s="3" t="s">
        <v>18</v>
      </c>
      <c r="H123" s="3" t="s">
        <v>19</v>
      </c>
      <c r="I123" s="3" t="s">
        <v>60</v>
      </c>
      <c r="J123" s="3" t="s">
        <v>41</v>
      </c>
      <c r="K123" s="2">
        <v>30</v>
      </c>
      <c r="L123" s="1">
        <v>90000</v>
      </c>
      <c r="M123" s="1">
        <v>2700000</v>
      </c>
      <c r="N123" s="1">
        <v>5</v>
      </c>
      <c r="O123" s="1">
        <v>135000</v>
      </c>
    </row>
    <row r="124" spans="1:15">
      <c r="A124" s="6">
        <v>2026</v>
      </c>
      <c r="B124" s="7">
        <v>3</v>
      </c>
      <c r="C124" s="8">
        <v>46086</v>
      </c>
      <c r="D124" s="3" t="s">
        <v>153</v>
      </c>
      <c r="E124" s="3" t="s">
        <v>59</v>
      </c>
      <c r="F124" s="3" t="s">
        <v>36</v>
      </c>
      <c r="G124" s="3" t="s">
        <v>18</v>
      </c>
      <c r="H124" s="3" t="s">
        <v>19</v>
      </c>
      <c r="I124" s="3" t="s">
        <v>60</v>
      </c>
      <c r="J124" s="3" t="s">
        <v>38</v>
      </c>
      <c r="K124" s="2">
        <v>10</v>
      </c>
      <c r="L124" s="1">
        <v>65000</v>
      </c>
      <c r="M124" s="1">
        <v>650000</v>
      </c>
      <c r="N124" s="1">
        <v>5</v>
      </c>
      <c r="O124" s="1">
        <v>32500</v>
      </c>
    </row>
    <row r="125" spans="1:15">
      <c r="A125" s="6">
        <v>2026</v>
      </c>
      <c r="B125" s="7">
        <v>3</v>
      </c>
      <c r="C125" s="8">
        <v>46086</v>
      </c>
      <c r="D125" s="3" t="s">
        <v>154</v>
      </c>
      <c r="E125" s="3" t="s">
        <v>43</v>
      </c>
      <c r="F125" s="3" t="s">
        <v>44</v>
      </c>
      <c r="G125" s="3" t="s">
        <v>18</v>
      </c>
      <c r="H125" s="3" t="s">
        <v>19</v>
      </c>
      <c r="I125" s="3" t="s">
        <v>64</v>
      </c>
      <c r="J125" s="3" t="s">
        <v>46</v>
      </c>
      <c r="K125" s="2">
        <v>20</v>
      </c>
      <c r="L125" s="1">
        <v>64700</v>
      </c>
      <c r="M125" s="1">
        <v>1294000</v>
      </c>
      <c r="N125" s="1">
        <v>10</v>
      </c>
      <c r="O125" s="1">
        <v>129400</v>
      </c>
    </row>
    <row r="126" spans="1:15">
      <c r="A126" s="6">
        <v>2026</v>
      </c>
      <c r="B126" s="7">
        <v>3</v>
      </c>
      <c r="C126" s="8">
        <v>46091</v>
      </c>
      <c r="D126" s="3" t="s">
        <v>155</v>
      </c>
      <c r="E126" s="3" t="s">
        <v>59</v>
      </c>
      <c r="F126" s="3" t="s">
        <v>36</v>
      </c>
      <c r="G126" s="3" t="s">
        <v>18</v>
      </c>
      <c r="H126" s="3" t="s">
        <v>19</v>
      </c>
      <c r="I126" s="3" t="s">
        <v>37</v>
      </c>
      <c r="J126" s="3" t="s">
        <v>41</v>
      </c>
      <c r="K126" s="2">
        <v>30</v>
      </c>
      <c r="L126" s="1">
        <v>90000</v>
      </c>
      <c r="M126" s="1">
        <v>2700000</v>
      </c>
      <c r="N126" s="1">
        <v>5</v>
      </c>
      <c r="O126" s="1">
        <v>135000</v>
      </c>
    </row>
    <row r="127" spans="1:15">
      <c r="A127" s="6">
        <v>2026</v>
      </c>
      <c r="B127" s="7">
        <v>3</v>
      </c>
      <c r="C127" s="8">
        <v>46091</v>
      </c>
      <c r="D127" s="3" t="s">
        <v>155</v>
      </c>
      <c r="E127" s="3" t="s">
        <v>59</v>
      </c>
      <c r="F127" s="3" t="s">
        <v>36</v>
      </c>
      <c r="G127" s="3" t="s">
        <v>18</v>
      </c>
      <c r="H127" s="3" t="s">
        <v>19</v>
      </c>
      <c r="I127" s="3" t="s">
        <v>37</v>
      </c>
      <c r="J127" s="3" t="s">
        <v>38</v>
      </c>
      <c r="K127" s="2">
        <v>50</v>
      </c>
      <c r="L127" s="1">
        <v>65000</v>
      </c>
      <c r="M127" s="1">
        <v>3250000</v>
      </c>
      <c r="N127" s="1">
        <v>5</v>
      </c>
      <c r="O127" s="1">
        <v>162500</v>
      </c>
    </row>
    <row r="128" spans="1:15">
      <c r="A128" s="6">
        <v>2026</v>
      </c>
      <c r="B128" s="7">
        <v>3</v>
      </c>
      <c r="C128" s="8">
        <v>46092</v>
      </c>
      <c r="D128" s="3" t="s">
        <v>156</v>
      </c>
      <c r="E128" s="3" t="s">
        <v>48</v>
      </c>
      <c r="F128" s="3" t="s">
        <v>36</v>
      </c>
      <c r="G128" s="3" t="s">
        <v>18</v>
      </c>
      <c r="H128" s="3" t="s">
        <v>19</v>
      </c>
      <c r="I128" s="3" t="s">
        <v>103</v>
      </c>
      <c r="J128" s="3" t="s">
        <v>41</v>
      </c>
      <c r="K128" s="2">
        <v>50</v>
      </c>
      <c r="L128" s="1">
        <v>90000</v>
      </c>
      <c r="M128" s="1">
        <v>4500000</v>
      </c>
      <c r="N128" s="1">
        <v>5</v>
      </c>
      <c r="O128" s="1">
        <v>225000</v>
      </c>
    </row>
    <row r="129" spans="1:15">
      <c r="A129" s="6">
        <v>2026</v>
      </c>
      <c r="B129" s="7">
        <v>3</v>
      </c>
      <c r="C129" s="8">
        <v>46092</v>
      </c>
      <c r="D129" s="3" t="s">
        <v>157</v>
      </c>
      <c r="E129" s="3" t="s">
        <v>35</v>
      </c>
      <c r="F129" s="3" t="s">
        <v>36</v>
      </c>
      <c r="G129" s="3" t="s">
        <v>18</v>
      </c>
      <c r="H129" s="3" t="s">
        <v>19</v>
      </c>
      <c r="I129" s="3" t="s">
        <v>158</v>
      </c>
      <c r="J129" s="3" t="s">
        <v>46</v>
      </c>
      <c r="K129" s="2">
        <v>15</v>
      </c>
      <c r="L129" s="1">
        <v>64700</v>
      </c>
      <c r="M129" s="1">
        <v>970500</v>
      </c>
      <c r="N129" s="1">
        <v>5</v>
      </c>
      <c r="O129" s="1">
        <v>48525</v>
      </c>
    </row>
    <row r="130" spans="1:15">
      <c r="A130" s="6">
        <v>2026</v>
      </c>
      <c r="B130" s="7">
        <v>3</v>
      </c>
      <c r="C130" s="8">
        <v>46092</v>
      </c>
      <c r="D130" s="3" t="s">
        <v>157</v>
      </c>
      <c r="E130" s="3" t="s">
        <v>35</v>
      </c>
      <c r="F130" s="3" t="s">
        <v>36</v>
      </c>
      <c r="G130" s="3" t="s">
        <v>18</v>
      </c>
      <c r="H130" s="3" t="s">
        <v>19</v>
      </c>
      <c r="I130" s="3" t="s">
        <v>158</v>
      </c>
      <c r="J130" s="3" t="s">
        <v>41</v>
      </c>
      <c r="K130" s="2">
        <v>15</v>
      </c>
      <c r="L130" s="1">
        <v>90000</v>
      </c>
      <c r="M130" s="1">
        <v>1350000</v>
      </c>
      <c r="N130" s="1">
        <v>5</v>
      </c>
      <c r="O130" s="1">
        <v>67500</v>
      </c>
    </row>
    <row r="131" spans="1:15">
      <c r="A131" s="6">
        <v>2026</v>
      </c>
      <c r="B131" s="7">
        <v>3</v>
      </c>
      <c r="C131" s="8">
        <v>46092</v>
      </c>
      <c r="D131" s="3" t="s">
        <v>157</v>
      </c>
      <c r="E131" s="3" t="s">
        <v>35</v>
      </c>
      <c r="F131" s="3" t="s">
        <v>36</v>
      </c>
      <c r="G131" s="3" t="s">
        <v>18</v>
      </c>
      <c r="H131" s="3" t="s">
        <v>19</v>
      </c>
      <c r="I131" s="3" t="s">
        <v>158</v>
      </c>
      <c r="J131" s="3" t="s">
        <v>38</v>
      </c>
      <c r="K131" s="2">
        <v>15</v>
      </c>
      <c r="L131" s="1">
        <v>65000</v>
      </c>
      <c r="M131" s="1">
        <v>975000</v>
      </c>
      <c r="N131" s="1">
        <v>5</v>
      </c>
      <c r="O131" s="1">
        <v>48750</v>
      </c>
    </row>
    <row r="132" spans="1:15">
      <c r="A132" s="6">
        <v>2026</v>
      </c>
      <c r="B132" s="7">
        <v>3</v>
      </c>
      <c r="C132" s="8">
        <v>46092</v>
      </c>
      <c r="D132" s="3" t="s">
        <v>159</v>
      </c>
      <c r="E132" s="3" t="s">
        <v>59</v>
      </c>
      <c r="F132" s="3" t="s">
        <v>36</v>
      </c>
      <c r="G132" s="3" t="s">
        <v>18</v>
      </c>
      <c r="H132" s="3" t="s">
        <v>19</v>
      </c>
      <c r="I132" s="3" t="s">
        <v>97</v>
      </c>
      <c r="J132" s="3" t="s">
        <v>41</v>
      </c>
      <c r="K132" s="2">
        <v>10</v>
      </c>
      <c r="L132" s="1">
        <v>90000</v>
      </c>
      <c r="M132" s="1">
        <v>900000</v>
      </c>
      <c r="N132" s="1">
        <v>5</v>
      </c>
      <c r="O132" s="1">
        <v>45000</v>
      </c>
    </row>
    <row r="133" spans="1:15">
      <c r="A133" s="6">
        <v>2026</v>
      </c>
      <c r="B133" s="7">
        <v>3</v>
      </c>
      <c r="C133" s="8">
        <v>46092</v>
      </c>
      <c r="D133" s="3" t="s">
        <v>159</v>
      </c>
      <c r="E133" s="3" t="s">
        <v>59</v>
      </c>
      <c r="F133" s="3" t="s">
        <v>36</v>
      </c>
      <c r="G133" s="3" t="s">
        <v>18</v>
      </c>
      <c r="H133" s="3" t="s">
        <v>19</v>
      </c>
      <c r="I133" s="3" t="s">
        <v>97</v>
      </c>
      <c r="J133" s="3" t="s">
        <v>38</v>
      </c>
      <c r="K133" s="2">
        <v>30</v>
      </c>
      <c r="L133" s="1">
        <v>65000</v>
      </c>
      <c r="M133" s="1">
        <v>1950000</v>
      </c>
      <c r="N133" s="1">
        <v>5</v>
      </c>
      <c r="O133" s="1">
        <v>97500</v>
      </c>
    </row>
    <row r="134" spans="1:15">
      <c r="A134" s="6">
        <v>2026</v>
      </c>
      <c r="B134" s="7">
        <v>3</v>
      </c>
      <c r="C134" s="8">
        <v>46093</v>
      </c>
      <c r="D134" s="3" t="s">
        <v>160</v>
      </c>
      <c r="E134" s="3" t="s">
        <v>59</v>
      </c>
      <c r="F134" s="3" t="s">
        <v>36</v>
      </c>
      <c r="G134" s="3" t="s">
        <v>18</v>
      </c>
      <c r="H134" s="3" t="s">
        <v>19</v>
      </c>
      <c r="I134" s="3" t="s">
        <v>161</v>
      </c>
      <c r="J134" s="3" t="s">
        <v>41</v>
      </c>
      <c r="K134" s="2">
        <v>8</v>
      </c>
      <c r="L134" s="1">
        <v>90000</v>
      </c>
      <c r="M134" s="1">
        <v>720000</v>
      </c>
      <c r="N134" s="1">
        <v>5</v>
      </c>
      <c r="O134" s="1">
        <v>36000</v>
      </c>
    </row>
    <row r="135" spans="1:15">
      <c r="A135" s="6">
        <v>2026</v>
      </c>
      <c r="B135" s="7">
        <v>3</v>
      </c>
      <c r="C135" s="8">
        <v>46093</v>
      </c>
      <c r="D135" s="3" t="s">
        <v>160</v>
      </c>
      <c r="E135" s="3" t="s">
        <v>59</v>
      </c>
      <c r="F135" s="3" t="s">
        <v>36</v>
      </c>
      <c r="G135" s="3" t="s">
        <v>18</v>
      </c>
      <c r="H135" s="3" t="s">
        <v>19</v>
      </c>
      <c r="I135" s="3" t="s">
        <v>161</v>
      </c>
      <c r="J135" s="3" t="s">
        <v>41</v>
      </c>
      <c r="K135" s="2">
        <v>22</v>
      </c>
      <c r="L135" s="1">
        <v>90000</v>
      </c>
      <c r="M135" s="1">
        <v>1980000</v>
      </c>
      <c r="N135" s="1">
        <v>5</v>
      </c>
      <c r="O135" s="1">
        <v>99000</v>
      </c>
    </row>
    <row r="136" spans="1:15">
      <c r="A136" s="6">
        <v>2026</v>
      </c>
      <c r="B136" s="7">
        <v>3</v>
      </c>
      <c r="C136" s="8">
        <v>46097</v>
      </c>
      <c r="D136" s="3" t="s">
        <v>162</v>
      </c>
      <c r="E136" s="3" t="s">
        <v>48</v>
      </c>
      <c r="F136" s="3" t="s">
        <v>36</v>
      </c>
      <c r="G136" s="3" t="s">
        <v>18</v>
      </c>
      <c r="H136" s="3" t="s">
        <v>19</v>
      </c>
      <c r="I136" s="3" t="s">
        <v>120</v>
      </c>
      <c r="J136" s="3" t="s">
        <v>38</v>
      </c>
      <c r="K136" s="2">
        <v>20</v>
      </c>
      <c r="L136" s="1">
        <v>65000</v>
      </c>
      <c r="M136" s="1">
        <v>1300000</v>
      </c>
      <c r="N136" s="1">
        <v>5</v>
      </c>
      <c r="O136" s="1">
        <v>65000</v>
      </c>
    </row>
    <row r="137" spans="1:15">
      <c r="A137" s="6">
        <v>2026</v>
      </c>
      <c r="B137" s="7">
        <v>3</v>
      </c>
      <c r="C137" s="8">
        <v>46097</v>
      </c>
      <c r="D137" s="3" t="s">
        <v>26</v>
      </c>
      <c r="E137" s="3" t="s">
        <v>48</v>
      </c>
      <c r="F137" s="3" t="s">
        <v>36</v>
      </c>
      <c r="G137" s="3" t="s">
        <v>18</v>
      </c>
      <c r="H137" s="3" t="s">
        <v>19</v>
      </c>
      <c r="I137" s="3" t="s">
        <v>120</v>
      </c>
      <c r="J137" s="3" t="s">
        <v>41</v>
      </c>
      <c r="K137" s="2">
        <v>10</v>
      </c>
      <c r="L137" s="1">
        <v>90000</v>
      </c>
      <c r="M137" s="1">
        <v>900000</v>
      </c>
      <c r="N137" s="1">
        <v>5</v>
      </c>
      <c r="O137" s="1">
        <v>45000</v>
      </c>
    </row>
    <row r="138" spans="1:15">
      <c r="A138" s="6">
        <v>2026</v>
      </c>
      <c r="B138" s="7">
        <v>3</v>
      </c>
      <c r="C138" s="8">
        <v>46097</v>
      </c>
      <c r="D138" s="3" t="s">
        <v>163</v>
      </c>
      <c r="E138" s="3" t="s">
        <v>68</v>
      </c>
      <c r="F138" s="3" t="s">
        <v>36</v>
      </c>
      <c r="G138" s="3" t="s">
        <v>18</v>
      </c>
      <c r="H138" s="3" t="s">
        <v>19</v>
      </c>
      <c r="I138" s="3" t="s">
        <v>69</v>
      </c>
      <c r="J138" s="3" t="s">
        <v>41</v>
      </c>
      <c r="K138" s="2">
        <v>40</v>
      </c>
      <c r="L138" s="1">
        <v>90000</v>
      </c>
      <c r="M138" s="1">
        <v>3600000</v>
      </c>
      <c r="N138" s="1">
        <v>5</v>
      </c>
      <c r="O138" s="1">
        <v>180000</v>
      </c>
    </row>
    <row r="139" spans="1:15">
      <c r="A139" s="6">
        <v>2026</v>
      </c>
      <c r="B139" s="7">
        <v>3</v>
      </c>
      <c r="C139" s="8">
        <v>46097</v>
      </c>
      <c r="D139" s="3" t="s">
        <v>163</v>
      </c>
      <c r="E139" s="3" t="s">
        <v>68</v>
      </c>
      <c r="F139" s="3" t="s">
        <v>36</v>
      </c>
      <c r="G139" s="3" t="s">
        <v>18</v>
      </c>
      <c r="H139" s="3" t="s">
        <v>19</v>
      </c>
      <c r="I139" s="3" t="s">
        <v>69</v>
      </c>
      <c r="J139" s="3" t="s">
        <v>46</v>
      </c>
      <c r="K139" s="2">
        <v>40</v>
      </c>
      <c r="L139" s="1">
        <v>64700</v>
      </c>
      <c r="M139" s="1">
        <v>2588000</v>
      </c>
      <c r="N139" s="1">
        <v>5</v>
      </c>
      <c r="O139" s="1">
        <v>129400</v>
      </c>
    </row>
    <row r="140" spans="1:15">
      <c r="A140" s="6">
        <v>2026</v>
      </c>
      <c r="B140" s="7">
        <v>3</v>
      </c>
      <c r="C140" s="8">
        <v>46097</v>
      </c>
      <c r="D140" s="3" t="s">
        <v>164</v>
      </c>
      <c r="E140" s="3" t="s">
        <v>68</v>
      </c>
      <c r="F140" s="3" t="s">
        <v>36</v>
      </c>
      <c r="G140" s="3" t="s">
        <v>18</v>
      </c>
      <c r="H140" s="3" t="s">
        <v>19</v>
      </c>
      <c r="I140" s="3" t="s">
        <v>129</v>
      </c>
      <c r="J140" s="3" t="s">
        <v>46</v>
      </c>
      <c r="K140" s="2">
        <v>45</v>
      </c>
      <c r="L140" s="1">
        <v>64700</v>
      </c>
      <c r="M140" s="1">
        <v>2911500</v>
      </c>
      <c r="N140" s="1">
        <v>5</v>
      </c>
      <c r="O140" s="1">
        <v>145575</v>
      </c>
    </row>
    <row r="141" spans="1:15">
      <c r="A141" s="6">
        <v>2026</v>
      </c>
      <c r="B141" s="7">
        <v>3</v>
      </c>
      <c r="C141" s="8">
        <v>46097</v>
      </c>
      <c r="D141" s="3" t="s">
        <v>164</v>
      </c>
      <c r="E141" s="3" t="s">
        <v>68</v>
      </c>
      <c r="F141" s="3" t="s">
        <v>36</v>
      </c>
      <c r="G141" s="3" t="s">
        <v>18</v>
      </c>
      <c r="H141" s="3" t="s">
        <v>19</v>
      </c>
      <c r="I141" s="3" t="s">
        <v>129</v>
      </c>
      <c r="J141" s="3" t="s">
        <v>46</v>
      </c>
      <c r="K141" s="2">
        <v>5</v>
      </c>
      <c r="L141" s="1">
        <v>64700</v>
      </c>
      <c r="M141" s="1">
        <v>323500</v>
      </c>
      <c r="N141" s="1">
        <v>5</v>
      </c>
      <c r="O141" s="1">
        <v>16175</v>
      </c>
    </row>
    <row r="142" spans="1:15">
      <c r="A142" s="6">
        <v>2026</v>
      </c>
      <c r="B142" s="7">
        <v>3</v>
      </c>
      <c r="C142" s="8">
        <v>46097</v>
      </c>
      <c r="D142" s="3" t="s">
        <v>165</v>
      </c>
      <c r="E142" s="3" t="s">
        <v>48</v>
      </c>
      <c r="F142" s="3" t="s">
        <v>36</v>
      </c>
      <c r="G142" s="3" t="s">
        <v>18</v>
      </c>
      <c r="H142" s="3" t="s">
        <v>19</v>
      </c>
      <c r="I142" s="3" t="s">
        <v>89</v>
      </c>
      <c r="J142" s="3" t="s">
        <v>46</v>
      </c>
      <c r="K142" s="2">
        <v>30</v>
      </c>
      <c r="L142" s="1">
        <v>64700</v>
      </c>
      <c r="M142" s="1">
        <v>1941000</v>
      </c>
      <c r="N142" s="1">
        <v>5</v>
      </c>
      <c r="O142" s="1">
        <v>97050</v>
      </c>
    </row>
    <row r="143" spans="1:15">
      <c r="A143" s="6">
        <v>2026</v>
      </c>
      <c r="B143" s="7">
        <v>3</v>
      </c>
      <c r="C143" s="8">
        <v>46099</v>
      </c>
      <c r="D143" s="3" t="s">
        <v>166</v>
      </c>
      <c r="E143" s="3" t="s">
        <v>48</v>
      </c>
      <c r="F143" s="3" t="s">
        <v>36</v>
      </c>
      <c r="G143" s="3" t="s">
        <v>18</v>
      </c>
      <c r="H143" s="3" t="s">
        <v>19</v>
      </c>
      <c r="I143" s="3" t="s">
        <v>103</v>
      </c>
      <c r="J143" s="3" t="s">
        <v>38</v>
      </c>
      <c r="K143" s="2">
        <v>15</v>
      </c>
      <c r="L143" s="1">
        <v>65000</v>
      </c>
      <c r="M143" s="1">
        <v>975000</v>
      </c>
      <c r="N143" s="1">
        <v>5</v>
      </c>
      <c r="O143" s="1">
        <v>48750</v>
      </c>
    </row>
    <row r="144" spans="1:15">
      <c r="A144" s="6">
        <v>2026</v>
      </c>
      <c r="B144" s="7">
        <v>3</v>
      </c>
      <c r="C144" s="8">
        <v>46105</v>
      </c>
      <c r="D144" s="3" t="s">
        <v>167</v>
      </c>
      <c r="E144" s="3" t="s">
        <v>48</v>
      </c>
      <c r="F144" s="3" t="s">
        <v>36</v>
      </c>
      <c r="G144" s="3" t="s">
        <v>18</v>
      </c>
      <c r="H144" s="3" t="s">
        <v>19</v>
      </c>
      <c r="I144" s="3" t="s">
        <v>55</v>
      </c>
      <c r="J144" s="3" t="s">
        <v>38</v>
      </c>
      <c r="K144" s="2">
        <v>50</v>
      </c>
      <c r="L144" s="1">
        <v>65000</v>
      </c>
      <c r="M144" s="1">
        <v>3250000</v>
      </c>
      <c r="N144" s="1">
        <v>5</v>
      </c>
      <c r="O144" s="1">
        <v>162500</v>
      </c>
    </row>
    <row r="145" spans="1:15">
      <c r="A145" s="6">
        <v>2026</v>
      </c>
      <c r="B145" s="7">
        <v>3</v>
      </c>
      <c r="C145" s="8">
        <v>46105</v>
      </c>
      <c r="D145" s="3" t="s">
        <v>167</v>
      </c>
      <c r="E145" s="3" t="s">
        <v>48</v>
      </c>
      <c r="F145" s="3" t="s">
        <v>36</v>
      </c>
      <c r="G145" s="3" t="s">
        <v>18</v>
      </c>
      <c r="H145" s="3" t="s">
        <v>19</v>
      </c>
      <c r="I145" s="3" t="s">
        <v>55</v>
      </c>
      <c r="J145" s="3" t="s">
        <v>41</v>
      </c>
      <c r="K145" s="2">
        <v>10</v>
      </c>
      <c r="L145" s="1">
        <v>90000</v>
      </c>
      <c r="M145" s="1">
        <v>900000</v>
      </c>
      <c r="N145" s="1">
        <v>5</v>
      </c>
      <c r="O145" s="1">
        <v>45000</v>
      </c>
    </row>
    <row r="146" spans="1:15">
      <c r="A146" s="6">
        <v>2026</v>
      </c>
      <c r="B146" s="7">
        <v>3</v>
      </c>
      <c r="C146" s="8">
        <v>46106</v>
      </c>
      <c r="D146" s="3" t="s">
        <v>168</v>
      </c>
      <c r="E146" s="3" t="s">
        <v>48</v>
      </c>
      <c r="F146" s="3" t="s">
        <v>36</v>
      </c>
      <c r="G146" s="3" t="s">
        <v>18</v>
      </c>
      <c r="H146" s="3" t="s">
        <v>19</v>
      </c>
      <c r="I146" s="3" t="s">
        <v>103</v>
      </c>
      <c r="J146" s="3" t="s">
        <v>41</v>
      </c>
      <c r="K146" s="2">
        <v>40</v>
      </c>
      <c r="L146" s="1">
        <v>90000</v>
      </c>
      <c r="M146" s="1">
        <v>3600000</v>
      </c>
      <c r="N146" s="1">
        <v>5</v>
      </c>
      <c r="O146" s="1">
        <v>180000</v>
      </c>
    </row>
    <row r="147" spans="1:15">
      <c r="A147" s="6">
        <v>2026</v>
      </c>
      <c r="B147" s="7">
        <v>3</v>
      </c>
      <c r="C147" s="8">
        <v>46106</v>
      </c>
      <c r="D147" s="3" t="s">
        <v>169</v>
      </c>
      <c r="E147" s="3" t="s">
        <v>170</v>
      </c>
      <c r="F147" s="3" t="s">
        <v>36</v>
      </c>
      <c r="G147" s="3" t="s">
        <v>18</v>
      </c>
      <c r="H147" s="3" t="s">
        <v>19</v>
      </c>
      <c r="I147" s="3" t="s">
        <v>148</v>
      </c>
      <c r="J147" s="3" t="s">
        <v>41</v>
      </c>
      <c r="K147" s="2">
        <v>30</v>
      </c>
      <c r="L147" s="1">
        <v>90000</v>
      </c>
      <c r="M147" s="1">
        <v>2700000</v>
      </c>
      <c r="N147" s="1">
        <v>5</v>
      </c>
      <c r="O147" s="1">
        <v>135000</v>
      </c>
    </row>
    <row r="148" spans="1:15">
      <c r="A148" s="6">
        <v>2026</v>
      </c>
      <c r="B148" s="7">
        <v>3</v>
      </c>
      <c r="C148" s="8">
        <v>46108</v>
      </c>
      <c r="D148" s="3" t="s">
        <v>171</v>
      </c>
      <c r="E148" s="3" t="s">
        <v>35</v>
      </c>
      <c r="F148" s="3" t="s">
        <v>36</v>
      </c>
      <c r="G148" s="3" t="s">
        <v>18</v>
      </c>
      <c r="H148" s="3" t="s">
        <v>19</v>
      </c>
      <c r="I148" s="3" t="s">
        <v>75</v>
      </c>
      <c r="J148" s="3" t="s">
        <v>41</v>
      </c>
      <c r="K148" s="2">
        <v>30</v>
      </c>
      <c r="L148" s="1">
        <v>90000</v>
      </c>
      <c r="M148" s="1">
        <v>2700000</v>
      </c>
      <c r="N148" s="1">
        <v>5</v>
      </c>
      <c r="O148" s="1">
        <v>135000</v>
      </c>
    </row>
    <row r="149" spans="1:15">
      <c r="A149" s="6">
        <v>2026</v>
      </c>
      <c r="B149" s="7">
        <v>3</v>
      </c>
      <c r="C149" s="8">
        <v>46108</v>
      </c>
      <c r="D149" s="3" t="s">
        <v>171</v>
      </c>
      <c r="E149" s="3" t="s">
        <v>35</v>
      </c>
      <c r="F149" s="3" t="s">
        <v>36</v>
      </c>
      <c r="G149" s="3" t="s">
        <v>18</v>
      </c>
      <c r="H149" s="3" t="s">
        <v>19</v>
      </c>
      <c r="I149" s="3" t="s">
        <v>75</v>
      </c>
      <c r="J149" s="3" t="s">
        <v>46</v>
      </c>
      <c r="K149" s="2">
        <v>20</v>
      </c>
      <c r="L149" s="1">
        <v>64700</v>
      </c>
      <c r="M149" s="1">
        <v>1294000</v>
      </c>
      <c r="N149" s="1">
        <v>5</v>
      </c>
      <c r="O149" s="1">
        <v>64700</v>
      </c>
    </row>
    <row r="150" spans="1:15">
      <c r="A150" s="6">
        <v>2026</v>
      </c>
      <c r="B150" s="7">
        <v>3</v>
      </c>
      <c r="C150" s="8">
        <v>46108</v>
      </c>
      <c r="D150" s="3" t="s">
        <v>171</v>
      </c>
      <c r="E150" s="3" t="s">
        <v>35</v>
      </c>
      <c r="F150" s="3" t="s">
        <v>36</v>
      </c>
      <c r="G150" s="3" t="s">
        <v>18</v>
      </c>
      <c r="H150" s="3" t="s">
        <v>19</v>
      </c>
      <c r="I150" s="3" t="s">
        <v>75</v>
      </c>
      <c r="J150" s="3" t="s">
        <v>38</v>
      </c>
      <c r="K150" s="2">
        <v>40</v>
      </c>
      <c r="L150" s="1">
        <v>65000</v>
      </c>
      <c r="M150" s="1">
        <v>2600000</v>
      </c>
      <c r="N150" s="1">
        <v>5</v>
      </c>
      <c r="O150" s="1">
        <v>130000</v>
      </c>
    </row>
    <row r="151" spans="1:15">
      <c r="A151" s="6">
        <v>2026</v>
      </c>
      <c r="B151" s="7">
        <v>3</v>
      </c>
      <c r="C151" s="8">
        <v>46108</v>
      </c>
      <c r="D151" s="3" t="s">
        <v>172</v>
      </c>
      <c r="E151" s="3" t="s">
        <v>68</v>
      </c>
      <c r="F151" s="3" t="s">
        <v>36</v>
      </c>
      <c r="G151" s="3" t="s">
        <v>18</v>
      </c>
      <c r="H151" s="3" t="s">
        <v>19</v>
      </c>
      <c r="I151" s="3" t="s">
        <v>173</v>
      </c>
      <c r="J151" s="3" t="s">
        <v>41</v>
      </c>
      <c r="K151" s="2">
        <v>10</v>
      </c>
      <c r="L151" s="1">
        <v>90000</v>
      </c>
      <c r="M151" s="1">
        <v>900000</v>
      </c>
      <c r="N151" s="1">
        <v>5</v>
      </c>
      <c r="O151" s="1">
        <v>45000</v>
      </c>
    </row>
    <row r="152" spans="1:15">
      <c r="A152" s="6">
        <v>2026</v>
      </c>
      <c r="B152" s="7">
        <v>3</v>
      </c>
      <c r="C152" s="8">
        <v>46111</v>
      </c>
      <c r="D152" s="3" t="s">
        <v>174</v>
      </c>
      <c r="E152" s="3" t="s">
        <v>48</v>
      </c>
      <c r="F152" s="3" t="s">
        <v>36</v>
      </c>
      <c r="G152" s="3" t="s">
        <v>18</v>
      </c>
      <c r="H152" s="3" t="s">
        <v>19</v>
      </c>
      <c r="I152" s="3" t="s">
        <v>120</v>
      </c>
      <c r="J152" s="3" t="s">
        <v>38</v>
      </c>
      <c r="K152" s="2">
        <v>25</v>
      </c>
      <c r="L152" s="1">
        <v>65000</v>
      </c>
      <c r="M152" s="1">
        <v>1625000</v>
      </c>
      <c r="N152" s="1">
        <v>5</v>
      </c>
      <c r="O152" s="1">
        <v>81250</v>
      </c>
    </row>
    <row r="153" spans="1:15">
      <c r="A153" s="6">
        <v>2026</v>
      </c>
      <c r="B153" s="7">
        <v>3</v>
      </c>
      <c r="C153" s="8">
        <v>46111</v>
      </c>
      <c r="D153" s="3" t="s">
        <v>175</v>
      </c>
      <c r="E153" s="3" t="s">
        <v>48</v>
      </c>
      <c r="F153" s="3" t="s">
        <v>36</v>
      </c>
      <c r="G153" s="3" t="s">
        <v>18</v>
      </c>
      <c r="H153" s="3" t="s">
        <v>19</v>
      </c>
      <c r="I153" s="3" t="s">
        <v>49</v>
      </c>
      <c r="J153" s="3" t="s">
        <v>38</v>
      </c>
      <c r="K153" s="2">
        <v>15</v>
      </c>
      <c r="L153" s="1">
        <v>65000</v>
      </c>
      <c r="M153" s="1">
        <v>975000</v>
      </c>
      <c r="N153" s="1">
        <v>5</v>
      </c>
      <c r="O153" s="1">
        <v>48750</v>
      </c>
    </row>
    <row r="154" spans="1:15">
      <c r="A154" s="6">
        <v>2026</v>
      </c>
      <c r="B154" s="7">
        <v>3</v>
      </c>
      <c r="C154" s="8">
        <v>46111</v>
      </c>
      <c r="D154" s="3" t="s">
        <v>176</v>
      </c>
      <c r="E154" s="3" t="s">
        <v>18</v>
      </c>
      <c r="F154" s="3" t="s">
        <v>32</v>
      </c>
      <c r="G154" s="3" t="s">
        <v>18</v>
      </c>
      <c r="H154" s="3" t="s">
        <v>19</v>
      </c>
      <c r="I154" s="3" t="s">
        <v>33</v>
      </c>
      <c r="J154" s="3" t="s">
        <v>38</v>
      </c>
      <c r="K154" s="2">
        <v>800</v>
      </c>
      <c r="L154" s="1">
        <v>65000</v>
      </c>
      <c r="M154" s="1">
        <v>52000000</v>
      </c>
      <c r="N154" s="1">
        <v>3</v>
      </c>
      <c r="O154" s="1">
        <v>1560000</v>
      </c>
    </row>
    <row r="155" spans="1:15">
      <c r="A155" s="6">
        <v>2026</v>
      </c>
      <c r="B155" s="7">
        <v>3</v>
      </c>
      <c r="C155" s="8">
        <v>46112</v>
      </c>
      <c r="D155" s="3" t="s">
        <v>177</v>
      </c>
      <c r="E155" s="3" t="s">
        <v>68</v>
      </c>
      <c r="F155" s="3" t="s">
        <v>36</v>
      </c>
      <c r="G155" s="3" t="s">
        <v>18</v>
      </c>
      <c r="H155" s="3" t="s">
        <v>19</v>
      </c>
      <c r="I155" s="3" t="s">
        <v>69</v>
      </c>
      <c r="J155" s="3" t="s">
        <v>41</v>
      </c>
      <c r="K155" s="2">
        <v>40</v>
      </c>
      <c r="L155" s="1">
        <v>90000</v>
      </c>
      <c r="M155" s="1">
        <v>3600000</v>
      </c>
      <c r="N155" s="1">
        <v>5</v>
      </c>
      <c r="O155" s="1">
        <v>180000</v>
      </c>
    </row>
    <row r="156" spans="1:15">
      <c r="A156" s="6">
        <v>2026</v>
      </c>
      <c r="B156" s="7">
        <v>3</v>
      </c>
      <c r="C156" s="8">
        <v>46112</v>
      </c>
      <c r="D156" s="3" t="s">
        <v>178</v>
      </c>
      <c r="E156" s="3" t="s">
        <v>59</v>
      </c>
      <c r="F156" s="3" t="s">
        <v>36</v>
      </c>
      <c r="G156" s="3" t="s">
        <v>18</v>
      </c>
      <c r="H156" s="3" t="s">
        <v>19</v>
      </c>
      <c r="I156" s="3" t="s">
        <v>179</v>
      </c>
      <c r="J156" s="3" t="s">
        <v>38</v>
      </c>
      <c r="K156" s="2">
        <v>10</v>
      </c>
      <c r="L156" s="1">
        <v>65000</v>
      </c>
      <c r="M156" s="1">
        <v>650000</v>
      </c>
      <c r="N156" s="1">
        <v>5</v>
      </c>
      <c r="O156" s="1">
        <v>32500</v>
      </c>
    </row>
    <row r="157" spans="1:15">
      <c r="A157" s="6">
        <v>2026</v>
      </c>
      <c r="B157" s="7">
        <v>3</v>
      </c>
      <c r="C157" s="8">
        <v>46112</v>
      </c>
      <c r="D157" s="3" t="s">
        <v>178</v>
      </c>
      <c r="E157" s="3" t="s">
        <v>59</v>
      </c>
      <c r="F157" s="3" t="s">
        <v>36</v>
      </c>
      <c r="G157" s="3" t="s">
        <v>18</v>
      </c>
      <c r="H157" s="3" t="s">
        <v>19</v>
      </c>
      <c r="I157" s="3" t="s">
        <v>179</v>
      </c>
      <c r="J157" s="3" t="s">
        <v>41</v>
      </c>
      <c r="K157" s="2">
        <v>2</v>
      </c>
      <c r="L157" s="1">
        <v>90000</v>
      </c>
      <c r="M157" s="1">
        <v>180000</v>
      </c>
      <c r="N157" s="1">
        <v>5</v>
      </c>
      <c r="O157" s="1">
        <v>9000</v>
      </c>
    </row>
    <row r="158" spans="1:15">
      <c r="A158" s="6">
        <v>2026</v>
      </c>
      <c r="B158" s="7">
        <v>3</v>
      </c>
      <c r="C158" s="8">
        <v>46112</v>
      </c>
      <c r="D158" s="3" t="s">
        <v>178</v>
      </c>
      <c r="E158" s="3" t="s">
        <v>59</v>
      </c>
      <c r="F158" s="3" t="s">
        <v>36</v>
      </c>
      <c r="G158" s="3" t="s">
        <v>18</v>
      </c>
      <c r="H158" s="3" t="s">
        <v>19</v>
      </c>
      <c r="I158" s="3" t="s">
        <v>179</v>
      </c>
      <c r="J158" s="3" t="s">
        <v>41</v>
      </c>
      <c r="K158" s="2">
        <v>8</v>
      </c>
      <c r="L158" s="1">
        <v>90000</v>
      </c>
      <c r="M158" s="1">
        <v>720000</v>
      </c>
      <c r="N158" s="1">
        <v>5</v>
      </c>
      <c r="O158" s="1">
        <v>36000</v>
      </c>
    </row>
    <row r="159" spans="1:15">
      <c r="A159" s="6">
        <v>2026</v>
      </c>
      <c r="B159" s="7">
        <v>4</v>
      </c>
      <c r="C159" s="8">
        <v>46113</v>
      </c>
      <c r="D159" s="3" t="s">
        <v>180</v>
      </c>
      <c r="E159" s="3" t="s">
        <v>59</v>
      </c>
      <c r="F159" s="3" t="s">
        <v>36</v>
      </c>
      <c r="G159" s="3" t="s">
        <v>18</v>
      </c>
      <c r="H159" s="3" t="s">
        <v>19</v>
      </c>
      <c r="I159" s="3" t="s">
        <v>161</v>
      </c>
      <c r="J159" s="3" t="s">
        <v>41</v>
      </c>
      <c r="K159" s="2">
        <v>3</v>
      </c>
      <c r="L159" s="1">
        <v>90000</v>
      </c>
      <c r="M159" s="1">
        <v>270000</v>
      </c>
      <c r="N159" s="1">
        <v>5</v>
      </c>
      <c r="O159" s="1">
        <v>13500</v>
      </c>
    </row>
    <row r="160" spans="1:15">
      <c r="A160" s="6">
        <v>2026</v>
      </c>
      <c r="B160" s="7">
        <v>4</v>
      </c>
      <c r="C160" s="8">
        <v>46113</v>
      </c>
      <c r="D160" s="3" t="s">
        <v>180</v>
      </c>
      <c r="E160" s="3" t="s">
        <v>59</v>
      </c>
      <c r="F160" s="3" t="s">
        <v>36</v>
      </c>
      <c r="G160" s="3" t="s">
        <v>18</v>
      </c>
      <c r="H160" s="3" t="s">
        <v>19</v>
      </c>
      <c r="I160" s="3" t="s">
        <v>161</v>
      </c>
      <c r="J160" s="3" t="s">
        <v>41</v>
      </c>
      <c r="K160" s="2">
        <v>27</v>
      </c>
      <c r="L160" s="1">
        <v>90000</v>
      </c>
      <c r="M160" s="1">
        <v>2430000</v>
      </c>
      <c r="N160" s="1">
        <v>5</v>
      </c>
      <c r="O160" s="1">
        <v>121500</v>
      </c>
    </row>
    <row r="161" spans="1:15">
      <c r="A161" s="6">
        <v>2026</v>
      </c>
      <c r="B161" s="7">
        <v>4</v>
      </c>
      <c r="C161" s="8">
        <v>46114</v>
      </c>
      <c r="D161" s="3" t="s">
        <v>181</v>
      </c>
      <c r="E161" s="3" t="s">
        <v>35</v>
      </c>
      <c r="F161" s="3" t="s">
        <v>36</v>
      </c>
      <c r="G161" s="3" t="s">
        <v>18</v>
      </c>
      <c r="H161" s="3" t="s">
        <v>19</v>
      </c>
      <c r="I161" s="3" t="s">
        <v>75</v>
      </c>
      <c r="J161" s="3" t="s">
        <v>41</v>
      </c>
      <c r="K161" s="2">
        <v>40</v>
      </c>
      <c r="L161" s="1">
        <v>90000</v>
      </c>
      <c r="M161" s="1">
        <v>3600000</v>
      </c>
      <c r="N161" s="1">
        <v>5</v>
      </c>
      <c r="O161" s="1">
        <v>180000</v>
      </c>
    </row>
    <row r="162" spans="1:15">
      <c r="A162" s="6">
        <v>2026</v>
      </c>
      <c r="B162" s="7">
        <v>4</v>
      </c>
      <c r="C162" s="8">
        <v>46114</v>
      </c>
      <c r="D162" s="3" t="s">
        <v>181</v>
      </c>
      <c r="E162" s="3" t="s">
        <v>35</v>
      </c>
      <c r="F162" s="3" t="s">
        <v>36</v>
      </c>
      <c r="G162" s="3" t="s">
        <v>18</v>
      </c>
      <c r="H162" s="3" t="s">
        <v>19</v>
      </c>
      <c r="I162" s="3" t="s">
        <v>75</v>
      </c>
      <c r="J162" s="3" t="s">
        <v>41</v>
      </c>
      <c r="K162" s="2">
        <v>10</v>
      </c>
      <c r="L162" s="1">
        <v>90000</v>
      </c>
      <c r="M162" s="1">
        <v>900000</v>
      </c>
      <c r="N162" s="1">
        <v>5</v>
      </c>
      <c r="O162" s="1">
        <v>45000</v>
      </c>
    </row>
    <row r="163" spans="1:15">
      <c r="A163" s="6">
        <v>2026</v>
      </c>
      <c r="B163" s="7">
        <v>4</v>
      </c>
      <c r="C163" s="8">
        <v>46115</v>
      </c>
      <c r="D163" s="3" t="s">
        <v>182</v>
      </c>
      <c r="E163" s="3" t="s">
        <v>59</v>
      </c>
      <c r="F163" s="3" t="s">
        <v>36</v>
      </c>
      <c r="G163" s="3" t="s">
        <v>18</v>
      </c>
      <c r="H163" s="3" t="s">
        <v>19</v>
      </c>
      <c r="I163" s="3" t="s">
        <v>37</v>
      </c>
      <c r="J163" s="3" t="s">
        <v>38</v>
      </c>
      <c r="K163" s="2">
        <v>50</v>
      </c>
      <c r="L163" s="1">
        <v>65000</v>
      </c>
      <c r="M163" s="1">
        <v>3250000</v>
      </c>
      <c r="N163" s="1">
        <v>5</v>
      </c>
      <c r="O163" s="1">
        <v>162500</v>
      </c>
    </row>
    <row r="164" spans="1:15">
      <c r="A164" s="6">
        <v>2026</v>
      </c>
      <c r="B164" s="7">
        <v>4</v>
      </c>
      <c r="C164" s="8">
        <v>46115</v>
      </c>
      <c r="D164" s="3" t="s">
        <v>183</v>
      </c>
      <c r="E164" s="3" t="s">
        <v>59</v>
      </c>
      <c r="F164" s="3" t="s">
        <v>36</v>
      </c>
      <c r="G164" s="3" t="s">
        <v>18</v>
      </c>
      <c r="H164" s="3" t="s">
        <v>19</v>
      </c>
      <c r="I164" s="3" t="s">
        <v>69</v>
      </c>
      <c r="J164" s="3" t="s">
        <v>38</v>
      </c>
      <c r="K164" s="2">
        <v>20</v>
      </c>
      <c r="L164" s="1">
        <v>65000</v>
      </c>
      <c r="M164" s="1">
        <v>1300000</v>
      </c>
      <c r="N164" s="1">
        <v>5</v>
      </c>
      <c r="O164" s="1">
        <v>65000</v>
      </c>
    </row>
    <row r="165" spans="1:15">
      <c r="A165" s="6">
        <v>2026</v>
      </c>
      <c r="B165" s="7">
        <v>4</v>
      </c>
      <c r="C165" s="8">
        <v>46115</v>
      </c>
      <c r="D165" s="3" t="s">
        <v>183</v>
      </c>
      <c r="E165" s="3" t="s">
        <v>59</v>
      </c>
      <c r="F165" s="3" t="s">
        <v>36</v>
      </c>
      <c r="G165" s="3" t="s">
        <v>18</v>
      </c>
      <c r="H165" s="3" t="s">
        <v>19</v>
      </c>
      <c r="I165" s="3" t="s">
        <v>69</v>
      </c>
      <c r="J165" s="3" t="s">
        <v>41</v>
      </c>
      <c r="K165" s="2">
        <v>20</v>
      </c>
      <c r="L165" s="1">
        <v>90000</v>
      </c>
      <c r="M165" s="1">
        <v>1800000</v>
      </c>
      <c r="N165" s="1">
        <v>5</v>
      </c>
      <c r="O165" s="1">
        <v>90000</v>
      </c>
    </row>
    <row r="166" spans="1:15">
      <c r="A166" s="6">
        <v>2026</v>
      </c>
      <c r="B166" s="7">
        <v>4</v>
      </c>
      <c r="C166" s="8">
        <v>46115</v>
      </c>
      <c r="D166" s="3" t="s">
        <v>184</v>
      </c>
      <c r="E166" s="3" t="s">
        <v>170</v>
      </c>
      <c r="F166" s="3" t="s">
        <v>36</v>
      </c>
      <c r="G166" s="3" t="s">
        <v>18</v>
      </c>
      <c r="H166" s="3" t="s">
        <v>19</v>
      </c>
      <c r="I166" s="3" t="s">
        <v>111</v>
      </c>
      <c r="J166" s="3" t="s">
        <v>38</v>
      </c>
      <c r="K166" s="2">
        <v>20</v>
      </c>
      <c r="L166" s="1">
        <v>65000</v>
      </c>
      <c r="M166" s="1">
        <v>1300000</v>
      </c>
      <c r="N166" s="1">
        <v>5</v>
      </c>
      <c r="O166" s="1">
        <v>65000</v>
      </c>
    </row>
    <row r="167" spans="1:15">
      <c r="A167" s="6">
        <v>2026</v>
      </c>
      <c r="B167" s="7">
        <v>4</v>
      </c>
      <c r="C167" s="8">
        <v>46115</v>
      </c>
      <c r="D167" s="3" t="s">
        <v>184</v>
      </c>
      <c r="E167" s="3" t="s">
        <v>170</v>
      </c>
      <c r="F167" s="3" t="s">
        <v>36</v>
      </c>
      <c r="G167" s="3" t="s">
        <v>18</v>
      </c>
      <c r="H167" s="3" t="s">
        <v>19</v>
      </c>
      <c r="I167" s="3" t="s">
        <v>111</v>
      </c>
      <c r="J167" s="3" t="s">
        <v>41</v>
      </c>
      <c r="K167" s="2">
        <v>20</v>
      </c>
      <c r="L167" s="1">
        <v>90000</v>
      </c>
      <c r="M167" s="1">
        <v>1800000</v>
      </c>
      <c r="N167" s="1">
        <v>5</v>
      </c>
      <c r="O167" s="1">
        <v>90000</v>
      </c>
    </row>
    <row r="168" spans="1:15">
      <c r="A168" s="6">
        <v>2026</v>
      </c>
      <c r="B168" s="7">
        <v>4</v>
      </c>
      <c r="C168" s="8">
        <v>46115</v>
      </c>
      <c r="D168" s="3" t="s">
        <v>185</v>
      </c>
      <c r="E168" s="3" t="s">
        <v>68</v>
      </c>
      <c r="F168" s="3" t="s">
        <v>36</v>
      </c>
      <c r="G168" s="3" t="s">
        <v>18</v>
      </c>
      <c r="H168" s="3" t="s">
        <v>19</v>
      </c>
      <c r="I168" s="3" t="s">
        <v>129</v>
      </c>
      <c r="J168" s="3" t="s">
        <v>41</v>
      </c>
      <c r="K168" s="2">
        <v>50</v>
      </c>
      <c r="L168" s="1">
        <v>90000</v>
      </c>
      <c r="M168" s="1">
        <v>4500000</v>
      </c>
      <c r="N168" s="1">
        <v>5</v>
      </c>
      <c r="O168" s="1">
        <v>225000</v>
      </c>
    </row>
    <row r="169" spans="1:15">
      <c r="A169" s="6">
        <v>2026</v>
      </c>
      <c r="B169" s="7">
        <v>4</v>
      </c>
      <c r="C169" s="8">
        <v>46115</v>
      </c>
      <c r="D169" s="3" t="s">
        <v>185</v>
      </c>
      <c r="E169" s="3" t="s">
        <v>68</v>
      </c>
      <c r="F169" s="3" t="s">
        <v>36</v>
      </c>
      <c r="G169" s="3" t="s">
        <v>18</v>
      </c>
      <c r="H169" s="3" t="s">
        <v>19</v>
      </c>
      <c r="I169" s="3" t="s">
        <v>129</v>
      </c>
      <c r="J169" s="3" t="s">
        <v>46</v>
      </c>
      <c r="K169" s="2">
        <v>50</v>
      </c>
      <c r="L169" s="1">
        <v>64700</v>
      </c>
      <c r="M169" s="1">
        <v>3235000</v>
      </c>
      <c r="N169" s="1">
        <v>5</v>
      </c>
      <c r="O169" s="1">
        <v>161750</v>
      </c>
    </row>
    <row r="170" spans="1:15">
      <c r="A170" s="6">
        <v>2026</v>
      </c>
      <c r="B170" s="7">
        <v>4</v>
      </c>
      <c r="C170" s="8">
        <v>46118</v>
      </c>
      <c r="D170" s="3" t="s">
        <v>186</v>
      </c>
      <c r="E170" s="3" t="s">
        <v>59</v>
      </c>
      <c r="F170" s="3" t="s">
        <v>36</v>
      </c>
      <c r="G170" s="3" t="s">
        <v>18</v>
      </c>
      <c r="H170" s="3" t="s">
        <v>19</v>
      </c>
      <c r="I170" s="3" t="s">
        <v>187</v>
      </c>
      <c r="J170" s="3" t="s">
        <v>41</v>
      </c>
      <c r="K170" s="2">
        <v>50</v>
      </c>
      <c r="L170" s="1">
        <v>90000</v>
      </c>
      <c r="M170" s="1">
        <v>4500000</v>
      </c>
      <c r="N170" s="1">
        <v>5</v>
      </c>
      <c r="O170" s="1">
        <v>225000</v>
      </c>
    </row>
    <row r="171" spans="1:15">
      <c r="A171" s="6">
        <v>2026</v>
      </c>
      <c r="B171" s="7">
        <v>4</v>
      </c>
      <c r="C171" s="8">
        <v>46118</v>
      </c>
      <c r="D171" s="3" t="s">
        <v>186</v>
      </c>
      <c r="E171" s="3" t="s">
        <v>59</v>
      </c>
      <c r="F171" s="3" t="s">
        <v>36</v>
      </c>
      <c r="G171" s="3" t="s">
        <v>18</v>
      </c>
      <c r="H171" s="3" t="s">
        <v>19</v>
      </c>
      <c r="I171" s="3" t="s">
        <v>187</v>
      </c>
      <c r="J171" s="3" t="s">
        <v>38</v>
      </c>
      <c r="K171" s="2">
        <v>50</v>
      </c>
      <c r="L171" s="1">
        <v>65000</v>
      </c>
      <c r="M171" s="1">
        <v>3250000</v>
      </c>
      <c r="N171" s="1">
        <v>5</v>
      </c>
      <c r="O171" s="1">
        <v>162500</v>
      </c>
    </row>
    <row r="172" spans="1:15">
      <c r="A172" s="6">
        <v>2026</v>
      </c>
      <c r="B172" s="7">
        <v>4</v>
      </c>
      <c r="C172" s="8">
        <v>46118</v>
      </c>
      <c r="D172" s="3" t="s">
        <v>188</v>
      </c>
      <c r="E172" s="3" t="s">
        <v>35</v>
      </c>
      <c r="F172" s="3" t="s">
        <v>36</v>
      </c>
      <c r="G172" s="3" t="s">
        <v>18</v>
      </c>
      <c r="H172" s="3" t="s">
        <v>19</v>
      </c>
      <c r="I172" s="3" t="s">
        <v>75</v>
      </c>
      <c r="J172" s="3" t="s">
        <v>46</v>
      </c>
      <c r="K172" s="2">
        <v>20</v>
      </c>
      <c r="L172" s="1">
        <v>64700</v>
      </c>
      <c r="M172" s="1">
        <v>1294000</v>
      </c>
      <c r="N172" s="1">
        <v>5</v>
      </c>
      <c r="O172" s="1">
        <v>64700</v>
      </c>
    </row>
    <row r="173" spans="1:15">
      <c r="A173" s="6">
        <v>2026</v>
      </c>
      <c r="B173" s="7">
        <v>4</v>
      </c>
      <c r="C173" s="8">
        <v>46118</v>
      </c>
      <c r="D173" s="3" t="s">
        <v>189</v>
      </c>
      <c r="E173" s="3" t="s">
        <v>48</v>
      </c>
      <c r="F173" s="3" t="s">
        <v>36</v>
      </c>
      <c r="G173" s="3" t="s">
        <v>18</v>
      </c>
      <c r="H173" s="3" t="s">
        <v>19</v>
      </c>
      <c r="I173" s="3" t="s">
        <v>120</v>
      </c>
      <c r="J173" s="3" t="s">
        <v>38</v>
      </c>
      <c r="K173" s="2">
        <v>30</v>
      </c>
      <c r="L173" s="1">
        <v>65000</v>
      </c>
      <c r="M173" s="1">
        <v>1950000</v>
      </c>
      <c r="N173" s="1">
        <v>5</v>
      </c>
      <c r="O173" s="1">
        <v>97500</v>
      </c>
    </row>
    <row r="174" spans="1:15">
      <c r="A174" s="6">
        <v>2026</v>
      </c>
      <c r="B174" s="7">
        <v>4</v>
      </c>
      <c r="C174" s="8">
        <v>46119</v>
      </c>
      <c r="D174" s="3" t="s">
        <v>190</v>
      </c>
      <c r="E174" s="3" t="s">
        <v>68</v>
      </c>
      <c r="F174" s="3" t="s">
        <v>36</v>
      </c>
      <c r="G174" s="3" t="s">
        <v>18</v>
      </c>
      <c r="H174" s="3" t="s">
        <v>19</v>
      </c>
      <c r="I174" s="3" t="s">
        <v>69</v>
      </c>
      <c r="J174" s="3" t="s">
        <v>38</v>
      </c>
      <c r="K174" s="2">
        <v>20</v>
      </c>
      <c r="L174" s="1">
        <v>65000</v>
      </c>
      <c r="M174" s="1">
        <v>1300000</v>
      </c>
      <c r="N174" s="1">
        <v>5</v>
      </c>
      <c r="O174" s="1">
        <v>65000</v>
      </c>
    </row>
    <row r="175" spans="1:15">
      <c r="A175" s="6">
        <v>2026</v>
      </c>
      <c r="B175" s="7">
        <v>4</v>
      </c>
      <c r="C175" s="8">
        <v>46119</v>
      </c>
      <c r="D175" s="3" t="s">
        <v>190</v>
      </c>
      <c r="E175" s="3" t="s">
        <v>68</v>
      </c>
      <c r="F175" s="3" t="s">
        <v>36</v>
      </c>
      <c r="G175" s="3" t="s">
        <v>18</v>
      </c>
      <c r="H175" s="3" t="s">
        <v>19</v>
      </c>
      <c r="I175" s="3" t="s">
        <v>69</v>
      </c>
      <c r="J175" s="3" t="s">
        <v>46</v>
      </c>
      <c r="K175" s="2">
        <v>40</v>
      </c>
      <c r="L175" s="1">
        <v>64700</v>
      </c>
      <c r="M175" s="1">
        <v>2588000</v>
      </c>
      <c r="N175" s="1">
        <v>5</v>
      </c>
      <c r="O175" s="1">
        <v>129400</v>
      </c>
    </row>
    <row r="176" spans="1:15">
      <c r="A176" s="6">
        <v>2026</v>
      </c>
      <c r="B176" s="7">
        <v>4</v>
      </c>
      <c r="C176" s="8">
        <v>46119</v>
      </c>
      <c r="D176" s="3" t="s">
        <v>191</v>
      </c>
      <c r="E176" s="3" t="s">
        <v>170</v>
      </c>
      <c r="F176" s="3" t="s">
        <v>36</v>
      </c>
      <c r="G176" s="3" t="s">
        <v>18</v>
      </c>
      <c r="H176" s="3" t="s">
        <v>19</v>
      </c>
      <c r="I176" s="3" t="s">
        <v>73</v>
      </c>
      <c r="J176" s="3" t="s">
        <v>46</v>
      </c>
      <c r="K176" s="2">
        <v>7</v>
      </c>
      <c r="L176" s="1">
        <v>64700</v>
      </c>
      <c r="M176" s="1">
        <v>452900</v>
      </c>
      <c r="N176" s="1">
        <v>5</v>
      </c>
      <c r="O176" s="1">
        <v>22645</v>
      </c>
    </row>
    <row r="177" spans="1:15">
      <c r="A177" s="6">
        <v>2026</v>
      </c>
      <c r="B177" s="7">
        <v>4</v>
      </c>
      <c r="C177" s="8">
        <v>46119</v>
      </c>
      <c r="D177" s="3" t="s">
        <v>191</v>
      </c>
      <c r="E177" s="3" t="s">
        <v>170</v>
      </c>
      <c r="F177" s="3" t="s">
        <v>36</v>
      </c>
      <c r="G177" s="3" t="s">
        <v>18</v>
      </c>
      <c r="H177" s="3" t="s">
        <v>19</v>
      </c>
      <c r="I177" s="3" t="s">
        <v>73</v>
      </c>
      <c r="J177" s="3" t="s">
        <v>46</v>
      </c>
      <c r="K177" s="2">
        <v>3</v>
      </c>
      <c r="L177" s="1">
        <v>64700</v>
      </c>
      <c r="M177" s="1">
        <v>194100</v>
      </c>
      <c r="N177" s="1">
        <v>5</v>
      </c>
      <c r="O177" s="1">
        <v>9705</v>
      </c>
    </row>
    <row r="178" spans="1:15">
      <c r="A178" s="6">
        <v>2026</v>
      </c>
      <c r="B178" s="7">
        <v>4</v>
      </c>
      <c r="C178" s="8">
        <v>46119</v>
      </c>
      <c r="D178" s="3" t="s">
        <v>191</v>
      </c>
      <c r="E178" s="3" t="s">
        <v>170</v>
      </c>
      <c r="F178" s="3" t="s">
        <v>36</v>
      </c>
      <c r="G178" s="3" t="s">
        <v>18</v>
      </c>
      <c r="H178" s="3" t="s">
        <v>19</v>
      </c>
      <c r="I178" s="3" t="s">
        <v>73</v>
      </c>
      <c r="J178" s="3" t="s">
        <v>38</v>
      </c>
      <c r="K178" s="2">
        <v>10</v>
      </c>
      <c r="L178" s="1">
        <v>65000</v>
      </c>
      <c r="M178" s="1">
        <v>650000</v>
      </c>
      <c r="N178" s="1">
        <v>5</v>
      </c>
      <c r="O178" s="1">
        <v>32500</v>
      </c>
    </row>
    <row r="179" spans="1:15">
      <c r="A179" s="6">
        <v>2026</v>
      </c>
      <c r="B179" s="7">
        <v>4</v>
      </c>
      <c r="C179" s="8">
        <v>46121</v>
      </c>
      <c r="D179" s="3" t="s">
        <v>192</v>
      </c>
      <c r="E179" s="3" t="s">
        <v>170</v>
      </c>
      <c r="F179" s="3" t="s">
        <v>36</v>
      </c>
      <c r="G179" s="3" t="s">
        <v>18</v>
      </c>
      <c r="H179" s="3" t="s">
        <v>19</v>
      </c>
      <c r="I179" s="3" t="s">
        <v>193</v>
      </c>
      <c r="J179" s="3" t="s">
        <v>46</v>
      </c>
      <c r="K179" s="2">
        <v>15</v>
      </c>
      <c r="L179" s="1">
        <v>64700</v>
      </c>
      <c r="M179" s="1">
        <v>970500</v>
      </c>
      <c r="N179" s="1">
        <v>5</v>
      </c>
      <c r="O179" s="1">
        <v>48525</v>
      </c>
    </row>
    <row r="180" spans="1:15">
      <c r="A180" s="6">
        <v>2026</v>
      </c>
      <c r="B180" s="7">
        <v>4</v>
      </c>
      <c r="C180" s="8">
        <v>46121</v>
      </c>
      <c r="D180" s="3" t="s">
        <v>192</v>
      </c>
      <c r="E180" s="3" t="s">
        <v>170</v>
      </c>
      <c r="F180" s="3" t="s">
        <v>36</v>
      </c>
      <c r="G180" s="3" t="s">
        <v>18</v>
      </c>
      <c r="H180" s="3" t="s">
        <v>19</v>
      </c>
      <c r="I180" s="3" t="s">
        <v>193</v>
      </c>
      <c r="J180" s="3" t="s">
        <v>38</v>
      </c>
      <c r="K180" s="2">
        <v>15</v>
      </c>
      <c r="L180" s="1">
        <v>65000</v>
      </c>
      <c r="M180" s="1">
        <v>975000</v>
      </c>
      <c r="N180" s="1">
        <v>5</v>
      </c>
      <c r="O180" s="1">
        <v>48750</v>
      </c>
    </row>
    <row r="181" spans="1:15">
      <c r="A181" s="6">
        <v>2026</v>
      </c>
      <c r="B181" s="7">
        <v>4</v>
      </c>
      <c r="C181" s="8">
        <v>46121</v>
      </c>
      <c r="D181" s="3" t="s">
        <v>192</v>
      </c>
      <c r="E181" s="3" t="s">
        <v>170</v>
      </c>
      <c r="F181" s="3" t="s">
        <v>36</v>
      </c>
      <c r="G181" s="3" t="s">
        <v>18</v>
      </c>
      <c r="H181" s="3" t="s">
        <v>19</v>
      </c>
      <c r="I181" s="3" t="s">
        <v>193</v>
      </c>
      <c r="J181" s="3" t="s">
        <v>41</v>
      </c>
      <c r="K181" s="2">
        <v>10</v>
      </c>
      <c r="L181" s="1">
        <v>90000</v>
      </c>
      <c r="M181" s="1">
        <v>900000</v>
      </c>
      <c r="N181" s="1">
        <v>5</v>
      </c>
      <c r="O181" s="1">
        <v>45000</v>
      </c>
    </row>
    <row r="182" spans="1:15">
      <c r="A182" s="6">
        <v>2026</v>
      </c>
      <c r="B182" s="7">
        <v>4</v>
      </c>
      <c r="C182" s="8">
        <v>46121</v>
      </c>
      <c r="D182" s="3" t="s">
        <v>192</v>
      </c>
      <c r="E182" s="3" t="s">
        <v>170</v>
      </c>
      <c r="F182" s="3" t="s">
        <v>36</v>
      </c>
      <c r="G182" s="3" t="s">
        <v>18</v>
      </c>
      <c r="H182" s="3" t="s">
        <v>19</v>
      </c>
      <c r="I182" s="3" t="s">
        <v>193</v>
      </c>
      <c r="J182" s="3" t="s">
        <v>41</v>
      </c>
      <c r="K182" s="2">
        <v>5</v>
      </c>
      <c r="L182" s="1">
        <v>90000</v>
      </c>
      <c r="M182" s="1">
        <v>450000</v>
      </c>
      <c r="N182" s="1">
        <v>5</v>
      </c>
      <c r="O182" s="1">
        <v>22500</v>
      </c>
    </row>
    <row r="183" spans="1:15">
      <c r="A183" s="6">
        <v>2026</v>
      </c>
      <c r="B183" s="7">
        <v>4</v>
      </c>
      <c r="C183" s="8">
        <v>46121</v>
      </c>
      <c r="D183" s="3" t="s">
        <v>194</v>
      </c>
      <c r="E183" s="3" t="s">
        <v>59</v>
      </c>
      <c r="F183" s="3" t="s">
        <v>36</v>
      </c>
      <c r="G183" s="3" t="s">
        <v>18</v>
      </c>
      <c r="H183" s="3" t="s">
        <v>19</v>
      </c>
      <c r="I183" s="3" t="s">
        <v>97</v>
      </c>
      <c r="J183" s="3" t="s">
        <v>41</v>
      </c>
      <c r="K183" s="2">
        <v>20</v>
      </c>
      <c r="L183" s="1">
        <v>90000</v>
      </c>
      <c r="M183" s="1">
        <v>1800000</v>
      </c>
      <c r="N183" s="1">
        <v>5</v>
      </c>
      <c r="O183" s="1">
        <v>90000</v>
      </c>
    </row>
    <row r="184" spans="1:15">
      <c r="A184" s="6">
        <v>2026</v>
      </c>
      <c r="B184" s="7">
        <v>4</v>
      </c>
      <c r="C184" s="8">
        <v>46121</v>
      </c>
      <c r="D184" s="3" t="s">
        <v>195</v>
      </c>
      <c r="E184" s="3" t="s">
        <v>68</v>
      </c>
      <c r="F184" s="3" t="s">
        <v>36</v>
      </c>
      <c r="G184" s="3" t="s">
        <v>18</v>
      </c>
      <c r="H184" s="3" t="s">
        <v>19</v>
      </c>
      <c r="I184" s="3" t="s">
        <v>129</v>
      </c>
      <c r="J184" s="3" t="s">
        <v>46</v>
      </c>
      <c r="K184" s="2">
        <v>100</v>
      </c>
      <c r="L184" s="1">
        <v>64700</v>
      </c>
      <c r="M184" s="1">
        <v>6470000</v>
      </c>
      <c r="N184" s="1">
        <v>5</v>
      </c>
      <c r="O184" s="1">
        <v>323500</v>
      </c>
    </row>
    <row r="185" spans="1:15">
      <c r="A185" s="6">
        <v>2026</v>
      </c>
      <c r="B185" s="7">
        <v>4</v>
      </c>
      <c r="C185" s="8">
        <v>46121</v>
      </c>
      <c r="D185" s="3" t="s">
        <v>196</v>
      </c>
      <c r="E185" s="3" t="s">
        <v>48</v>
      </c>
      <c r="F185" s="3" t="s">
        <v>36</v>
      </c>
      <c r="G185" s="3" t="s">
        <v>18</v>
      </c>
      <c r="H185" s="3" t="s">
        <v>19</v>
      </c>
      <c r="I185" s="3" t="s">
        <v>197</v>
      </c>
      <c r="J185" s="3" t="s">
        <v>41</v>
      </c>
      <c r="K185" s="2">
        <v>10</v>
      </c>
      <c r="L185" s="1">
        <v>90000</v>
      </c>
      <c r="M185" s="1">
        <v>900000</v>
      </c>
      <c r="N185" s="1">
        <v>5</v>
      </c>
      <c r="O185" s="1">
        <v>45000</v>
      </c>
    </row>
    <row r="186" spans="1:15">
      <c r="A186" s="6">
        <v>2026</v>
      </c>
      <c r="B186" s="7">
        <v>4</v>
      </c>
      <c r="C186" s="8">
        <v>46122</v>
      </c>
      <c r="D186" s="3" t="s">
        <v>198</v>
      </c>
      <c r="E186" s="3" t="s">
        <v>43</v>
      </c>
      <c r="F186" s="3" t="s">
        <v>44</v>
      </c>
      <c r="G186" s="3" t="s">
        <v>18</v>
      </c>
      <c r="H186" s="3" t="s">
        <v>19</v>
      </c>
      <c r="I186" s="3" t="s">
        <v>199</v>
      </c>
      <c r="J186" s="3" t="s">
        <v>46</v>
      </c>
      <c r="K186" s="2">
        <v>50</v>
      </c>
      <c r="L186" s="1">
        <v>64700</v>
      </c>
      <c r="M186" s="1">
        <v>3235000</v>
      </c>
      <c r="N186" s="1">
        <v>10</v>
      </c>
      <c r="O186" s="1">
        <v>323500</v>
      </c>
    </row>
    <row r="187" spans="1:15">
      <c r="A187" s="6">
        <v>2026</v>
      </c>
      <c r="B187" s="7">
        <v>4</v>
      </c>
      <c r="C187" s="8">
        <v>46122</v>
      </c>
      <c r="D187" s="3" t="s">
        <v>200</v>
      </c>
      <c r="E187" s="3" t="s">
        <v>48</v>
      </c>
      <c r="F187" s="3" t="s">
        <v>36</v>
      </c>
      <c r="G187" s="3" t="s">
        <v>18</v>
      </c>
      <c r="H187" s="3" t="s">
        <v>19</v>
      </c>
      <c r="I187" s="3" t="s">
        <v>103</v>
      </c>
      <c r="J187" s="3" t="s">
        <v>41</v>
      </c>
      <c r="K187" s="2">
        <v>50</v>
      </c>
      <c r="L187" s="1">
        <v>90000</v>
      </c>
      <c r="M187" s="1">
        <v>4500000</v>
      </c>
      <c r="N187" s="1">
        <v>5</v>
      </c>
      <c r="O187" s="1">
        <v>225000</v>
      </c>
    </row>
    <row r="188" spans="1:15">
      <c r="A188" s="6">
        <v>2026</v>
      </c>
      <c r="B188" s="7">
        <v>4</v>
      </c>
      <c r="C188" s="8">
        <v>46122</v>
      </c>
      <c r="D188" s="3" t="s">
        <v>201</v>
      </c>
      <c r="E188" s="3" t="s">
        <v>35</v>
      </c>
      <c r="F188" s="3" t="s">
        <v>36</v>
      </c>
      <c r="G188" s="3" t="s">
        <v>18</v>
      </c>
      <c r="H188" s="3" t="s">
        <v>19</v>
      </c>
      <c r="I188" s="3" t="s">
        <v>75</v>
      </c>
      <c r="J188" s="3" t="s">
        <v>38</v>
      </c>
      <c r="K188" s="2">
        <v>5</v>
      </c>
      <c r="L188" s="1">
        <v>65000</v>
      </c>
      <c r="M188" s="1">
        <v>325000</v>
      </c>
      <c r="N188" s="1">
        <v>5</v>
      </c>
      <c r="O188" s="1">
        <v>16250</v>
      </c>
    </row>
    <row r="189" spans="1:15">
      <c r="A189" s="6">
        <v>2026</v>
      </c>
      <c r="B189" s="7">
        <v>4</v>
      </c>
      <c r="C189" s="8">
        <v>46122</v>
      </c>
      <c r="D189" s="3" t="s">
        <v>201</v>
      </c>
      <c r="E189" s="3" t="s">
        <v>35</v>
      </c>
      <c r="F189" s="3" t="s">
        <v>36</v>
      </c>
      <c r="G189" s="3" t="s">
        <v>18</v>
      </c>
      <c r="H189" s="3" t="s">
        <v>19</v>
      </c>
      <c r="I189" s="3" t="s">
        <v>75</v>
      </c>
      <c r="J189" s="3" t="s">
        <v>46</v>
      </c>
      <c r="K189" s="2">
        <v>50</v>
      </c>
      <c r="L189" s="1">
        <v>64700</v>
      </c>
      <c r="M189" s="1">
        <v>3235000</v>
      </c>
      <c r="N189" s="1">
        <v>5</v>
      </c>
      <c r="O189" s="1">
        <v>161750</v>
      </c>
    </row>
    <row r="190" spans="1:15">
      <c r="A190" s="6">
        <v>2026</v>
      </c>
      <c r="B190" s="7">
        <v>4</v>
      </c>
      <c r="C190" s="8">
        <v>46122</v>
      </c>
      <c r="D190" s="3" t="s">
        <v>201</v>
      </c>
      <c r="E190" s="3" t="s">
        <v>35</v>
      </c>
      <c r="F190" s="3" t="s">
        <v>36</v>
      </c>
      <c r="G190" s="3" t="s">
        <v>18</v>
      </c>
      <c r="H190" s="3" t="s">
        <v>19</v>
      </c>
      <c r="I190" s="3" t="s">
        <v>75</v>
      </c>
      <c r="J190" s="3" t="s">
        <v>41</v>
      </c>
      <c r="K190" s="2">
        <v>30</v>
      </c>
      <c r="L190" s="1">
        <v>90000</v>
      </c>
      <c r="M190" s="1">
        <v>2700000</v>
      </c>
      <c r="N190" s="1">
        <v>5</v>
      </c>
      <c r="O190" s="1">
        <v>135000</v>
      </c>
    </row>
    <row r="191" spans="1:15">
      <c r="A191" s="6">
        <v>2026</v>
      </c>
      <c r="B191" s="7">
        <v>4</v>
      </c>
      <c r="C191" s="8">
        <v>46122</v>
      </c>
      <c r="D191" s="3" t="s">
        <v>202</v>
      </c>
      <c r="E191" s="3" t="s">
        <v>35</v>
      </c>
      <c r="F191" s="3" t="s">
        <v>36</v>
      </c>
      <c r="G191" s="3" t="s">
        <v>18</v>
      </c>
      <c r="H191" s="3" t="s">
        <v>19</v>
      </c>
      <c r="I191" s="3" t="s">
        <v>75</v>
      </c>
      <c r="J191" s="3" t="s">
        <v>38</v>
      </c>
      <c r="K191" s="2">
        <v>45</v>
      </c>
      <c r="L191" s="1">
        <v>65000</v>
      </c>
      <c r="M191" s="1">
        <v>2925000</v>
      </c>
      <c r="N191" s="1">
        <v>5</v>
      </c>
      <c r="O191" s="1">
        <v>146250</v>
      </c>
    </row>
    <row r="192" spans="1:15">
      <c r="A192" s="6">
        <v>2026</v>
      </c>
      <c r="B192" s="7">
        <v>4</v>
      </c>
      <c r="C192" s="8">
        <v>46122</v>
      </c>
      <c r="D192" s="3" t="s">
        <v>203</v>
      </c>
      <c r="E192" s="3" t="s">
        <v>59</v>
      </c>
      <c r="F192" s="3" t="s">
        <v>36</v>
      </c>
      <c r="G192" s="3" t="s">
        <v>18</v>
      </c>
      <c r="H192" s="3" t="s">
        <v>19</v>
      </c>
      <c r="I192" s="3" t="s">
        <v>37</v>
      </c>
      <c r="J192" s="3" t="s">
        <v>41</v>
      </c>
      <c r="K192" s="2">
        <v>50</v>
      </c>
      <c r="L192" s="1">
        <v>90000</v>
      </c>
      <c r="M192" s="1">
        <v>4500000</v>
      </c>
      <c r="N192" s="1">
        <v>5</v>
      </c>
      <c r="O192" s="1">
        <v>225000</v>
      </c>
    </row>
    <row r="193" spans="1:15">
      <c r="A193" s="6">
        <v>2026</v>
      </c>
      <c r="B193" s="7">
        <v>4</v>
      </c>
      <c r="C193" s="8">
        <v>46122</v>
      </c>
      <c r="D193" s="3" t="s">
        <v>203</v>
      </c>
      <c r="E193" s="3" t="s">
        <v>59</v>
      </c>
      <c r="F193" s="3" t="s">
        <v>36</v>
      </c>
      <c r="G193" s="3" t="s">
        <v>18</v>
      </c>
      <c r="H193" s="3" t="s">
        <v>19</v>
      </c>
      <c r="I193" s="3" t="s">
        <v>37</v>
      </c>
      <c r="J193" s="3" t="s">
        <v>46</v>
      </c>
      <c r="K193" s="2">
        <v>12</v>
      </c>
      <c r="L193" s="1">
        <v>64700</v>
      </c>
      <c r="M193" s="1">
        <v>776400</v>
      </c>
      <c r="N193" s="1">
        <v>5</v>
      </c>
      <c r="O193" s="1">
        <v>38820</v>
      </c>
    </row>
    <row r="194" spans="1:15">
      <c r="A194" s="6">
        <v>2026</v>
      </c>
      <c r="B194" s="7">
        <v>4</v>
      </c>
      <c r="C194" s="8">
        <v>46122</v>
      </c>
      <c r="D194" s="3" t="s">
        <v>203</v>
      </c>
      <c r="E194" s="3" t="s">
        <v>59</v>
      </c>
      <c r="F194" s="3" t="s">
        <v>36</v>
      </c>
      <c r="G194" s="3" t="s">
        <v>18</v>
      </c>
      <c r="H194" s="3" t="s">
        <v>19</v>
      </c>
      <c r="I194" s="3" t="s">
        <v>37</v>
      </c>
      <c r="J194" s="3" t="s">
        <v>46</v>
      </c>
      <c r="K194" s="2">
        <v>38</v>
      </c>
      <c r="L194" s="1">
        <v>64700</v>
      </c>
      <c r="M194" s="1">
        <v>2458600</v>
      </c>
      <c r="N194" s="1">
        <v>5</v>
      </c>
      <c r="O194" s="1">
        <v>122930</v>
      </c>
    </row>
    <row r="195" spans="1:15">
      <c r="A195" s="6">
        <v>2026</v>
      </c>
      <c r="B195" s="7">
        <v>4</v>
      </c>
      <c r="C195" s="8">
        <v>46127</v>
      </c>
      <c r="D195" s="3" t="s">
        <v>204</v>
      </c>
      <c r="E195" s="3" t="s">
        <v>48</v>
      </c>
      <c r="F195" s="3" t="s">
        <v>36</v>
      </c>
      <c r="G195" s="3" t="s">
        <v>18</v>
      </c>
      <c r="H195" s="3" t="s">
        <v>19</v>
      </c>
      <c r="I195" s="3" t="s">
        <v>205</v>
      </c>
      <c r="J195" s="3" t="s">
        <v>38</v>
      </c>
      <c r="K195" s="2">
        <v>25</v>
      </c>
      <c r="L195" s="1">
        <v>65000</v>
      </c>
      <c r="M195" s="1">
        <v>1625000</v>
      </c>
      <c r="N195" s="1">
        <v>5</v>
      </c>
      <c r="O195" s="1">
        <v>81250</v>
      </c>
    </row>
    <row r="196" spans="1:15">
      <c r="A196" s="6">
        <v>2026</v>
      </c>
      <c r="B196" s="7">
        <v>4</v>
      </c>
      <c r="C196" s="8">
        <v>46127</v>
      </c>
      <c r="D196" s="3" t="s">
        <v>204</v>
      </c>
      <c r="E196" s="3" t="s">
        <v>48</v>
      </c>
      <c r="F196" s="3" t="s">
        <v>36</v>
      </c>
      <c r="G196" s="3" t="s">
        <v>18</v>
      </c>
      <c r="H196" s="3" t="s">
        <v>19</v>
      </c>
      <c r="I196" s="3" t="s">
        <v>205</v>
      </c>
      <c r="J196" s="3" t="s">
        <v>41</v>
      </c>
      <c r="K196" s="2">
        <v>25</v>
      </c>
      <c r="L196" s="1">
        <v>90000</v>
      </c>
      <c r="M196" s="1">
        <v>2250000</v>
      </c>
      <c r="N196" s="1">
        <v>5</v>
      </c>
      <c r="O196" s="1">
        <v>112500</v>
      </c>
    </row>
    <row r="197" spans="1:15">
      <c r="A197" s="6">
        <v>2026</v>
      </c>
      <c r="B197" s="7">
        <v>4</v>
      </c>
      <c r="C197" s="8">
        <v>46127</v>
      </c>
      <c r="D197" s="3" t="s">
        <v>206</v>
      </c>
      <c r="E197" s="3" t="s">
        <v>48</v>
      </c>
      <c r="F197" s="3" t="s">
        <v>36</v>
      </c>
      <c r="G197" s="3" t="s">
        <v>18</v>
      </c>
      <c r="H197" s="3" t="s">
        <v>19</v>
      </c>
      <c r="I197" s="3" t="s">
        <v>120</v>
      </c>
      <c r="J197" s="3" t="s">
        <v>46</v>
      </c>
      <c r="K197" s="2">
        <v>20</v>
      </c>
      <c r="L197" s="1">
        <v>64700</v>
      </c>
      <c r="M197" s="1">
        <v>1294000</v>
      </c>
      <c r="N197" s="1">
        <v>5</v>
      </c>
      <c r="O197" s="1">
        <v>64700</v>
      </c>
    </row>
    <row r="198" spans="1:15">
      <c r="A198" s="6">
        <v>2026</v>
      </c>
      <c r="B198" s="7">
        <v>4</v>
      </c>
      <c r="C198" s="8">
        <v>46127</v>
      </c>
      <c r="D198" s="3" t="s">
        <v>206</v>
      </c>
      <c r="E198" s="3" t="s">
        <v>48</v>
      </c>
      <c r="F198" s="3" t="s">
        <v>36</v>
      </c>
      <c r="G198" s="3" t="s">
        <v>18</v>
      </c>
      <c r="H198" s="3" t="s">
        <v>19</v>
      </c>
      <c r="I198" s="3" t="s">
        <v>120</v>
      </c>
      <c r="J198" s="3" t="s">
        <v>41</v>
      </c>
      <c r="K198" s="2">
        <v>20</v>
      </c>
      <c r="L198" s="1">
        <v>90000</v>
      </c>
      <c r="M198" s="1">
        <v>1800000</v>
      </c>
      <c r="N198" s="1">
        <v>5</v>
      </c>
      <c r="O198" s="1">
        <v>90000</v>
      </c>
    </row>
    <row r="199" spans="1:15">
      <c r="A199" s="6">
        <v>2026</v>
      </c>
      <c r="B199" s="7">
        <v>4</v>
      </c>
      <c r="C199" s="8">
        <v>46127</v>
      </c>
      <c r="D199" s="3" t="s">
        <v>207</v>
      </c>
      <c r="E199" s="3" t="s">
        <v>35</v>
      </c>
      <c r="F199" s="3" t="s">
        <v>36</v>
      </c>
      <c r="G199" s="3" t="s">
        <v>18</v>
      </c>
      <c r="H199" s="3" t="s">
        <v>19</v>
      </c>
      <c r="I199" s="3" t="s">
        <v>208</v>
      </c>
      <c r="J199" s="3" t="s">
        <v>41</v>
      </c>
      <c r="K199" s="2">
        <v>20</v>
      </c>
      <c r="L199" s="1">
        <v>90000</v>
      </c>
      <c r="M199" s="1">
        <v>1800000</v>
      </c>
      <c r="N199" s="1">
        <v>5</v>
      </c>
      <c r="O199" s="1">
        <v>90000</v>
      </c>
    </row>
    <row r="200" spans="1:15">
      <c r="A200" s="6">
        <v>2026</v>
      </c>
      <c r="B200" s="7">
        <v>4</v>
      </c>
      <c r="C200" s="8">
        <v>46127</v>
      </c>
      <c r="D200" s="3" t="s">
        <v>209</v>
      </c>
      <c r="E200" s="3" t="s">
        <v>59</v>
      </c>
      <c r="F200" s="3" t="s">
        <v>36</v>
      </c>
      <c r="G200" s="3" t="s">
        <v>18</v>
      </c>
      <c r="H200" s="3" t="s">
        <v>19</v>
      </c>
      <c r="I200" s="3" t="s">
        <v>210</v>
      </c>
      <c r="J200" s="3" t="s">
        <v>38</v>
      </c>
      <c r="K200" s="2">
        <v>30</v>
      </c>
      <c r="L200" s="1">
        <v>65000</v>
      </c>
      <c r="M200" s="1">
        <v>1950000</v>
      </c>
      <c r="N200" s="1">
        <v>5</v>
      </c>
      <c r="O200" s="1">
        <v>97500</v>
      </c>
    </row>
    <row r="201" spans="1:15">
      <c r="A201" s="6">
        <v>2026</v>
      </c>
      <c r="B201" s="7">
        <v>4</v>
      </c>
      <c r="C201" s="8">
        <v>46129</v>
      </c>
      <c r="D201" s="3" t="s">
        <v>211</v>
      </c>
      <c r="E201" s="3" t="s">
        <v>170</v>
      </c>
      <c r="F201" s="3" t="s">
        <v>36</v>
      </c>
      <c r="G201" s="3" t="s">
        <v>18</v>
      </c>
      <c r="H201" s="3" t="s">
        <v>19</v>
      </c>
      <c r="I201" s="3" t="s">
        <v>73</v>
      </c>
      <c r="J201" s="3" t="s">
        <v>38</v>
      </c>
      <c r="K201" s="2">
        <v>10</v>
      </c>
      <c r="L201" s="1">
        <v>65000</v>
      </c>
      <c r="M201" s="1">
        <v>650000</v>
      </c>
      <c r="N201" s="1">
        <v>5</v>
      </c>
      <c r="O201" s="1">
        <v>32500</v>
      </c>
    </row>
    <row r="202" spans="1:15">
      <c r="A202" s="6">
        <v>2026</v>
      </c>
      <c r="B202" s="7">
        <v>4</v>
      </c>
      <c r="C202" s="8">
        <v>46129</v>
      </c>
      <c r="D202" s="3" t="s">
        <v>211</v>
      </c>
      <c r="E202" s="3" t="s">
        <v>170</v>
      </c>
      <c r="F202" s="3" t="s">
        <v>36</v>
      </c>
      <c r="G202" s="3" t="s">
        <v>18</v>
      </c>
      <c r="H202" s="3" t="s">
        <v>19</v>
      </c>
      <c r="I202" s="3" t="s">
        <v>73</v>
      </c>
      <c r="J202" s="3" t="s">
        <v>46</v>
      </c>
      <c r="K202" s="2">
        <v>10</v>
      </c>
      <c r="L202" s="1">
        <v>64700</v>
      </c>
      <c r="M202" s="1">
        <v>647000</v>
      </c>
      <c r="N202" s="1">
        <v>5</v>
      </c>
      <c r="O202" s="1">
        <v>32350</v>
      </c>
    </row>
    <row r="203" spans="1:15">
      <c r="A203" s="6">
        <v>2026</v>
      </c>
      <c r="B203" s="7">
        <v>4</v>
      </c>
      <c r="C203" s="8">
        <v>46129</v>
      </c>
      <c r="D203" s="3" t="s">
        <v>211</v>
      </c>
      <c r="E203" s="3" t="s">
        <v>170</v>
      </c>
      <c r="F203" s="3" t="s">
        <v>36</v>
      </c>
      <c r="G203" s="3" t="s">
        <v>18</v>
      </c>
      <c r="H203" s="3" t="s">
        <v>19</v>
      </c>
      <c r="I203" s="3" t="s">
        <v>73</v>
      </c>
      <c r="J203" s="3" t="s">
        <v>41</v>
      </c>
      <c r="K203" s="2">
        <v>20</v>
      </c>
      <c r="L203" s="1">
        <v>90000</v>
      </c>
      <c r="M203" s="1">
        <v>1800000</v>
      </c>
      <c r="N203" s="1">
        <v>5</v>
      </c>
      <c r="O203" s="1">
        <v>90000</v>
      </c>
    </row>
    <row r="204" spans="1:15">
      <c r="A204" s="6">
        <v>2026</v>
      </c>
      <c r="B204" s="7">
        <v>4</v>
      </c>
      <c r="C204" s="8">
        <v>46132</v>
      </c>
      <c r="D204" s="3" t="s">
        <v>212</v>
      </c>
      <c r="E204" s="3" t="s">
        <v>170</v>
      </c>
      <c r="F204" s="3" t="s">
        <v>36</v>
      </c>
      <c r="G204" s="3" t="s">
        <v>18</v>
      </c>
      <c r="H204" s="3" t="s">
        <v>19</v>
      </c>
      <c r="I204" s="3" t="s">
        <v>158</v>
      </c>
      <c r="J204" s="3" t="s">
        <v>41</v>
      </c>
      <c r="K204" s="2">
        <v>18</v>
      </c>
      <c r="L204" s="1">
        <v>90000</v>
      </c>
      <c r="M204" s="1">
        <v>1620000</v>
      </c>
      <c r="N204" s="1">
        <v>5</v>
      </c>
      <c r="O204" s="1">
        <v>81000</v>
      </c>
    </row>
    <row r="205" spans="1:15">
      <c r="A205" s="6">
        <v>2026</v>
      </c>
      <c r="B205" s="7">
        <v>4</v>
      </c>
      <c r="C205" s="8">
        <v>46132</v>
      </c>
      <c r="D205" s="3" t="s">
        <v>212</v>
      </c>
      <c r="E205" s="3" t="s">
        <v>170</v>
      </c>
      <c r="F205" s="3" t="s">
        <v>36</v>
      </c>
      <c r="G205" s="3" t="s">
        <v>18</v>
      </c>
      <c r="H205" s="3" t="s">
        <v>19</v>
      </c>
      <c r="I205" s="3" t="s">
        <v>158</v>
      </c>
      <c r="J205" s="3" t="s">
        <v>46</v>
      </c>
      <c r="K205" s="2">
        <v>10</v>
      </c>
      <c r="L205" s="1">
        <v>64700</v>
      </c>
      <c r="M205" s="1">
        <v>647000</v>
      </c>
      <c r="N205" s="1">
        <v>5</v>
      </c>
      <c r="O205" s="1">
        <v>32350</v>
      </c>
    </row>
    <row r="206" spans="1:15">
      <c r="A206" s="6">
        <v>2026</v>
      </c>
      <c r="B206" s="7">
        <v>4</v>
      </c>
      <c r="C206" s="8">
        <v>46134</v>
      </c>
      <c r="D206" s="3" t="s">
        <v>213</v>
      </c>
      <c r="E206" s="3" t="s">
        <v>48</v>
      </c>
      <c r="F206" s="3" t="s">
        <v>36</v>
      </c>
      <c r="G206" s="3" t="s">
        <v>18</v>
      </c>
      <c r="H206" s="3" t="s">
        <v>19</v>
      </c>
      <c r="I206" s="3" t="s">
        <v>103</v>
      </c>
      <c r="J206" s="3" t="s">
        <v>41</v>
      </c>
      <c r="K206" s="2">
        <v>100</v>
      </c>
      <c r="L206" s="1">
        <v>90000</v>
      </c>
      <c r="M206" s="1">
        <v>9000000</v>
      </c>
      <c r="N206" s="1">
        <v>5</v>
      </c>
      <c r="O206" s="1">
        <v>450000</v>
      </c>
    </row>
    <row r="207" spans="1:15">
      <c r="A207" s="6">
        <v>2026</v>
      </c>
      <c r="B207" s="7">
        <v>4</v>
      </c>
      <c r="C207" s="8">
        <v>46134</v>
      </c>
      <c r="D207" s="3" t="s">
        <v>214</v>
      </c>
      <c r="E207" s="3" t="s">
        <v>68</v>
      </c>
      <c r="F207" s="3" t="s">
        <v>36</v>
      </c>
      <c r="G207" s="3" t="s">
        <v>18</v>
      </c>
      <c r="H207" s="3" t="s">
        <v>19</v>
      </c>
      <c r="I207" s="3" t="s">
        <v>69</v>
      </c>
      <c r="J207" s="3" t="s">
        <v>41</v>
      </c>
      <c r="K207" s="2">
        <v>50</v>
      </c>
      <c r="L207" s="1">
        <v>90000</v>
      </c>
      <c r="M207" s="1">
        <v>4500000</v>
      </c>
      <c r="N207" s="1">
        <v>5</v>
      </c>
      <c r="O207" s="1">
        <v>225000</v>
      </c>
    </row>
    <row r="208" spans="1:15">
      <c r="A208" s="6">
        <v>2026</v>
      </c>
      <c r="B208" s="7">
        <v>4</v>
      </c>
      <c r="C208" s="8">
        <v>46134</v>
      </c>
      <c r="D208" s="3" t="s">
        <v>214</v>
      </c>
      <c r="E208" s="3" t="s">
        <v>68</v>
      </c>
      <c r="F208" s="3" t="s">
        <v>36</v>
      </c>
      <c r="G208" s="3" t="s">
        <v>18</v>
      </c>
      <c r="H208" s="3" t="s">
        <v>19</v>
      </c>
      <c r="I208" s="3" t="s">
        <v>69</v>
      </c>
      <c r="J208" s="3" t="s">
        <v>46</v>
      </c>
      <c r="K208" s="2">
        <v>50</v>
      </c>
      <c r="L208" s="1">
        <v>64700</v>
      </c>
      <c r="M208" s="1">
        <v>3235000</v>
      </c>
      <c r="N208" s="1">
        <v>5</v>
      </c>
      <c r="O208" s="1">
        <v>161750</v>
      </c>
    </row>
    <row r="209" spans="1:15">
      <c r="A209" s="6">
        <v>2026</v>
      </c>
      <c r="B209" s="7">
        <v>4</v>
      </c>
      <c r="C209" s="8">
        <v>46134</v>
      </c>
      <c r="D209" s="3" t="s">
        <v>215</v>
      </c>
      <c r="E209" s="3" t="s">
        <v>35</v>
      </c>
      <c r="F209" s="3" t="s">
        <v>36</v>
      </c>
      <c r="G209" s="3" t="s">
        <v>18</v>
      </c>
      <c r="H209" s="3" t="s">
        <v>19</v>
      </c>
      <c r="I209" s="3" t="s">
        <v>75</v>
      </c>
      <c r="J209" s="3" t="s">
        <v>41</v>
      </c>
      <c r="K209" s="2">
        <v>50</v>
      </c>
      <c r="L209" s="1">
        <v>90000</v>
      </c>
      <c r="M209" s="1">
        <v>4500000</v>
      </c>
      <c r="N209" s="1">
        <v>5</v>
      </c>
      <c r="O209" s="1">
        <v>225000</v>
      </c>
    </row>
    <row r="210" spans="1:15">
      <c r="A210" s="6">
        <v>2026</v>
      </c>
      <c r="B210" s="7">
        <v>4</v>
      </c>
      <c r="C210" s="8">
        <v>46136</v>
      </c>
      <c r="D210" s="3" t="s">
        <v>216</v>
      </c>
      <c r="E210" s="3" t="s">
        <v>48</v>
      </c>
      <c r="F210" s="3" t="s">
        <v>36</v>
      </c>
      <c r="G210" s="3" t="s">
        <v>18</v>
      </c>
      <c r="H210" s="3" t="s">
        <v>19</v>
      </c>
      <c r="I210" s="3" t="s">
        <v>217</v>
      </c>
      <c r="J210" s="3" t="s">
        <v>41</v>
      </c>
      <c r="K210" s="2">
        <v>5</v>
      </c>
      <c r="L210" s="1">
        <v>90000</v>
      </c>
      <c r="M210" s="1">
        <v>450000</v>
      </c>
      <c r="N210" s="1">
        <v>5</v>
      </c>
      <c r="O210" s="1">
        <v>22500</v>
      </c>
    </row>
    <row r="211" spans="1:15">
      <c r="A211" s="6">
        <v>2026</v>
      </c>
      <c r="B211" s="7">
        <v>4</v>
      </c>
      <c r="C211" s="8">
        <v>46136</v>
      </c>
      <c r="D211" s="3" t="s">
        <v>216</v>
      </c>
      <c r="E211" s="3" t="s">
        <v>48</v>
      </c>
      <c r="F211" s="3" t="s">
        <v>36</v>
      </c>
      <c r="G211" s="3" t="s">
        <v>18</v>
      </c>
      <c r="H211" s="3" t="s">
        <v>19</v>
      </c>
      <c r="I211" s="3" t="s">
        <v>217</v>
      </c>
      <c r="J211" s="3" t="s">
        <v>41</v>
      </c>
      <c r="K211" s="2">
        <v>5</v>
      </c>
      <c r="L211" s="1">
        <v>90000</v>
      </c>
      <c r="M211" s="1">
        <v>450000</v>
      </c>
      <c r="N211" s="1">
        <v>5</v>
      </c>
      <c r="O211" s="1">
        <v>22500</v>
      </c>
    </row>
    <row r="212" spans="1:15">
      <c r="A212" s="6">
        <v>2026</v>
      </c>
      <c r="B212" s="7">
        <v>4</v>
      </c>
      <c r="C212" s="8">
        <v>46136</v>
      </c>
      <c r="D212" s="3" t="s">
        <v>218</v>
      </c>
      <c r="E212" s="3" t="s">
        <v>35</v>
      </c>
      <c r="F212" s="3" t="s">
        <v>36</v>
      </c>
      <c r="G212" s="3" t="s">
        <v>18</v>
      </c>
      <c r="H212" s="3" t="s">
        <v>19</v>
      </c>
      <c r="I212" s="3" t="s">
        <v>219</v>
      </c>
      <c r="J212" s="3" t="s">
        <v>41</v>
      </c>
      <c r="K212" s="2">
        <v>25</v>
      </c>
      <c r="L212" s="1">
        <v>90000</v>
      </c>
      <c r="M212" s="1">
        <v>2250000</v>
      </c>
      <c r="N212" s="1">
        <v>5</v>
      </c>
      <c r="O212" s="1">
        <v>112500</v>
      </c>
    </row>
    <row r="213" spans="1:15">
      <c r="A213" s="6">
        <v>2026</v>
      </c>
      <c r="B213" s="7">
        <v>4</v>
      </c>
      <c r="C213" s="8">
        <v>46136</v>
      </c>
      <c r="D213" s="3" t="s">
        <v>218</v>
      </c>
      <c r="E213" s="3" t="s">
        <v>35</v>
      </c>
      <c r="F213" s="3" t="s">
        <v>36</v>
      </c>
      <c r="G213" s="3" t="s">
        <v>18</v>
      </c>
      <c r="H213" s="3" t="s">
        <v>19</v>
      </c>
      <c r="I213" s="3" t="s">
        <v>219</v>
      </c>
      <c r="J213" s="3" t="s">
        <v>38</v>
      </c>
      <c r="K213" s="2">
        <v>40</v>
      </c>
      <c r="L213" s="1">
        <v>65000</v>
      </c>
      <c r="M213" s="1">
        <v>2600000</v>
      </c>
      <c r="N213" s="1">
        <v>5</v>
      </c>
      <c r="O213" s="1">
        <v>130000</v>
      </c>
    </row>
    <row r="214" spans="1:15">
      <c r="A214" s="6">
        <v>2026</v>
      </c>
      <c r="B214" s="7">
        <v>4</v>
      </c>
      <c r="C214" s="8">
        <v>46136</v>
      </c>
      <c r="D214" s="3" t="s">
        <v>218</v>
      </c>
      <c r="E214" s="3" t="s">
        <v>35</v>
      </c>
      <c r="F214" s="3" t="s">
        <v>36</v>
      </c>
      <c r="G214" s="3" t="s">
        <v>18</v>
      </c>
      <c r="H214" s="3" t="s">
        <v>19</v>
      </c>
      <c r="I214" s="3" t="s">
        <v>219</v>
      </c>
      <c r="J214" s="3" t="s">
        <v>46</v>
      </c>
      <c r="K214" s="2">
        <v>10</v>
      </c>
      <c r="L214" s="1">
        <v>64700</v>
      </c>
      <c r="M214" s="1">
        <v>647000</v>
      </c>
      <c r="N214" s="1">
        <v>5</v>
      </c>
      <c r="O214" s="1">
        <v>32350</v>
      </c>
    </row>
    <row r="215" spans="1:15">
      <c r="A215" s="6">
        <v>2026</v>
      </c>
      <c r="B215" s="7">
        <v>4</v>
      </c>
      <c r="C215" s="8">
        <v>46136</v>
      </c>
      <c r="D215" s="3" t="s">
        <v>218</v>
      </c>
      <c r="E215" s="3" t="s">
        <v>35</v>
      </c>
      <c r="F215" s="3" t="s">
        <v>36</v>
      </c>
      <c r="G215" s="3" t="s">
        <v>18</v>
      </c>
      <c r="H215" s="3" t="s">
        <v>19</v>
      </c>
      <c r="I215" s="3" t="s">
        <v>219</v>
      </c>
      <c r="J215" s="3" t="s">
        <v>41</v>
      </c>
      <c r="K215" s="2">
        <v>20</v>
      </c>
      <c r="L215" s="1">
        <v>90000</v>
      </c>
      <c r="M215" s="1">
        <v>1800000</v>
      </c>
      <c r="N215" s="1">
        <v>5</v>
      </c>
      <c r="O215" s="1">
        <v>90000</v>
      </c>
    </row>
    <row r="216" spans="1:15">
      <c r="A216" s="6">
        <v>2026</v>
      </c>
      <c r="B216" s="7">
        <v>4</v>
      </c>
      <c r="C216" s="8">
        <v>46139</v>
      </c>
      <c r="D216" s="3" t="s">
        <v>220</v>
      </c>
      <c r="E216" s="3" t="s">
        <v>170</v>
      </c>
      <c r="F216" s="3" t="s">
        <v>36</v>
      </c>
      <c r="G216" s="3" t="s">
        <v>18</v>
      </c>
      <c r="H216" s="3" t="s">
        <v>19</v>
      </c>
      <c r="I216" s="3" t="s">
        <v>148</v>
      </c>
      <c r="J216" s="3" t="s">
        <v>41</v>
      </c>
      <c r="K216" s="2">
        <v>3</v>
      </c>
      <c r="L216" s="1">
        <v>90000</v>
      </c>
      <c r="M216" s="1">
        <v>270000</v>
      </c>
      <c r="N216" s="1">
        <v>5</v>
      </c>
      <c r="O216" s="1">
        <v>13500</v>
      </c>
    </row>
    <row r="217" spans="1:15">
      <c r="A217" s="6">
        <v>2026</v>
      </c>
      <c r="B217" s="7">
        <v>4</v>
      </c>
      <c r="C217" s="8">
        <v>46139</v>
      </c>
      <c r="D217" s="3" t="s">
        <v>220</v>
      </c>
      <c r="E217" s="3" t="s">
        <v>170</v>
      </c>
      <c r="F217" s="3" t="s">
        <v>36</v>
      </c>
      <c r="G217" s="3" t="s">
        <v>18</v>
      </c>
      <c r="H217" s="3" t="s">
        <v>19</v>
      </c>
      <c r="I217" s="3" t="s">
        <v>148</v>
      </c>
      <c r="J217" s="3" t="s">
        <v>41</v>
      </c>
      <c r="K217" s="2">
        <v>27</v>
      </c>
      <c r="L217" s="1">
        <v>90000</v>
      </c>
      <c r="M217" s="1">
        <v>2430000</v>
      </c>
      <c r="N217" s="1">
        <v>5</v>
      </c>
      <c r="O217" s="1">
        <v>121500</v>
      </c>
    </row>
    <row r="218" spans="1:15">
      <c r="A218" s="6">
        <v>2026</v>
      </c>
      <c r="B218" s="7">
        <v>4</v>
      </c>
      <c r="C218" s="8">
        <v>46139</v>
      </c>
      <c r="D218" s="3" t="s">
        <v>220</v>
      </c>
      <c r="E218" s="3" t="s">
        <v>170</v>
      </c>
      <c r="F218" s="3" t="s">
        <v>36</v>
      </c>
      <c r="G218" s="3" t="s">
        <v>18</v>
      </c>
      <c r="H218" s="3" t="s">
        <v>19</v>
      </c>
      <c r="I218" s="3" t="s">
        <v>148</v>
      </c>
      <c r="J218" s="3" t="s">
        <v>46</v>
      </c>
      <c r="K218" s="2">
        <v>20</v>
      </c>
      <c r="L218" s="1">
        <v>64700</v>
      </c>
      <c r="M218" s="1">
        <v>1294000</v>
      </c>
      <c r="N218" s="1">
        <v>5</v>
      </c>
      <c r="O218" s="1">
        <v>64700</v>
      </c>
    </row>
    <row r="219" spans="1:15">
      <c r="A219" s="6">
        <v>2026</v>
      </c>
      <c r="B219" s="7">
        <v>4</v>
      </c>
      <c r="C219" s="8">
        <v>46140</v>
      </c>
      <c r="D219" s="3" t="s">
        <v>221</v>
      </c>
      <c r="E219" s="3" t="s">
        <v>59</v>
      </c>
      <c r="F219" s="3" t="s">
        <v>36</v>
      </c>
      <c r="G219" s="3" t="s">
        <v>18</v>
      </c>
      <c r="H219" s="3" t="s">
        <v>19</v>
      </c>
      <c r="I219" s="3" t="s">
        <v>69</v>
      </c>
      <c r="J219" s="3" t="s">
        <v>41</v>
      </c>
      <c r="K219" s="2">
        <v>30</v>
      </c>
      <c r="L219" s="1">
        <v>90000</v>
      </c>
      <c r="M219" s="1">
        <v>2700000</v>
      </c>
      <c r="N219" s="1">
        <v>5</v>
      </c>
      <c r="O219" s="1">
        <v>135000</v>
      </c>
    </row>
    <row r="220" spans="1:15">
      <c r="A220" s="6">
        <v>2026</v>
      </c>
      <c r="B220" s="7">
        <v>4</v>
      </c>
      <c r="C220" s="8">
        <v>46141</v>
      </c>
      <c r="D220" s="3" t="s">
        <v>222</v>
      </c>
      <c r="E220" s="3" t="s">
        <v>59</v>
      </c>
      <c r="F220" s="3" t="s">
        <v>36</v>
      </c>
      <c r="G220" s="3" t="s">
        <v>18</v>
      </c>
      <c r="H220" s="3" t="s">
        <v>19</v>
      </c>
      <c r="I220" s="3" t="s">
        <v>187</v>
      </c>
      <c r="J220" s="3" t="s">
        <v>46</v>
      </c>
      <c r="K220" s="2">
        <v>40</v>
      </c>
      <c r="L220" s="1">
        <v>64700</v>
      </c>
      <c r="M220" s="1">
        <v>2588000</v>
      </c>
      <c r="N220" s="1">
        <v>5</v>
      </c>
      <c r="O220" s="1">
        <v>129400</v>
      </c>
    </row>
    <row r="221" spans="1:15">
      <c r="A221" s="6">
        <v>2026</v>
      </c>
      <c r="B221" s="7">
        <v>4</v>
      </c>
      <c r="C221" s="8">
        <v>46141</v>
      </c>
      <c r="D221" s="3" t="s">
        <v>222</v>
      </c>
      <c r="E221" s="3" t="s">
        <v>59</v>
      </c>
      <c r="F221" s="3" t="s">
        <v>36</v>
      </c>
      <c r="G221" s="3" t="s">
        <v>18</v>
      </c>
      <c r="H221" s="3" t="s">
        <v>19</v>
      </c>
      <c r="I221" s="3" t="s">
        <v>187</v>
      </c>
      <c r="J221" s="3" t="s">
        <v>41</v>
      </c>
      <c r="K221" s="2">
        <v>50</v>
      </c>
      <c r="L221" s="1">
        <v>90000</v>
      </c>
      <c r="M221" s="1">
        <v>4500000</v>
      </c>
      <c r="N221" s="1">
        <v>5</v>
      </c>
      <c r="O221" s="1">
        <v>225000</v>
      </c>
    </row>
    <row r="222" spans="1:15">
      <c r="A222" s="6">
        <v>2026</v>
      </c>
      <c r="B222" s="7">
        <v>4</v>
      </c>
      <c r="C222" s="8">
        <v>46141</v>
      </c>
      <c r="D222" s="3" t="s">
        <v>222</v>
      </c>
      <c r="E222" s="3" t="s">
        <v>59</v>
      </c>
      <c r="F222" s="3" t="s">
        <v>36</v>
      </c>
      <c r="G222" s="3" t="s">
        <v>18</v>
      </c>
      <c r="H222" s="3" t="s">
        <v>19</v>
      </c>
      <c r="I222" s="3" t="s">
        <v>187</v>
      </c>
      <c r="J222" s="3" t="s">
        <v>38</v>
      </c>
      <c r="K222" s="2">
        <v>50</v>
      </c>
      <c r="L222" s="1">
        <v>65000</v>
      </c>
      <c r="M222" s="1">
        <v>3250000</v>
      </c>
      <c r="N222" s="1">
        <v>5</v>
      </c>
      <c r="O222" s="1">
        <v>162500</v>
      </c>
    </row>
    <row r="223" spans="1:15">
      <c r="A223" s="6">
        <v>2026</v>
      </c>
      <c r="B223" s="7">
        <v>4</v>
      </c>
      <c r="C223" s="8">
        <v>46141</v>
      </c>
      <c r="D223" s="3" t="s">
        <v>223</v>
      </c>
      <c r="E223" s="3" t="s">
        <v>170</v>
      </c>
      <c r="F223" s="3" t="s">
        <v>36</v>
      </c>
      <c r="G223" s="3" t="s">
        <v>18</v>
      </c>
      <c r="H223" s="3" t="s">
        <v>19</v>
      </c>
      <c r="I223" s="3" t="s">
        <v>40</v>
      </c>
      <c r="J223" s="3" t="s">
        <v>46</v>
      </c>
      <c r="K223" s="2">
        <v>20</v>
      </c>
      <c r="L223" s="1">
        <v>64700</v>
      </c>
      <c r="M223" s="1">
        <v>1294000</v>
      </c>
      <c r="N223" s="1">
        <v>5</v>
      </c>
      <c r="O223" s="1">
        <v>64700</v>
      </c>
    </row>
    <row r="224" spans="1:15">
      <c r="A224" s="6">
        <v>2026</v>
      </c>
      <c r="B224" s="7">
        <v>4</v>
      </c>
      <c r="C224" s="8">
        <v>46141</v>
      </c>
      <c r="D224" s="3" t="s">
        <v>223</v>
      </c>
      <c r="E224" s="3" t="s">
        <v>170</v>
      </c>
      <c r="F224" s="3" t="s">
        <v>36</v>
      </c>
      <c r="G224" s="3" t="s">
        <v>18</v>
      </c>
      <c r="H224" s="3" t="s">
        <v>19</v>
      </c>
      <c r="I224" s="3" t="s">
        <v>40</v>
      </c>
      <c r="J224" s="3" t="s">
        <v>41</v>
      </c>
      <c r="K224" s="2">
        <v>20</v>
      </c>
      <c r="L224" s="1">
        <v>90000</v>
      </c>
      <c r="M224" s="1">
        <v>1800000</v>
      </c>
      <c r="N224" s="1">
        <v>5</v>
      </c>
      <c r="O224" s="1">
        <v>90000</v>
      </c>
    </row>
    <row r="225" spans="1:15">
      <c r="A225" s="6">
        <v>2026</v>
      </c>
      <c r="B225" s="7">
        <v>4</v>
      </c>
      <c r="C225" s="8">
        <v>46142</v>
      </c>
      <c r="D225" s="3" t="s">
        <v>224</v>
      </c>
      <c r="E225" s="3" t="s">
        <v>48</v>
      </c>
      <c r="F225" s="3" t="s">
        <v>36</v>
      </c>
      <c r="G225" s="3" t="s">
        <v>18</v>
      </c>
      <c r="H225" s="3" t="s">
        <v>19</v>
      </c>
      <c r="I225" s="3" t="s">
        <v>120</v>
      </c>
      <c r="J225" s="3" t="s">
        <v>38</v>
      </c>
      <c r="K225" s="2">
        <v>20</v>
      </c>
      <c r="L225" s="1">
        <v>65000</v>
      </c>
      <c r="M225" s="1">
        <v>1300000</v>
      </c>
      <c r="N225" s="1">
        <v>5</v>
      </c>
      <c r="O225" s="1">
        <v>65000</v>
      </c>
    </row>
    <row r="226" spans="1:15">
      <c r="A226" s="6">
        <v>2026</v>
      </c>
      <c r="B226" s="7">
        <v>5</v>
      </c>
      <c r="C226" s="8">
        <v>46143</v>
      </c>
      <c r="D226" s="3" t="s">
        <v>225</v>
      </c>
      <c r="E226" s="3" t="s">
        <v>170</v>
      </c>
      <c r="F226" s="3" t="s">
        <v>36</v>
      </c>
      <c r="G226" s="3" t="s">
        <v>18</v>
      </c>
      <c r="H226" s="3" t="s">
        <v>19</v>
      </c>
      <c r="I226" s="3" t="s">
        <v>226</v>
      </c>
      <c r="J226" s="3" t="s">
        <v>38</v>
      </c>
      <c r="K226" s="2">
        <v>10</v>
      </c>
      <c r="L226" s="1">
        <v>65000</v>
      </c>
      <c r="M226" s="1">
        <v>650000</v>
      </c>
      <c r="N226" s="1">
        <v>5</v>
      </c>
      <c r="O226" s="1">
        <v>32500</v>
      </c>
    </row>
    <row r="227" spans="1:15">
      <c r="A227" s="6">
        <v>2026</v>
      </c>
      <c r="B227" s="7">
        <v>5</v>
      </c>
      <c r="C227" s="8">
        <v>46143</v>
      </c>
      <c r="D227" s="3" t="s">
        <v>227</v>
      </c>
      <c r="E227" s="3" t="s">
        <v>48</v>
      </c>
      <c r="F227" s="3" t="s">
        <v>36</v>
      </c>
      <c r="G227" s="3" t="s">
        <v>18</v>
      </c>
      <c r="H227" s="3" t="s">
        <v>19</v>
      </c>
      <c r="I227" s="3" t="s">
        <v>228</v>
      </c>
      <c r="J227" s="3" t="s">
        <v>38</v>
      </c>
      <c r="K227" s="2">
        <v>20</v>
      </c>
      <c r="L227" s="1">
        <v>65000</v>
      </c>
      <c r="M227" s="1">
        <v>1300000</v>
      </c>
      <c r="N227" s="1">
        <v>5</v>
      </c>
      <c r="O227" s="1">
        <v>65000</v>
      </c>
    </row>
    <row r="228" spans="1:15">
      <c r="A228" s="6">
        <v>2026</v>
      </c>
      <c r="B228" s="7">
        <v>5</v>
      </c>
      <c r="C228" s="8">
        <v>46148</v>
      </c>
      <c r="D228" s="3" t="s">
        <v>229</v>
      </c>
      <c r="E228" s="3" t="s">
        <v>170</v>
      </c>
      <c r="F228" s="3" t="s">
        <v>36</v>
      </c>
      <c r="G228" s="3" t="s">
        <v>18</v>
      </c>
      <c r="H228" s="3" t="s">
        <v>19</v>
      </c>
      <c r="I228" s="3" t="s">
        <v>148</v>
      </c>
      <c r="J228" s="3" t="s">
        <v>38</v>
      </c>
      <c r="K228" s="2">
        <v>25</v>
      </c>
      <c r="L228" s="1">
        <v>65000</v>
      </c>
      <c r="M228" s="1">
        <v>1625000</v>
      </c>
      <c r="N228" s="1">
        <v>5</v>
      </c>
      <c r="O228" s="1">
        <v>81250</v>
      </c>
    </row>
    <row r="229" spans="1:15">
      <c r="A229" s="6">
        <v>2026</v>
      </c>
      <c r="B229" s="7">
        <v>5</v>
      </c>
      <c r="C229" s="8">
        <v>46148</v>
      </c>
      <c r="D229" s="3" t="s">
        <v>230</v>
      </c>
      <c r="E229" s="3" t="s">
        <v>170</v>
      </c>
      <c r="F229" s="3" t="s">
        <v>36</v>
      </c>
      <c r="G229" s="3" t="s">
        <v>18</v>
      </c>
      <c r="H229" s="3" t="s">
        <v>19</v>
      </c>
      <c r="I229" s="3" t="s">
        <v>40</v>
      </c>
      <c r="J229" s="3" t="s">
        <v>38</v>
      </c>
      <c r="K229" s="2">
        <v>20</v>
      </c>
      <c r="L229" s="1">
        <v>65000</v>
      </c>
      <c r="M229" s="1">
        <v>1300000</v>
      </c>
      <c r="N229" s="1">
        <v>5</v>
      </c>
      <c r="O229" s="1">
        <v>65000</v>
      </c>
    </row>
    <row r="230" spans="1:15">
      <c r="A230" s="6">
        <v>2026</v>
      </c>
      <c r="B230" s="7">
        <v>5</v>
      </c>
      <c r="C230" s="8">
        <v>46148</v>
      </c>
      <c r="D230" s="3" t="s">
        <v>231</v>
      </c>
      <c r="E230" s="3" t="s">
        <v>35</v>
      </c>
      <c r="F230" s="3" t="s">
        <v>36</v>
      </c>
      <c r="G230" s="3" t="s">
        <v>18</v>
      </c>
      <c r="H230" s="3" t="s">
        <v>19</v>
      </c>
      <c r="I230" s="3" t="s">
        <v>75</v>
      </c>
      <c r="J230" s="3" t="s">
        <v>38</v>
      </c>
      <c r="K230" s="2">
        <v>40</v>
      </c>
      <c r="L230" s="1">
        <v>65000</v>
      </c>
      <c r="M230" s="1">
        <v>2600000</v>
      </c>
      <c r="N230" s="1">
        <v>5</v>
      </c>
      <c r="O230" s="1">
        <v>130000</v>
      </c>
    </row>
    <row r="231" spans="1:15">
      <c r="A231" s="6">
        <v>2026</v>
      </c>
      <c r="B231" s="7">
        <v>5</v>
      </c>
      <c r="C231" s="8">
        <v>46148</v>
      </c>
      <c r="D231" s="3" t="s">
        <v>232</v>
      </c>
      <c r="E231" s="3" t="s">
        <v>48</v>
      </c>
      <c r="F231" s="3" t="s">
        <v>36</v>
      </c>
      <c r="G231" s="3" t="s">
        <v>18</v>
      </c>
      <c r="H231" s="3" t="s">
        <v>19</v>
      </c>
      <c r="I231" s="3" t="s">
        <v>233</v>
      </c>
      <c r="J231" s="3" t="s">
        <v>41</v>
      </c>
      <c r="K231" s="2">
        <v>20</v>
      </c>
      <c r="L231" s="1">
        <v>90000</v>
      </c>
      <c r="M231" s="1">
        <v>1800000</v>
      </c>
      <c r="N231" s="1">
        <v>5</v>
      </c>
      <c r="O231" s="1">
        <v>90000</v>
      </c>
    </row>
    <row r="232" spans="1:15">
      <c r="A232" s="6">
        <v>2026</v>
      </c>
      <c r="B232" s="7">
        <v>5</v>
      </c>
      <c r="C232" s="8">
        <v>46148</v>
      </c>
      <c r="D232" s="3" t="s">
        <v>232</v>
      </c>
      <c r="E232" s="3" t="s">
        <v>48</v>
      </c>
      <c r="F232" s="3" t="s">
        <v>36</v>
      </c>
      <c r="G232" s="3" t="s">
        <v>18</v>
      </c>
      <c r="H232" s="3" t="s">
        <v>19</v>
      </c>
      <c r="I232" s="3" t="s">
        <v>233</v>
      </c>
      <c r="J232" s="3" t="s">
        <v>38</v>
      </c>
      <c r="K232" s="2">
        <v>10</v>
      </c>
      <c r="L232" s="1">
        <v>65000</v>
      </c>
      <c r="M232" s="1">
        <v>650000</v>
      </c>
      <c r="N232" s="1">
        <v>5</v>
      </c>
      <c r="O232" s="1">
        <v>32500</v>
      </c>
    </row>
    <row r="233" spans="1:15">
      <c r="A233" s="6">
        <v>2026</v>
      </c>
      <c r="B233" s="7">
        <v>5</v>
      </c>
      <c r="C233" s="8">
        <v>46148</v>
      </c>
      <c r="D233" s="3" t="s">
        <v>234</v>
      </c>
      <c r="E233" s="3" t="s">
        <v>170</v>
      </c>
      <c r="F233" s="3" t="s">
        <v>36</v>
      </c>
      <c r="G233" s="3" t="s">
        <v>18</v>
      </c>
      <c r="H233" s="3" t="s">
        <v>19</v>
      </c>
      <c r="I233" s="3" t="s">
        <v>193</v>
      </c>
      <c r="J233" s="3" t="s">
        <v>38</v>
      </c>
      <c r="K233" s="2">
        <v>10</v>
      </c>
      <c r="L233" s="1">
        <v>65000</v>
      </c>
      <c r="M233" s="1">
        <v>650000</v>
      </c>
      <c r="N233" s="1">
        <v>5</v>
      </c>
      <c r="O233" s="1">
        <v>32500</v>
      </c>
    </row>
    <row r="234" spans="1:15">
      <c r="A234" s="6">
        <v>2026</v>
      </c>
      <c r="B234" s="7">
        <v>5</v>
      </c>
      <c r="C234" s="8">
        <v>46148</v>
      </c>
      <c r="D234" s="3" t="s">
        <v>235</v>
      </c>
      <c r="E234" s="3" t="s">
        <v>78</v>
      </c>
      <c r="F234" s="3" t="s">
        <v>78</v>
      </c>
      <c r="G234" s="3" t="s">
        <v>78</v>
      </c>
      <c r="H234" s="3" t="s">
        <v>19</v>
      </c>
      <c r="I234" s="3" t="s">
        <v>79</v>
      </c>
      <c r="J234" s="3" t="s">
        <v>46</v>
      </c>
      <c r="K234" s="2">
        <v>120</v>
      </c>
      <c r="L234" s="1">
        <v>64700</v>
      </c>
      <c r="M234" s="1">
        <v>7764000</v>
      </c>
      <c r="N234" s="1">
        <v>5</v>
      </c>
      <c r="O234" s="1">
        <v>388200</v>
      </c>
    </row>
    <row r="235" spans="1:15">
      <c r="A235" s="6">
        <v>2026</v>
      </c>
      <c r="B235" s="7">
        <v>5</v>
      </c>
      <c r="C235" s="8">
        <v>46148</v>
      </c>
      <c r="D235" s="3" t="s">
        <v>235</v>
      </c>
      <c r="E235" s="3" t="s">
        <v>78</v>
      </c>
      <c r="F235" s="3" t="s">
        <v>78</v>
      </c>
      <c r="G235" s="3" t="s">
        <v>78</v>
      </c>
      <c r="H235" s="3" t="s">
        <v>19</v>
      </c>
      <c r="I235" s="3" t="s">
        <v>79</v>
      </c>
      <c r="J235" s="3" t="s">
        <v>41</v>
      </c>
      <c r="K235" s="2">
        <v>100</v>
      </c>
      <c r="L235" s="1">
        <v>90000</v>
      </c>
      <c r="M235" s="1">
        <v>9000000</v>
      </c>
      <c r="N235" s="1">
        <v>5</v>
      </c>
      <c r="O235" s="1">
        <v>450000</v>
      </c>
    </row>
    <row r="236" spans="1:15">
      <c r="A236" s="6">
        <v>2026</v>
      </c>
      <c r="B236" s="7">
        <v>5</v>
      </c>
      <c r="C236" s="8">
        <v>46148</v>
      </c>
      <c r="D236" s="3" t="s">
        <v>235</v>
      </c>
      <c r="E236" s="3" t="s">
        <v>78</v>
      </c>
      <c r="F236" s="3" t="s">
        <v>78</v>
      </c>
      <c r="G236" s="3" t="s">
        <v>78</v>
      </c>
      <c r="H236" s="3" t="s">
        <v>19</v>
      </c>
      <c r="I236" s="3" t="s">
        <v>79</v>
      </c>
      <c r="J236" s="3" t="s">
        <v>38</v>
      </c>
      <c r="K236" s="2">
        <v>100</v>
      </c>
      <c r="L236" s="1">
        <v>65000</v>
      </c>
      <c r="M236" s="1">
        <v>6500000</v>
      </c>
      <c r="N236" s="1">
        <v>5</v>
      </c>
      <c r="O236" s="1">
        <v>325000</v>
      </c>
    </row>
    <row r="237" spans="1:15">
      <c r="A237" s="6">
        <v>2026</v>
      </c>
      <c r="B237" s="7">
        <v>5</v>
      </c>
      <c r="C237" s="8">
        <v>46149</v>
      </c>
      <c r="D237" s="3" t="s">
        <v>236</v>
      </c>
      <c r="E237" s="3" t="s">
        <v>170</v>
      </c>
      <c r="F237" s="3" t="s">
        <v>36</v>
      </c>
      <c r="G237" s="3" t="s">
        <v>18</v>
      </c>
      <c r="H237" s="3" t="s">
        <v>19</v>
      </c>
      <c r="I237" s="3" t="s">
        <v>237</v>
      </c>
      <c r="J237" s="3" t="s">
        <v>46</v>
      </c>
      <c r="K237" s="2">
        <v>25</v>
      </c>
      <c r="L237" s="1">
        <v>64700</v>
      </c>
      <c r="M237" s="1">
        <v>1617500</v>
      </c>
      <c r="N237" s="1">
        <v>5</v>
      </c>
      <c r="O237" s="1">
        <v>80875</v>
      </c>
    </row>
    <row r="238" spans="1:15">
      <c r="A238" s="6">
        <v>2026</v>
      </c>
      <c r="B238" s="7">
        <v>5</v>
      </c>
      <c r="C238" s="8">
        <v>46149</v>
      </c>
      <c r="D238" s="3" t="s">
        <v>236</v>
      </c>
      <c r="E238" s="3" t="s">
        <v>170</v>
      </c>
      <c r="F238" s="3" t="s">
        <v>36</v>
      </c>
      <c r="G238" s="3" t="s">
        <v>18</v>
      </c>
      <c r="H238" s="3" t="s">
        <v>19</v>
      </c>
      <c r="I238" s="3" t="s">
        <v>237</v>
      </c>
      <c r="J238" s="3" t="s">
        <v>41</v>
      </c>
      <c r="K238" s="2">
        <v>35</v>
      </c>
      <c r="L238" s="1">
        <v>90000</v>
      </c>
      <c r="M238" s="1">
        <v>3150000</v>
      </c>
      <c r="N238" s="1">
        <v>5</v>
      </c>
      <c r="O238" s="1">
        <v>157500</v>
      </c>
    </row>
    <row r="239" spans="1:15">
      <c r="A239" s="6">
        <v>2026</v>
      </c>
      <c r="B239" s="7">
        <v>5</v>
      </c>
      <c r="C239" s="8">
        <v>46154</v>
      </c>
      <c r="D239" s="3" t="s">
        <v>238</v>
      </c>
      <c r="E239" s="3" t="s">
        <v>59</v>
      </c>
      <c r="F239" s="3" t="s">
        <v>36</v>
      </c>
      <c r="G239" s="3" t="s">
        <v>18</v>
      </c>
      <c r="H239" s="3" t="s">
        <v>19</v>
      </c>
      <c r="I239" s="3" t="s">
        <v>161</v>
      </c>
      <c r="J239" s="3" t="s">
        <v>41</v>
      </c>
      <c r="K239" s="2">
        <v>40</v>
      </c>
      <c r="L239" s="1">
        <v>90000</v>
      </c>
      <c r="M239" s="1">
        <v>3600000</v>
      </c>
      <c r="N239" s="1">
        <v>5</v>
      </c>
      <c r="O239" s="1">
        <v>180000</v>
      </c>
    </row>
    <row r="240" spans="1:15">
      <c r="A240" s="6">
        <v>2026</v>
      </c>
      <c r="B240" s="7">
        <v>5</v>
      </c>
      <c r="C240" s="8">
        <v>46155</v>
      </c>
      <c r="D240" s="3" t="s">
        <v>239</v>
      </c>
      <c r="E240" s="3" t="s">
        <v>59</v>
      </c>
      <c r="F240" s="3" t="s">
        <v>36</v>
      </c>
      <c r="G240" s="3" t="s">
        <v>18</v>
      </c>
      <c r="H240" s="3" t="s">
        <v>19</v>
      </c>
      <c r="I240" s="3" t="s">
        <v>37</v>
      </c>
      <c r="J240" s="3" t="s">
        <v>46</v>
      </c>
      <c r="K240" s="2">
        <v>50</v>
      </c>
      <c r="L240" s="1">
        <v>64700</v>
      </c>
      <c r="M240" s="1">
        <v>3235000</v>
      </c>
      <c r="N240" s="1">
        <v>5</v>
      </c>
      <c r="O240" s="1">
        <v>161750</v>
      </c>
    </row>
    <row r="241" spans="1:15">
      <c r="A241" s="6">
        <v>2026</v>
      </c>
      <c r="B241" s="7">
        <v>5</v>
      </c>
      <c r="C241" s="8">
        <v>46155</v>
      </c>
      <c r="D241" s="3" t="s">
        <v>240</v>
      </c>
      <c r="E241" s="3" t="s">
        <v>68</v>
      </c>
      <c r="F241" s="3" t="s">
        <v>36</v>
      </c>
      <c r="G241" s="3" t="s">
        <v>18</v>
      </c>
      <c r="H241" s="3" t="s">
        <v>19</v>
      </c>
      <c r="I241" s="3" t="s">
        <v>173</v>
      </c>
      <c r="J241" s="3" t="s">
        <v>41</v>
      </c>
      <c r="K241" s="2">
        <v>10</v>
      </c>
      <c r="L241" s="1">
        <v>90000</v>
      </c>
      <c r="M241" s="1">
        <v>900000</v>
      </c>
      <c r="N241" s="1">
        <v>5</v>
      </c>
      <c r="O241" s="1">
        <v>45000</v>
      </c>
    </row>
    <row r="242" spans="1:15">
      <c r="A242" s="6">
        <v>2026</v>
      </c>
      <c r="B242" s="7">
        <v>5</v>
      </c>
      <c r="C242" s="8">
        <v>46155</v>
      </c>
      <c r="D242" s="3" t="s">
        <v>240</v>
      </c>
      <c r="E242" s="3" t="s">
        <v>68</v>
      </c>
      <c r="F242" s="3" t="s">
        <v>36</v>
      </c>
      <c r="G242" s="3" t="s">
        <v>18</v>
      </c>
      <c r="H242" s="3" t="s">
        <v>19</v>
      </c>
      <c r="I242" s="3" t="s">
        <v>173</v>
      </c>
      <c r="J242" s="3" t="s">
        <v>38</v>
      </c>
      <c r="K242" s="2">
        <v>10</v>
      </c>
      <c r="L242" s="1">
        <v>65000</v>
      </c>
      <c r="M242" s="1">
        <v>650000</v>
      </c>
      <c r="N242" s="1">
        <v>5</v>
      </c>
      <c r="O242" s="1">
        <v>32500</v>
      </c>
    </row>
    <row r="243" spans="1:15">
      <c r="A243" s="6">
        <v>2026</v>
      </c>
      <c r="B243" s="7">
        <v>5</v>
      </c>
      <c r="C243" s="8">
        <v>46155</v>
      </c>
      <c r="D243" s="3" t="s">
        <v>241</v>
      </c>
      <c r="E243" s="3" t="s">
        <v>68</v>
      </c>
      <c r="F243" s="3" t="s">
        <v>36</v>
      </c>
      <c r="G243" s="3" t="s">
        <v>18</v>
      </c>
      <c r="H243" s="3" t="s">
        <v>19</v>
      </c>
      <c r="I243" s="3" t="s">
        <v>69</v>
      </c>
      <c r="J243" s="3" t="s">
        <v>38</v>
      </c>
      <c r="K243" s="2">
        <v>30</v>
      </c>
      <c r="L243" s="1">
        <v>65000</v>
      </c>
      <c r="M243" s="1">
        <v>1950000</v>
      </c>
      <c r="N243" s="1">
        <v>5</v>
      </c>
      <c r="O243" s="1">
        <v>97500</v>
      </c>
    </row>
    <row r="244" spans="1:15">
      <c r="A244" s="6">
        <v>2026</v>
      </c>
      <c r="B244" s="7">
        <v>5</v>
      </c>
      <c r="C244" s="8">
        <v>46155</v>
      </c>
      <c r="D244" s="3" t="s">
        <v>242</v>
      </c>
      <c r="E244" s="3" t="s">
        <v>59</v>
      </c>
      <c r="F244" s="3" t="s">
        <v>36</v>
      </c>
      <c r="G244" s="3" t="s">
        <v>18</v>
      </c>
      <c r="H244" s="3" t="s">
        <v>19</v>
      </c>
      <c r="I244" s="3" t="s">
        <v>69</v>
      </c>
      <c r="J244" s="3" t="s">
        <v>38</v>
      </c>
      <c r="K244" s="2">
        <v>30</v>
      </c>
      <c r="L244" s="1">
        <v>65000</v>
      </c>
      <c r="M244" s="1">
        <v>1950000</v>
      </c>
      <c r="N244" s="1">
        <v>5</v>
      </c>
      <c r="O244" s="1">
        <v>97500</v>
      </c>
    </row>
    <row r="245" spans="1:15">
      <c r="A245" s="6">
        <v>2026</v>
      </c>
      <c r="B245" s="7">
        <v>5</v>
      </c>
      <c r="C245" s="8">
        <v>46155</v>
      </c>
      <c r="D245" s="3" t="s">
        <v>242</v>
      </c>
      <c r="E245" s="3" t="s">
        <v>59</v>
      </c>
      <c r="F245" s="3" t="s">
        <v>36</v>
      </c>
      <c r="G245" s="3" t="s">
        <v>18</v>
      </c>
      <c r="H245" s="3" t="s">
        <v>19</v>
      </c>
      <c r="I245" s="3" t="s">
        <v>69</v>
      </c>
      <c r="J245" s="3" t="s">
        <v>41</v>
      </c>
      <c r="K245" s="2">
        <v>20</v>
      </c>
      <c r="L245" s="1">
        <v>90000</v>
      </c>
      <c r="M245" s="1">
        <v>1800000</v>
      </c>
      <c r="N245" s="1">
        <v>5</v>
      </c>
      <c r="O245" s="1">
        <v>90000</v>
      </c>
    </row>
    <row r="246" spans="1:15">
      <c r="A246" s="6">
        <v>2026</v>
      </c>
      <c r="B246" s="7">
        <v>5</v>
      </c>
      <c r="C246" s="8">
        <v>46155</v>
      </c>
      <c r="D246" s="3" t="s">
        <v>242</v>
      </c>
      <c r="E246" s="3" t="s">
        <v>59</v>
      </c>
      <c r="F246" s="3" t="s">
        <v>36</v>
      </c>
      <c r="G246" s="3" t="s">
        <v>18</v>
      </c>
      <c r="H246" s="3" t="s">
        <v>19</v>
      </c>
      <c r="I246" s="3" t="s">
        <v>69</v>
      </c>
      <c r="J246" s="3" t="s">
        <v>41</v>
      </c>
      <c r="K246" s="2">
        <v>20</v>
      </c>
      <c r="L246" s="1">
        <v>90000</v>
      </c>
      <c r="M246" s="1">
        <v>1800000</v>
      </c>
      <c r="N246" s="1">
        <v>5</v>
      </c>
      <c r="O246" s="1">
        <v>90000</v>
      </c>
    </row>
    <row r="247" spans="1:15">
      <c r="A247" s="6">
        <v>2026</v>
      </c>
      <c r="B247" s="7">
        <v>5</v>
      </c>
      <c r="C247" s="8">
        <v>46155</v>
      </c>
      <c r="D247" s="3" t="s">
        <v>243</v>
      </c>
      <c r="E247" s="3" t="s">
        <v>59</v>
      </c>
      <c r="F247" s="3" t="s">
        <v>36</v>
      </c>
      <c r="G247" s="3" t="s">
        <v>18</v>
      </c>
      <c r="H247" s="3" t="s">
        <v>19</v>
      </c>
      <c r="I247" s="3" t="s">
        <v>69</v>
      </c>
      <c r="J247" s="3" t="s">
        <v>46</v>
      </c>
      <c r="K247" s="2">
        <v>30</v>
      </c>
      <c r="L247" s="1">
        <v>64700</v>
      </c>
      <c r="M247" s="1">
        <v>1941000</v>
      </c>
      <c r="N247" s="1">
        <v>5</v>
      </c>
      <c r="O247" s="1">
        <v>97050</v>
      </c>
    </row>
    <row r="248" spans="1:15">
      <c r="A248" s="6">
        <v>2026</v>
      </c>
      <c r="B248" s="7">
        <v>5</v>
      </c>
      <c r="C248" s="8">
        <v>46156</v>
      </c>
      <c r="D248" s="3" t="s">
        <v>244</v>
      </c>
      <c r="E248" s="3" t="s">
        <v>48</v>
      </c>
      <c r="F248" s="3" t="s">
        <v>36</v>
      </c>
      <c r="G248" s="3" t="s">
        <v>18</v>
      </c>
      <c r="H248" s="3" t="s">
        <v>19</v>
      </c>
      <c r="I248" s="3" t="s">
        <v>120</v>
      </c>
      <c r="J248" s="3" t="s">
        <v>41</v>
      </c>
      <c r="K248" s="2">
        <v>24</v>
      </c>
      <c r="L248" s="1">
        <v>90000</v>
      </c>
      <c r="M248" s="1">
        <v>2160000</v>
      </c>
      <c r="N248" s="1">
        <v>5</v>
      </c>
      <c r="O248" s="1">
        <v>108000</v>
      </c>
    </row>
    <row r="249" spans="1:15">
      <c r="A249" s="6">
        <v>2026</v>
      </c>
      <c r="B249" s="7">
        <v>5</v>
      </c>
      <c r="C249" s="8">
        <v>46156</v>
      </c>
      <c r="D249" s="3" t="s">
        <v>244</v>
      </c>
      <c r="E249" s="3" t="s">
        <v>48</v>
      </c>
      <c r="F249" s="3" t="s">
        <v>36</v>
      </c>
      <c r="G249" s="3" t="s">
        <v>18</v>
      </c>
      <c r="H249" s="3" t="s">
        <v>19</v>
      </c>
      <c r="I249" s="3" t="s">
        <v>120</v>
      </c>
      <c r="J249" s="3" t="s">
        <v>38</v>
      </c>
      <c r="K249" s="2">
        <v>15</v>
      </c>
      <c r="L249" s="1">
        <v>65000</v>
      </c>
      <c r="M249" s="1">
        <v>975000</v>
      </c>
      <c r="N249" s="1">
        <v>5</v>
      </c>
      <c r="O249" s="1">
        <v>48750</v>
      </c>
    </row>
    <row r="250" spans="1:15">
      <c r="A250" s="6">
        <v>2026</v>
      </c>
      <c r="B250" s="7">
        <v>5</v>
      </c>
      <c r="C250" s="8">
        <v>46156</v>
      </c>
      <c r="D250" s="3" t="s">
        <v>245</v>
      </c>
      <c r="E250" s="3" t="s">
        <v>48</v>
      </c>
      <c r="F250" s="3" t="s">
        <v>36</v>
      </c>
      <c r="G250" s="3" t="s">
        <v>18</v>
      </c>
      <c r="H250" s="3" t="s">
        <v>19</v>
      </c>
      <c r="I250" s="3" t="s">
        <v>145</v>
      </c>
      <c r="J250" s="3" t="s">
        <v>41</v>
      </c>
      <c r="K250" s="2">
        <v>15</v>
      </c>
      <c r="L250" s="1">
        <v>90000</v>
      </c>
      <c r="M250" s="1">
        <v>1350000</v>
      </c>
      <c r="N250" s="1">
        <v>5</v>
      </c>
      <c r="O250" s="1">
        <v>67500</v>
      </c>
    </row>
    <row r="251" spans="1:15">
      <c r="A251" s="6">
        <v>2026</v>
      </c>
      <c r="B251" s="7">
        <v>5</v>
      </c>
      <c r="C251" s="8">
        <v>46156</v>
      </c>
      <c r="D251" s="3" t="s">
        <v>246</v>
      </c>
      <c r="E251" s="3" t="s">
        <v>59</v>
      </c>
      <c r="F251" s="3" t="s">
        <v>36</v>
      </c>
      <c r="G251" s="3" t="s">
        <v>18</v>
      </c>
      <c r="H251" s="3" t="s">
        <v>19</v>
      </c>
      <c r="I251" s="3" t="s">
        <v>66</v>
      </c>
      <c r="J251" s="3" t="s">
        <v>38</v>
      </c>
      <c r="K251" s="2">
        <v>20</v>
      </c>
      <c r="L251" s="1">
        <v>65000</v>
      </c>
      <c r="M251" s="1">
        <v>1300000</v>
      </c>
      <c r="N251" s="1">
        <v>5</v>
      </c>
      <c r="O251" s="1">
        <v>65000</v>
      </c>
    </row>
    <row r="252" spans="1:15">
      <c r="A252" s="6">
        <v>2026</v>
      </c>
      <c r="B252" s="7">
        <v>5</v>
      </c>
      <c r="C252" s="8">
        <v>46156</v>
      </c>
      <c r="D252" s="3" t="s">
        <v>247</v>
      </c>
      <c r="E252" s="3" t="s">
        <v>59</v>
      </c>
      <c r="F252" s="3" t="s">
        <v>36</v>
      </c>
      <c r="G252" s="3" t="s">
        <v>18</v>
      </c>
      <c r="H252" s="3" t="s">
        <v>19</v>
      </c>
      <c r="I252" s="3" t="s">
        <v>187</v>
      </c>
      <c r="J252" s="3" t="s">
        <v>41</v>
      </c>
      <c r="K252" s="2">
        <v>100</v>
      </c>
      <c r="L252" s="1">
        <v>90000</v>
      </c>
      <c r="M252" s="1">
        <v>9000000</v>
      </c>
      <c r="N252" s="1">
        <v>5</v>
      </c>
      <c r="O252" s="1">
        <v>450000</v>
      </c>
    </row>
    <row r="253" spans="1:15">
      <c r="A253" s="6">
        <v>2026</v>
      </c>
      <c r="B253" s="7">
        <v>5</v>
      </c>
      <c r="C253" s="8">
        <v>46157</v>
      </c>
      <c r="D253" s="3" t="s">
        <v>248</v>
      </c>
      <c r="E253" s="3" t="s">
        <v>48</v>
      </c>
      <c r="F253" s="3" t="s">
        <v>36</v>
      </c>
      <c r="G253" s="3" t="s">
        <v>18</v>
      </c>
      <c r="H253" s="3" t="s">
        <v>19</v>
      </c>
      <c r="I253" s="3" t="s">
        <v>197</v>
      </c>
      <c r="J253" s="3" t="s">
        <v>41</v>
      </c>
      <c r="K253" s="2">
        <v>20</v>
      </c>
      <c r="L253" s="1">
        <v>90000</v>
      </c>
      <c r="M253" s="1">
        <v>1800000</v>
      </c>
      <c r="N253" s="1">
        <v>5</v>
      </c>
      <c r="O253" s="1">
        <v>90000</v>
      </c>
    </row>
    <row r="254" spans="1:15">
      <c r="A254" s="6">
        <v>2026</v>
      </c>
      <c r="B254" s="7">
        <v>5</v>
      </c>
      <c r="C254" s="8">
        <v>46157</v>
      </c>
      <c r="D254" s="3" t="s">
        <v>249</v>
      </c>
      <c r="E254" s="3" t="s">
        <v>59</v>
      </c>
      <c r="F254" s="3" t="s">
        <v>36</v>
      </c>
      <c r="G254" s="3" t="s">
        <v>18</v>
      </c>
      <c r="H254" s="3" t="s">
        <v>19</v>
      </c>
      <c r="I254" s="3" t="s">
        <v>97</v>
      </c>
      <c r="J254" s="3" t="s">
        <v>41</v>
      </c>
      <c r="K254" s="2">
        <v>20</v>
      </c>
      <c r="L254" s="1">
        <v>90000</v>
      </c>
      <c r="M254" s="1">
        <v>1800000</v>
      </c>
      <c r="N254" s="1">
        <v>5</v>
      </c>
      <c r="O254" s="1">
        <v>90000</v>
      </c>
    </row>
    <row r="255" spans="1:15">
      <c r="A255" s="6">
        <v>2026</v>
      </c>
      <c r="B255" s="7">
        <v>5</v>
      </c>
      <c r="C255" s="8">
        <v>46157</v>
      </c>
      <c r="D255" s="3" t="s">
        <v>250</v>
      </c>
      <c r="E255" s="3" t="s">
        <v>170</v>
      </c>
      <c r="F255" s="3" t="s">
        <v>36</v>
      </c>
      <c r="G255" s="3" t="s">
        <v>18</v>
      </c>
      <c r="H255" s="3" t="s">
        <v>19</v>
      </c>
      <c r="I255" s="3" t="s">
        <v>73</v>
      </c>
      <c r="J255" s="3" t="s">
        <v>41</v>
      </c>
      <c r="K255" s="2">
        <v>1</v>
      </c>
      <c r="L255" s="1">
        <v>90000</v>
      </c>
      <c r="M255" s="1">
        <v>90000</v>
      </c>
      <c r="N255" s="1">
        <v>5</v>
      </c>
      <c r="O255" s="1">
        <v>4500</v>
      </c>
    </row>
    <row r="256" spans="1:15">
      <c r="A256" s="6">
        <v>2026</v>
      </c>
      <c r="B256" s="7">
        <v>5</v>
      </c>
      <c r="C256" s="8">
        <v>46157</v>
      </c>
      <c r="D256" s="3" t="s">
        <v>250</v>
      </c>
      <c r="E256" s="3" t="s">
        <v>170</v>
      </c>
      <c r="F256" s="3" t="s">
        <v>36</v>
      </c>
      <c r="G256" s="3" t="s">
        <v>18</v>
      </c>
      <c r="H256" s="3" t="s">
        <v>19</v>
      </c>
      <c r="I256" s="3" t="s">
        <v>73</v>
      </c>
      <c r="J256" s="3" t="s">
        <v>41</v>
      </c>
      <c r="K256" s="2">
        <v>29</v>
      </c>
      <c r="L256" s="1">
        <v>90000</v>
      </c>
      <c r="M256" s="1">
        <v>2610000</v>
      </c>
      <c r="N256" s="1">
        <v>5</v>
      </c>
      <c r="O256" s="1">
        <v>130500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56ED-8550-104D-AF3D-B85BEE4CA033}">
  <dimension ref="A1:O439"/>
  <sheetViews>
    <sheetView workbookViewId="0">
      <pane xSplit="6" ySplit="2" topLeftCell="H405" activePane="bottomRight" state="frozen"/>
      <selection pane="topRight" activeCell="G1" sqref="G1"/>
      <selection pane="bottomLeft" activeCell="A3" sqref="A3"/>
      <selection pane="bottomRight" activeCell="A3" sqref="A3:M439"/>
    </sheetView>
  </sheetViews>
  <sheetFormatPr baseColWidth="10" defaultRowHeight="16"/>
  <cols>
    <col min="4" max="4" width="17.33203125" customWidth="1"/>
    <col min="5" max="5" width="21.83203125" customWidth="1"/>
    <col min="6" max="6" width="23.33203125" bestFit="1" customWidth="1"/>
    <col min="9" max="9" width="38.5" customWidth="1"/>
    <col min="10" max="10" width="40" customWidth="1"/>
    <col min="11" max="11" width="12.6640625" customWidth="1"/>
    <col min="12" max="12" width="11" bestFit="1" customWidth="1"/>
    <col min="13" max="13" width="15" customWidth="1"/>
    <col min="14" max="15" width="11" bestFit="1" customWidth="1"/>
  </cols>
  <sheetData>
    <row r="1" spans="1:15">
      <c r="K1" s="5">
        <f>SUBTOTAL(9,K3:K1048576)</f>
        <v>37531</v>
      </c>
      <c r="M1" s="5">
        <f>SUBTOTAL(9,M3:M1048576)</f>
        <v>2661520912</v>
      </c>
    </row>
    <row r="2" spans="1:15" s="9" customFormat="1" ht="2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6">
        <v>2025</v>
      </c>
      <c r="B3" s="7">
        <v>10</v>
      </c>
      <c r="C3" s="8">
        <v>45933</v>
      </c>
      <c r="D3" s="3" t="s">
        <v>1301</v>
      </c>
      <c r="E3" s="3" t="s">
        <v>1302</v>
      </c>
      <c r="F3" s="3" t="s">
        <v>272</v>
      </c>
      <c r="G3" s="3" t="s">
        <v>273</v>
      </c>
      <c r="H3" s="3" t="s">
        <v>1303</v>
      </c>
      <c r="I3" s="3" t="s">
        <v>1304</v>
      </c>
      <c r="J3" s="3" t="s">
        <v>21</v>
      </c>
      <c r="K3" s="2">
        <v>100</v>
      </c>
      <c r="L3" s="1">
        <v>40621</v>
      </c>
      <c r="M3" s="1">
        <v>4062100</v>
      </c>
      <c r="N3" s="1">
        <v>15</v>
      </c>
      <c r="O3" s="1">
        <v>609315</v>
      </c>
    </row>
    <row r="4" spans="1:15">
      <c r="A4" s="6">
        <v>2025</v>
      </c>
      <c r="B4" s="7">
        <v>10</v>
      </c>
      <c r="C4" s="8">
        <v>45933</v>
      </c>
      <c r="D4" s="3" t="s">
        <v>1305</v>
      </c>
      <c r="E4" s="3" t="s">
        <v>1302</v>
      </c>
      <c r="F4" s="3" t="s">
        <v>272</v>
      </c>
      <c r="G4" s="3" t="s">
        <v>273</v>
      </c>
      <c r="H4" s="3" t="s">
        <v>1303</v>
      </c>
      <c r="I4" s="3" t="s">
        <v>1306</v>
      </c>
      <c r="J4" s="3" t="s">
        <v>21</v>
      </c>
      <c r="K4" s="2">
        <v>30</v>
      </c>
      <c r="L4" s="1">
        <v>40621</v>
      </c>
      <c r="M4" s="1">
        <v>1218630</v>
      </c>
      <c r="N4" s="1">
        <v>15</v>
      </c>
      <c r="O4" s="1">
        <v>182794.5</v>
      </c>
    </row>
    <row r="5" spans="1:15">
      <c r="A5" s="6">
        <v>2025</v>
      </c>
      <c r="B5" s="7">
        <v>10</v>
      </c>
      <c r="C5" s="8">
        <v>45939</v>
      </c>
      <c r="D5" s="3" t="s">
        <v>1307</v>
      </c>
      <c r="E5" s="3" t="s">
        <v>863</v>
      </c>
      <c r="F5" s="3" t="s">
        <v>864</v>
      </c>
      <c r="G5" s="3" t="s">
        <v>273</v>
      </c>
      <c r="H5" s="3" t="s">
        <v>1303</v>
      </c>
      <c r="I5" s="3" t="s">
        <v>865</v>
      </c>
      <c r="J5" s="3" t="s">
        <v>38</v>
      </c>
      <c r="K5" s="2">
        <v>100</v>
      </c>
      <c r="L5" s="1">
        <v>52500</v>
      </c>
      <c r="M5" s="1">
        <v>5250000</v>
      </c>
      <c r="N5" s="1">
        <v>12</v>
      </c>
      <c r="O5" s="1">
        <v>630000</v>
      </c>
    </row>
    <row r="6" spans="1:15">
      <c r="A6" s="6">
        <v>2025</v>
      </c>
      <c r="B6" s="7">
        <v>10</v>
      </c>
      <c r="C6" s="8">
        <v>45939</v>
      </c>
      <c r="D6" s="3" t="s">
        <v>1307</v>
      </c>
      <c r="E6" s="3" t="s">
        <v>863</v>
      </c>
      <c r="F6" s="3" t="s">
        <v>864</v>
      </c>
      <c r="G6" s="3" t="s">
        <v>273</v>
      </c>
      <c r="H6" s="3" t="s">
        <v>1303</v>
      </c>
      <c r="I6" s="3" t="s">
        <v>865</v>
      </c>
      <c r="J6" s="3" t="s">
        <v>41</v>
      </c>
      <c r="K6" s="2">
        <v>100</v>
      </c>
      <c r="L6" s="1">
        <v>67600</v>
      </c>
      <c r="M6" s="1">
        <v>6760000</v>
      </c>
      <c r="N6" s="1">
        <v>15</v>
      </c>
      <c r="O6" s="1">
        <v>1014000</v>
      </c>
    </row>
    <row r="7" spans="1:15">
      <c r="A7" s="6">
        <v>2025</v>
      </c>
      <c r="B7" s="7">
        <v>10</v>
      </c>
      <c r="C7" s="8">
        <v>45939</v>
      </c>
      <c r="D7" s="3" t="s">
        <v>1308</v>
      </c>
      <c r="E7" s="3" t="s">
        <v>1271</v>
      </c>
      <c r="F7" s="3" t="s">
        <v>1272</v>
      </c>
      <c r="G7" s="3" t="s">
        <v>273</v>
      </c>
      <c r="H7" s="3" t="s">
        <v>1303</v>
      </c>
      <c r="I7" s="3" t="s">
        <v>1309</v>
      </c>
      <c r="J7" s="3" t="s">
        <v>38</v>
      </c>
      <c r="K7" s="2">
        <v>10</v>
      </c>
      <c r="L7" s="1">
        <v>52500</v>
      </c>
      <c r="M7" s="1">
        <v>525000</v>
      </c>
      <c r="N7" s="1">
        <v>15</v>
      </c>
      <c r="O7" s="1">
        <v>78750</v>
      </c>
    </row>
    <row r="8" spans="1:15">
      <c r="A8" s="6">
        <v>2025</v>
      </c>
      <c r="B8" s="7">
        <v>10</v>
      </c>
      <c r="C8" s="8">
        <v>45939</v>
      </c>
      <c r="D8" s="3" t="s">
        <v>1308</v>
      </c>
      <c r="E8" s="3" t="s">
        <v>1271</v>
      </c>
      <c r="F8" s="3" t="s">
        <v>1272</v>
      </c>
      <c r="G8" s="3" t="s">
        <v>273</v>
      </c>
      <c r="H8" s="3" t="s">
        <v>1303</v>
      </c>
      <c r="I8" s="3" t="s">
        <v>1309</v>
      </c>
      <c r="J8" s="3" t="s">
        <v>41</v>
      </c>
      <c r="K8" s="2">
        <v>30</v>
      </c>
      <c r="L8" s="1">
        <v>67600</v>
      </c>
      <c r="M8" s="1">
        <v>2028000</v>
      </c>
      <c r="N8" s="1">
        <v>15</v>
      </c>
      <c r="O8" s="1">
        <v>304200</v>
      </c>
    </row>
    <row r="9" spans="1:15">
      <c r="A9" s="6">
        <v>2025</v>
      </c>
      <c r="B9" s="7">
        <v>10</v>
      </c>
      <c r="C9" s="8">
        <v>45940</v>
      </c>
      <c r="D9" s="3" t="s">
        <v>1310</v>
      </c>
      <c r="E9" s="3" t="s">
        <v>284</v>
      </c>
      <c r="F9" s="3" t="s">
        <v>281</v>
      </c>
      <c r="G9" s="3" t="s">
        <v>273</v>
      </c>
      <c r="H9" s="3" t="s">
        <v>1303</v>
      </c>
      <c r="I9" s="3" t="s">
        <v>1311</v>
      </c>
      <c r="J9" s="3" t="s">
        <v>38</v>
      </c>
      <c r="K9" s="2">
        <v>30</v>
      </c>
      <c r="L9" s="1">
        <v>52500</v>
      </c>
      <c r="M9" s="1">
        <v>1575000</v>
      </c>
      <c r="N9" s="1">
        <v>15</v>
      </c>
      <c r="O9" s="1">
        <v>236250</v>
      </c>
    </row>
    <row r="10" spans="1:15">
      <c r="A10" s="6">
        <v>2025</v>
      </c>
      <c r="B10" s="7">
        <v>10</v>
      </c>
      <c r="C10" s="8">
        <v>45945</v>
      </c>
      <c r="D10" s="3" t="s">
        <v>1312</v>
      </c>
      <c r="E10" s="3" t="s">
        <v>280</v>
      </c>
      <c r="F10" s="3" t="s">
        <v>281</v>
      </c>
      <c r="G10" s="3" t="s">
        <v>273</v>
      </c>
      <c r="H10" s="3" t="s">
        <v>1303</v>
      </c>
      <c r="I10" s="3" t="s">
        <v>25</v>
      </c>
      <c r="J10" s="3" t="s">
        <v>466</v>
      </c>
      <c r="K10" s="2">
        <v>30</v>
      </c>
      <c r="L10" s="1">
        <v>120000</v>
      </c>
      <c r="M10" s="1">
        <v>3600000</v>
      </c>
      <c r="N10" s="1">
        <v>15</v>
      </c>
      <c r="O10" s="1">
        <v>540000</v>
      </c>
    </row>
    <row r="11" spans="1:15">
      <c r="A11" s="6">
        <v>2025</v>
      </c>
      <c r="B11" s="7">
        <v>10</v>
      </c>
      <c r="C11" s="8">
        <v>45946</v>
      </c>
      <c r="D11" s="3" t="s">
        <v>1313</v>
      </c>
      <c r="E11" s="3" t="s">
        <v>1314</v>
      </c>
      <c r="F11" s="3" t="s">
        <v>1314</v>
      </c>
      <c r="G11" s="3" t="s">
        <v>1314</v>
      </c>
      <c r="H11" s="3" t="s">
        <v>1303</v>
      </c>
      <c r="I11" s="3" t="s">
        <v>33</v>
      </c>
      <c r="J11" s="3" t="s">
        <v>466</v>
      </c>
      <c r="K11" s="2">
        <v>500</v>
      </c>
      <c r="L11" s="1">
        <v>120000</v>
      </c>
      <c r="M11" s="1">
        <v>60000000</v>
      </c>
      <c r="N11" s="1">
        <v>2</v>
      </c>
      <c r="O11" s="1">
        <v>1200000</v>
      </c>
    </row>
    <row r="12" spans="1:15">
      <c r="A12" s="6">
        <v>2025</v>
      </c>
      <c r="B12" s="7">
        <v>10</v>
      </c>
      <c r="C12" s="8">
        <v>45950</v>
      </c>
      <c r="D12" s="3" t="s">
        <v>1315</v>
      </c>
      <c r="E12" s="3" t="s">
        <v>1302</v>
      </c>
      <c r="F12" s="3" t="s">
        <v>272</v>
      </c>
      <c r="G12" s="3" t="s">
        <v>273</v>
      </c>
      <c r="H12" s="3" t="s">
        <v>1303</v>
      </c>
      <c r="I12" s="3" t="s">
        <v>1316</v>
      </c>
      <c r="J12" s="3" t="s">
        <v>21</v>
      </c>
      <c r="K12" s="2">
        <v>200</v>
      </c>
      <c r="L12" s="1">
        <v>40621</v>
      </c>
      <c r="M12" s="1">
        <v>8124200</v>
      </c>
      <c r="N12" s="1">
        <v>15</v>
      </c>
      <c r="O12" s="1">
        <v>1218630</v>
      </c>
    </row>
    <row r="13" spans="1:15">
      <c r="A13" s="6">
        <v>2025</v>
      </c>
      <c r="B13" s="7">
        <v>10</v>
      </c>
      <c r="C13" s="8">
        <v>45950</v>
      </c>
      <c r="D13" s="3" t="s">
        <v>1317</v>
      </c>
      <c r="E13" s="3" t="s">
        <v>1318</v>
      </c>
      <c r="F13" s="3" t="s">
        <v>1319</v>
      </c>
      <c r="G13" s="3" t="s">
        <v>273</v>
      </c>
      <c r="H13" s="3" t="s">
        <v>1303</v>
      </c>
      <c r="I13" s="3" t="s">
        <v>1320</v>
      </c>
      <c r="J13" s="3" t="s">
        <v>41</v>
      </c>
      <c r="K13" s="2">
        <v>100</v>
      </c>
      <c r="L13" s="1">
        <v>90000</v>
      </c>
      <c r="M13" s="1">
        <v>9000000</v>
      </c>
      <c r="N13" s="1">
        <v>15</v>
      </c>
      <c r="O13" s="1">
        <v>1350000</v>
      </c>
    </row>
    <row r="14" spans="1:15">
      <c r="A14" s="6">
        <v>2025</v>
      </c>
      <c r="B14" s="7">
        <v>10</v>
      </c>
      <c r="C14" s="8">
        <v>45951</v>
      </c>
      <c r="D14" s="3" t="s">
        <v>1321</v>
      </c>
      <c r="E14" s="3" t="s">
        <v>284</v>
      </c>
      <c r="F14" s="3" t="s">
        <v>281</v>
      </c>
      <c r="G14" s="3" t="s">
        <v>273</v>
      </c>
      <c r="H14" s="3" t="s">
        <v>1303</v>
      </c>
      <c r="I14" s="3" t="s">
        <v>20</v>
      </c>
      <c r="J14" s="3" t="s">
        <v>466</v>
      </c>
      <c r="K14" s="2">
        <v>20</v>
      </c>
      <c r="L14" s="1">
        <v>120000</v>
      </c>
      <c r="M14" s="1">
        <v>2400000</v>
      </c>
      <c r="N14" s="1">
        <v>15</v>
      </c>
      <c r="O14" s="1">
        <v>360000</v>
      </c>
    </row>
    <row r="15" spans="1:15">
      <c r="A15" s="6">
        <v>2025</v>
      </c>
      <c r="B15" s="7">
        <v>10</v>
      </c>
      <c r="C15" s="8">
        <v>45951</v>
      </c>
      <c r="D15" s="3" t="s">
        <v>1322</v>
      </c>
      <c r="E15" s="3" t="s">
        <v>1302</v>
      </c>
      <c r="F15" s="3" t="s">
        <v>272</v>
      </c>
      <c r="G15" s="3" t="s">
        <v>273</v>
      </c>
      <c r="H15" s="3" t="s">
        <v>1303</v>
      </c>
      <c r="I15" s="3" t="s">
        <v>1323</v>
      </c>
      <c r="J15" s="3" t="s">
        <v>21</v>
      </c>
      <c r="K15" s="2">
        <v>50</v>
      </c>
      <c r="L15" s="1">
        <v>40621</v>
      </c>
      <c r="M15" s="1">
        <v>2031050</v>
      </c>
      <c r="N15" s="1">
        <v>15</v>
      </c>
      <c r="O15" s="1">
        <v>304657.5</v>
      </c>
    </row>
    <row r="16" spans="1:15">
      <c r="A16" s="6">
        <v>2025</v>
      </c>
      <c r="B16" s="7">
        <v>10</v>
      </c>
      <c r="C16" s="8">
        <v>45952</v>
      </c>
      <c r="D16" s="3" t="s">
        <v>1324</v>
      </c>
      <c r="E16" s="3" t="s">
        <v>1302</v>
      </c>
      <c r="F16" s="3" t="s">
        <v>272</v>
      </c>
      <c r="G16" s="3" t="s">
        <v>273</v>
      </c>
      <c r="H16" s="3" t="s">
        <v>1303</v>
      </c>
      <c r="I16" s="3" t="s">
        <v>1325</v>
      </c>
      <c r="J16" s="3" t="s">
        <v>21</v>
      </c>
      <c r="K16" s="2">
        <v>50</v>
      </c>
      <c r="L16" s="1">
        <v>40621</v>
      </c>
      <c r="M16" s="1">
        <v>2031050</v>
      </c>
      <c r="N16" s="1">
        <v>15</v>
      </c>
      <c r="O16" s="1">
        <v>304657.5</v>
      </c>
    </row>
    <row r="17" spans="1:15">
      <c r="A17" s="6">
        <v>2025</v>
      </c>
      <c r="B17" s="7">
        <v>10</v>
      </c>
      <c r="C17" s="8">
        <v>45952</v>
      </c>
      <c r="D17" s="3" t="s">
        <v>1326</v>
      </c>
      <c r="E17" s="3" t="s">
        <v>1302</v>
      </c>
      <c r="F17" s="3" t="s">
        <v>272</v>
      </c>
      <c r="G17" s="3" t="s">
        <v>273</v>
      </c>
      <c r="H17" s="3" t="s">
        <v>1303</v>
      </c>
      <c r="I17" s="3" t="s">
        <v>1304</v>
      </c>
      <c r="J17" s="3" t="s">
        <v>21</v>
      </c>
      <c r="K17" s="2">
        <v>70</v>
      </c>
      <c r="L17" s="1">
        <v>40621</v>
      </c>
      <c r="M17" s="1">
        <v>2843470</v>
      </c>
      <c r="N17" s="1">
        <v>15</v>
      </c>
      <c r="O17" s="1">
        <v>426520.5</v>
      </c>
    </row>
    <row r="18" spans="1:15">
      <c r="A18" s="6">
        <v>2025</v>
      </c>
      <c r="B18" s="7">
        <v>10</v>
      </c>
      <c r="C18" s="8">
        <v>45952</v>
      </c>
      <c r="D18" s="3" t="s">
        <v>1327</v>
      </c>
      <c r="E18" s="3" t="s">
        <v>1302</v>
      </c>
      <c r="F18" s="3" t="s">
        <v>272</v>
      </c>
      <c r="G18" s="3" t="s">
        <v>273</v>
      </c>
      <c r="H18" s="3" t="s">
        <v>1303</v>
      </c>
      <c r="I18" s="3" t="s">
        <v>1304</v>
      </c>
      <c r="J18" s="3" t="s">
        <v>21</v>
      </c>
      <c r="K18" s="2">
        <v>30</v>
      </c>
      <c r="L18" s="1">
        <v>40621</v>
      </c>
      <c r="M18" s="1">
        <v>1218630</v>
      </c>
      <c r="N18" s="1">
        <v>15</v>
      </c>
      <c r="O18" s="1">
        <v>182794.5</v>
      </c>
    </row>
    <row r="19" spans="1:15">
      <c r="A19" s="6">
        <v>2025</v>
      </c>
      <c r="B19" s="7">
        <v>10</v>
      </c>
      <c r="C19" s="8">
        <v>45952</v>
      </c>
      <c r="D19" s="3" t="s">
        <v>1328</v>
      </c>
      <c r="E19" s="3" t="s">
        <v>1314</v>
      </c>
      <c r="F19" s="3" t="s">
        <v>1314</v>
      </c>
      <c r="G19" s="3" t="s">
        <v>1314</v>
      </c>
      <c r="H19" s="3" t="s">
        <v>1303</v>
      </c>
      <c r="I19" s="3" t="s">
        <v>33</v>
      </c>
      <c r="J19" s="3" t="s">
        <v>466</v>
      </c>
      <c r="K19" s="2">
        <v>450</v>
      </c>
      <c r="L19" s="1">
        <v>120000</v>
      </c>
      <c r="M19" s="1">
        <v>54000000</v>
      </c>
      <c r="N19" s="1">
        <v>2</v>
      </c>
      <c r="O19" s="1">
        <v>1080000</v>
      </c>
    </row>
    <row r="20" spans="1:15">
      <c r="A20" s="6">
        <v>2025</v>
      </c>
      <c r="B20" s="7">
        <v>10</v>
      </c>
      <c r="C20" s="8">
        <v>45952</v>
      </c>
      <c r="D20" s="3" t="s">
        <v>1328</v>
      </c>
      <c r="E20" s="3" t="s">
        <v>1314</v>
      </c>
      <c r="F20" s="3" t="s">
        <v>1314</v>
      </c>
      <c r="G20" s="3" t="s">
        <v>1314</v>
      </c>
      <c r="H20" s="3" t="s">
        <v>1303</v>
      </c>
      <c r="I20" s="3" t="s">
        <v>33</v>
      </c>
      <c r="J20" s="3" t="s">
        <v>466</v>
      </c>
      <c r="K20" s="2">
        <v>70</v>
      </c>
      <c r="L20" s="1">
        <v>120000</v>
      </c>
      <c r="M20" s="1">
        <v>8400000</v>
      </c>
      <c r="N20" s="1">
        <v>2</v>
      </c>
      <c r="O20" s="1">
        <v>168000</v>
      </c>
    </row>
    <row r="21" spans="1:15">
      <c r="A21" s="6">
        <v>2025</v>
      </c>
      <c r="B21" s="7">
        <v>10</v>
      </c>
      <c r="C21" s="8">
        <v>45952</v>
      </c>
      <c r="D21" s="3" t="s">
        <v>1328</v>
      </c>
      <c r="E21" s="3" t="s">
        <v>1314</v>
      </c>
      <c r="F21" s="3" t="s">
        <v>1314</v>
      </c>
      <c r="G21" s="3" t="s">
        <v>1314</v>
      </c>
      <c r="H21" s="3" t="s">
        <v>1303</v>
      </c>
      <c r="I21" s="3" t="s">
        <v>33</v>
      </c>
      <c r="J21" s="3" t="s">
        <v>38</v>
      </c>
      <c r="K21" s="2">
        <v>500</v>
      </c>
      <c r="L21" s="1">
        <v>65000</v>
      </c>
      <c r="M21" s="1">
        <v>32500000</v>
      </c>
      <c r="N21" s="1">
        <v>2</v>
      </c>
      <c r="O21" s="1">
        <v>650000</v>
      </c>
    </row>
    <row r="22" spans="1:15">
      <c r="A22" s="6">
        <v>2025</v>
      </c>
      <c r="B22" s="7">
        <v>10</v>
      </c>
      <c r="C22" s="8">
        <v>45952</v>
      </c>
      <c r="D22" s="3" t="s">
        <v>1329</v>
      </c>
      <c r="E22" s="3" t="s">
        <v>1302</v>
      </c>
      <c r="F22" s="3" t="s">
        <v>272</v>
      </c>
      <c r="G22" s="3" t="s">
        <v>273</v>
      </c>
      <c r="H22" s="3" t="s">
        <v>1303</v>
      </c>
      <c r="I22" s="3" t="s">
        <v>1330</v>
      </c>
      <c r="J22" s="3" t="s">
        <v>21</v>
      </c>
      <c r="K22" s="2">
        <v>100</v>
      </c>
      <c r="L22" s="1">
        <v>40621</v>
      </c>
      <c r="M22" s="1">
        <v>4062100</v>
      </c>
      <c r="N22" s="1">
        <v>15</v>
      </c>
      <c r="O22" s="1">
        <v>609315</v>
      </c>
    </row>
    <row r="23" spans="1:15">
      <c r="A23" s="6">
        <v>2025</v>
      </c>
      <c r="B23" s="7">
        <v>10</v>
      </c>
      <c r="C23" s="8">
        <v>45953</v>
      </c>
      <c r="D23" s="3" t="s">
        <v>1331</v>
      </c>
      <c r="E23" s="3" t="s">
        <v>280</v>
      </c>
      <c r="F23" s="3" t="s">
        <v>281</v>
      </c>
      <c r="G23" s="3" t="s">
        <v>273</v>
      </c>
      <c r="H23" s="3" t="s">
        <v>1303</v>
      </c>
      <c r="I23" s="3" t="s">
        <v>20</v>
      </c>
      <c r="J23" s="3" t="s">
        <v>41</v>
      </c>
      <c r="K23" s="2">
        <v>20</v>
      </c>
      <c r="L23" s="1">
        <v>90000</v>
      </c>
      <c r="M23" s="1">
        <v>1800000</v>
      </c>
      <c r="N23" s="1">
        <v>15</v>
      </c>
      <c r="O23" s="1">
        <v>270000</v>
      </c>
    </row>
    <row r="24" spans="1:15">
      <c r="A24" s="6">
        <v>2025</v>
      </c>
      <c r="B24" s="7">
        <v>10</v>
      </c>
      <c r="C24" s="8">
        <v>45953</v>
      </c>
      <c r="D24" s="3" t="s">
        <v>1331</v>
      </c>
      <c r="E24" s="3" t="s">
        <v>280</v>
      </c>
      <c r="F24" s="3" t="s">
        <v>281</v>
      </c>
      <c r="G24" s="3" t="s">
        <v>273</v>
      </c>
      <c r="H24" s="3" t="s">
        <v>1303</v>
      </c>
      <c r="I24" s="3" t="s">
        <v>20</v>
      </c>
      <c r="J24" s="3" t="s">
        <v>38</v>
      </c>
      <c r="K24" s="2">
        <v>20</v>
      </c>
      <c r="L24" s="1">
        <v>65000</v>
      </c>
      <c r="M24" s="1">
        <v>1300000</v>
      </c>
      <c r="N24" s="1">
        <v>15</v>
      </c>
      <c r="O24" s="1">
        <v>195000</v>
      </c>
    </row>
    <row r="25" spans="1:15">
      <c r="A25" s="6">
        <v>2025</v>
      </c>
      <c r="B25" s="7">
        <v>10</v>
      </c>
      <c r="C25" s="8">
        <v>45953</v>
      </c>
      <c r="D25" s="3" t="s">
        <v>1332</v>
      </c>
      <c r="E25" s="3" t="s">
        <v>1302</v>
      </c>
      <c r="F25" s="3" t="s">
        <v>272</v>
      </c>
      <c r="G25" s="3" t="s">
        <v>273</v>
      </c>
      <c r="H25" s="3" t="s">
        <v>1303</v>
      </c>
      <c r="I25" s="3" t="s">
        <v>417</v>
      </c>
      <c r="J25" s="3" t="s">
        <v>41</v>
      </c>
      <c r="K25" s="2">
        <v>100</v>
      </c>
      <c r="L25" s="1">
        <v>90000</v>
      </c>
      <c r="M25" s="1">
        <v>9000000</v>
      </c>
      <c r="N25" s="1">
        <v>15</v>
      </c>
      <c r="O25" s="1">
        <v>1350000</v>
      </c>
    </row>
    <row r="26" spans="1:15">
      <c r="A26" s="6">
        <v>2025</v>
      </c>
      <c r="B26" s="7">
        <v>10</v>
      </c>
      <c r="C26" s="8">
        <v>45953</v>
      </c>
      <c r="D26" s="3" t="s">
        <v>1333</v>
      </c>
      <c r="E26" s="3" t="s">
        <v>280</v>
      </c>
      <c r="F26" s="3" t="s">
        <v>281</v>
      </c>
      <c r="G26" s="3" t="s">
        <v>273</v>
      </c>
      <c r="H26" s="3" t="s">
        <v>1303</v>
      </c>
      <c r="I26" s="3" t="s">
        <v>23</v>
      </c>
      <c r="J26" s="3" t="s">
        <v>41</v>
      </c>
      <c r="K26" s="2">
        <v>20</v>
      </c>
      <c r="L26" s="1">
        <v>90000</v>
      </c>
      <c r="M26" s="1">
        <v>1800000</v>
      </c>
      <c r="N26" s="1">
        <v>15</v>
      </c>
      <c r="O26" s="1">
        <v>270000</v>
      </c>
    </row>
    <row r="27" spans="1:15">
      <c r="A27" s="6">
        <v>2025</v>
      </c>
      <c r="B27" s="7">
        <v>10</v>
      </c>
      <c r="C27" s="8">
        <v>45953</v>
      </c>
      <c r="D27" s="3" t="s">
        <v>1334</v>
      </c>
      <c r="E27" s="3" t="s">
        <v>280</v>
      </c>
      <c r="F27" s="3" t="s">
        <v>281</v>
      </c>
      <c r="G27" s="3" t="s">
        <v>273</v>
      </c>
      <c r="H27" s="3" t="s">
        <v>1303</v>
      </c>
      <c r="I27" s="3" t="s">
        <v>1335</v>
      </c>
      <c r="J27" s="3" t="s">
        <v>466</v>
      </c>
      <c r="K27" s="2">
        <v>10</v>
      </c>
      <c r="L27" s="1">
        <v>120000</v>
      </c>
      <c r="M27" s="1">
        <v>1200000</v>
      </c>
      <c r="N27" s="1">
        <v>15</v>
      </c>
      <c r="O27" s="1">
        <v>180000</v>
      </c>
    </row>
    <row r="28" spans="1:15">
      <c r="A28" s="6">
        <v>2025</v>
      </c>
      <c r="B28" s="7">
        <v>10</v>
      </c>
      <c r="C28" s="8">
        <v>45954</v>
      </c>
      <c r="D28" s="3" t="s">
        <v>1336</v>
      </c>
      <c r="E28" s="3" t="s">
        <v>1318</v>
      </c>
      <c r="F28" s="3" t="s">
        <v>1319</v>
      </c>
      <c r="G28" s="3" t="s">
        <v>273</v>
      </c>
      <c r="H28" s="3" t="s">
        <v>1303</v>
      </c>
      <c r="I28" s="3" t="s">
        <v>1337</v>
      </c>
      <c r="J28" s="3" t="s">
        <v>38</v>
      </c>
      <c r="K28" s="2">
        <v>50</v>
      </c>
      <c r="L28" s="1">
        <v>65000</v>
      </c>
      <c r="M28" s="1">
        <v>3250000</v>
      </c>
      <c r="N28" s="1">
        <v>15</v>
      </c>
      <c r="O28" s="1">
        <v>487500</v>
      </c>
    </row>
    <row r="29" spans="1:15">
      <c r="A29" s="6">
        <v>2025</v>
      </c>
      <c r="B29" s="7">
        <v>10</v>
      </c>
      <c r="C29" s="8">
        <v>45954</v>
      </c>
      <c r="D29" s="3" t="s">
        <v>1336</v>
      </c>
      <c r="E29" s="3" t="s">
        <v>1318</v>
      </c>
      <c r="F29" s="3" t="s">
        <v>1319</v>
      </c>
      <c r="G29" s="3" t="s">
        <v>273</v>
      </c>
      <c r="H29" s="3" t="s">
        <v>1303</v>
      </c>
      <c r="I29" s="3" t="s">
        <v>1337</v>
      </c>
      <c r="J29" s="3" t="s">
        <v>41</v>
      </c>
      <c r="K29" s="2">
        <v>200</v>
      </c>
      <c r="L29" s="1">
        <v>90000</v>
      </c>
      <c r="M29" s="1">
        <v>18000000</v>
      </c>
      <c r="N29" s="1">
        <v>15</v>
      </c>
      <c r="O29" s="1">
        <v>2700000</v>
      </c>
    </row>
    <row r="30" spans="1:15">
      <c r="A30" s="6">
        <v>2025</v>
      </c>
      <c r="B30" s="7">
        <v>10</v>
      </c>
      <c r="C30" s="8">
        <v>45954</v>
      </c>
      <c r="D30" s="3" t="s">
        <v>1338</v>
      </c>
      <c r="E30" s="3" t="s">
        <v>1318</v>
      </c>
      <c r="F30" s="3" t="s">
        <v>1319</v>
      </c>
      <c r="G30" s="3" t="s">
        <v>273</v>
      </c>
      <c r="H30" s="3" t="s">
        <v>1303</v>
      </c>
      <c r="I30" s="3" t="s">
        <v>1339</v>
      </c>
      <c r="J30" s="3" t="s">
        <v>41</v>
      </c>
      <c r="K30" s="2">
        <v>50</v>
      </c>
      <c r="L30" s="1">
        <v>90000</v>
      </c>
      <c r="M30" s="1">
        <v>4500000</v>
      </c>
      <c r="N30" s="1">
        <v>15</v>
      </c>
      <c r="O30" s="1">
        <v>675000</v>
      </c>
    </row>
    <row r="31" spans="1:15">
      <c r="A31" s="6">
        <v>2025</v>
      </c>
      <c r="B31" s="7">
        <v>10</v>
      </c>
      <c r="C31" s="8">
        <v>45957</v>
      </c>
      <c r="D31" s="3" t="s">
        <v>1340</v>
      </c>
      <c r="E31" s="3" t="s">
        <v>287</v>
      </c>
      <c r="F31" s="3" t="s">
        <v>288</v>
      </c>
      <c r="G31" s="3" t="s">
        <v>273</v>
      </c>
      <c r="H31" s="3" t="s">
        <v>1303</v>
      </c>
      <c r="I31" s="3" t="s">
        <v>62</v>
      </c>
      <c r="J31" s="3" t="s">
        <v>38</v>
      </c>
      <c r="K31" s="2">
        <v>100</v>
      </c>
      <c r="L31" s="1">
        <v>65000</v>
      </c>
      <c r="M31" s="1">
        <v>6500000</v>
      </c>
      <c r="N31" s="1">
        <v>15</v>
      </c>
      <c r="O31" s="1">
        <v>975000</v>
      </c>
    </row>
    <row r="32" spans="1:15">
      <c r="A32" s="6">
        <v>2025</v>
      </c>
      <c r="B32" s="7">
        <v>10</v>
      </c>
      <c r="C32" s="8">
        <v>45958</v>
      </c>
      <c r="D32" s="3" t="s">
        <v>1341</v>
      </c>
      <c r="E32" s="3" t="s">
        <v>287</v>
      </c>
      <c r="F32" s="3" t="s">
        <v>288</v>
      </c>
      <c r="G32" s="3" t="s">
        <v>273</v>
      </c>
      <c r="H32" s="3" t="s">
        <v>1303</v>
      </c>
      <c r="I32" s="3" t="s">
        <v>117</v>
      </c>
      <c r="J32" s="3" t="s">
        <v>466</v>
      </c>
      <c r="K32" s="2">
        <v>40</v>
      </c>
      <c r="L32" s="1">
        <v>120000</v>
      </c>
      <c r="M32" s="1">
        <v>4800000</v>
      </c>
      <c r="N32" s="1">
        <v>15</v>
      </c>
      <c r="O32" s="1">
        <v>720000</v>
      </c>
    </row>
    <row r="33" spans="1:15">
      <c r="A33" s="6">
        <v>2025</v>
      </c>
      <c r="B33" s="7">
        <v>10</v>
      </c>
      <c r="C33" s="8">
        <v>45959</v>
      </c>
      <c r="D33" s="3" t="s">
        <v>1342</v>
      </c>
      <c r="E33" s="3" t="s">
        <v>1343</v>
      </c>
      <c r="F33" s="3" t="s">
        <v>1343</v>
      </c>
      <c r="G33" s="3" t="s">
        <v>1343</v>
      </c>
      <c r="H33" s="3" t="s">
        <v>1303</v>
      </c>
      <c r="I33" s="3" t="s">
        <v>1344</v>
      </c>
      <c r="J33" s="3" t="s">
        <v>21</v>
      </c>
      <c r="K33" s="2">
        <v>970</v>
      </c>
      <c r="L33" s="1">
        <v>40621</v>
      </c>
      <c r="M33" s="1">
        <v>39402370</v>
      </c>
      <c r="N33" s="1">
        <v>3</v>
      </c>
      <c r="O33" s="1">
        <v>1182071.1000000001</v>
      </c>
    </row>
    <row r="34" spans="1:15">
      <c r="A34" s="6">
        <v>2025</v>
      </c>
      <c r="B34" s="7">
        <v>10</v>
      </c>
      <c r="C34" s="8">
        <v>45959</v>
      </c>
      <c r="D34" s="3" t="s">
        <v>1345</v>
      </c>
      <c r="E34" s="3" t="s">
        <v>1271</v>
      </c>
      <c r="F34" s="3" t="s">
        <v>1272</v>
      </c>
      <c r="G34" s="3" t="s">
        <v>273</v>
      </c>
      <c r="H34" s="3" t="s">
        <v>1303</v>
      </c>
      <c r="I34" s="3" t="s">
        <v>1298</v>
      </c>
      <c r="J34" s="3" t="s">
        <v>41</v>
      </c>
      <c r="K34" s="2">
        <v>15</v>
      </c>
      <c r="L34" s="1">
        <v>90000</v>
      </c>
      <c r="M34" s="1">
        <v>1350000</v>
      </c>
      <c r="N34" s="1">
        <v>15</v>
      </c>
      <c r="O34" s="1">
        <v>202500</v>
      </c>
    </row>
    <row r="35" spans="1:15">
      <c r="A35" s="6">
        <v>2025</v>
      </c>
      <c r="B35" s="7">
        <v>10</v>
      </c>
      <c r="C35" s="8">
        <v>45960</v>
      </c>
      <c r="D35" s="3" t="s">
        <v>1346</v>
      </c>
      <c r="E35" s="3" t="s">
        <v>1314</v>
      </c>
      <c r="F35" s="3" t="s">
        <v>1314</v>
      </c>
      <c r="G35" s="3" t="s">
        <v>1314</v>
      </c>
      <c r="H35" s="3" t="s">
        <v>1303</v>
      </c>
      <c r="I35" s="3" t="s">
        <v>1347</v>
      </c>
      <c r="J35" s="3" t="s">
        <v>466</v>
      </c>
      <c r="K35" s="2">
        <v>500</v>
      </c>
      <c r="L35" s="1">
        <v>120000</v>
      </c>
      <c r="M35" s="1">
        <v>60000000</v>
      </c>
      <c r="N35" s="1">
        <v>2</v>
      </c>
      <c r="O35" s="1">
        <v>1200000</v>
      </c>
    </row>
    <row r="36" spans="1:15">
      <c r="A36" s="6">
        <v>2025</v>
      </c>
      <c r="B36" s="7">
        <v>10</v>
      </c>
      <c r="C36" s="8">
        <v>45960</v>
      </c>
      <c r="D36" s="3" t="s">
        <v>1348</v>
      </c>
      <c r="E36" s="3" t="s">
        <v>893</v>
      </c>
      <c r="F36" s="3" t="s">
        <v>894</v>
      </c>
      <c r="G36" s="3" t="s">
        <v>273</v>
      </c>
      <c r="H36" s="3" t="s">
        <v>1303</v>
      </c>
      <c r="I36" s="3" t="s">
        <v>1349</v>
      </c>
      <c r="J36" s="3" t="s">
        <v>41</v>
      </c>
      <c r="K36" s="2">
        <v>40</v>
      </c>
      <c r="L36" s="1">
        <v>90000</v>
      </c>
      <c r="M36" s="1">
        <v>3600000</v>
      </c>
      <c r="N36" s="1">
        <v>15</v>
      </c>
      <c r="O36" s="1">
        <v>540000</v>
      </c>
    </row>
    <row r="37" spans="1:15">
      <c r="A37" s="6">
        <v>2025</v>
      </c>
      <c r="B37" s="7">
        <v>10</v>
      </c>
      <c r="C37" s="8">
        <v>45960</v>
      </c>
      <c r="D37" s="3" t="s">
        <v>1350</v>
      </c>
      <c r="E37" s="3" t="s">
        <v>893</v>
      </c>
      <c r="F37" s="3" t="s">
        <v>894</v>
      </c>
      <c r="G37" s="3" t="s">
        <v>273</v>
      </c>
      <c r="H37" s="3" t="s">
        <v>1303</v>
      </c>
      <c r="I37" s="3" t="s">
        <v>1351</v>
      </c>
      <c r="J37" s="3" t="s">
        <v>41</v>
      </c>
      <c r="K37" s="2">
        <v>40</v>
      </c>
      <c r="L37" s="1">
        <v>90000</v>
      </c>
      <c r="M37" s="1">
        <v>3600000</v>
      </c>
      <c r="N37" s="1">
        <v>15</v>
      </c>
      <c r="O37" s="1">
        <v>540000</v>
      </c>
    </row>
    <row r="38" spans="1:15">
      <c r="A38" s="6">
        <v>2025</v>
      </c>
      <c r="B38" s="7">
        <v>10</v>
      </c>
      <c r="C38" s="8">
        <v>45960</v>
      </c>
      <c r="D38" s="3" t="s">
        <v>1352</v>
      </c>
      <c r="E38" s="3" t="s">
        <v>893</v>
      </c>
      <c r="F38" s="3" t="s">
        <v>894</v>
      </c>
      <c r="G38" s="3" t="s">
        <v>273</v>
      </c>
      <c r="H38" s="3" t="s">
        <v>1303</v>
      </c>
      <c r="I38" s="3" t="s">
        <v>1353</v>
      </c>
      <c r="J38" s="3" t="s">
        <v>41</v>
      </c>
      <c r="K38" s="2">
        <v>300</v>
      </c>
      <c r="L38" s="1">
        <v>90000</v>
      </c>
      <c r="M38" s="1">
        <v>27000000</v>
      </c>
      <c r="N38" s="1">
        <v>15</v>
      </c>
      <c r="O38" s="1">
        <v>4050000</v>
      </c>
    </row>
    <row r="39" spans="1:15">
      <c r="A39" s="6">
        <v>2025</v>
      </c>
      <c r="B39" s="7">
        <v>11</v>
      </c>
      <c r="C39" s="8">
        <v>45964</v>
      </c>
      <c r="D39" s="3" t="s">
        <v>1354</v>
      </c>
      <c r="E39" s="3" t="s">
        <v>1302</v>
      </c>
      <c r="F39" s="3" t="s">
        <v>272</v>
      </c>
      <c r="G39" s="3" t="s">
        <v>273</v>
      </c>
      <c r="H39" s="3" t="s">
        <v>1303</v>
      </c>
      <c r="I39" s="3" t="s">
        <v>1316</v>
      </c>
      <c r="J39" s="3" t="s">
        <v>21</v>
      </c>
      <c r="K39" s="2">
        <v>240</v>
      </c>
      <c r="L39" s="1">
        <v>40621</v>
      </c>
      <c r="M39" s="1">
        <v>9749040</v>
      </c>
      <c r="N39" s="1">
        <v>15</v>
      </c>
      <c r="O39" s="1">
        <v>1462356</v>
      </c>
    </row>
    <row r="40" spans="1:15">
      <c r="A40" s="6">
        <v>2025</v>
      </c>
      <c r="B40" s="7">
        <v>11</v>
      </c>
      <c r="C40" s="8">
        <v>45965</v>
      </c>
      <c r="D40" s="3" t="s">
        <v>1355</v>
      </c>
      <c r="E40" s="3" t="s">
        <v>1271</v>
      </c>
      <c r="F40" s="3" t="s">
        <v>1272</v>
      </c>
      <c r="G40" s="3" t="s">
        <v>273</v>
      </c>
      <c r="H40" s="3" t="s">
        <v>1303</v>
      </c>
      <c r="I40" s="3" t="s">
        <v>1356</v>
      </c>
      <c r="J40" s="3" t="s">
        <v>41</v>
      </c>
      <c r="K40" s="2">
        <v>10</v>
      </c>
      <c r="L40" s="1">
        <v>90000</v>
      </c>
      <c r="M40" s="1">
        <v>900000</v>
      </c>
      <c r="N40" s="1">
        <v>15</v>
      </c>
      <c r="O40" s="1">
        <v>135000</v>
      </c>
    </row>
    <row r="41" spans="1:15">
      <c r="A41" s="6">
        <v>2025</v>
      </c>
      <c r="B41" s="7">
        <v>11</v>
      </c>
      <c r="C41" s="8">
        <v>45967</v>
      </c>
      <c r="D41" s="3" t="s">
        <v>1357</v>
      </c>
      <c r="E41" s="3" t="s">
        <v>1358</v>
      </c>
      <c r="F41" s="3" t="s">
        <v>1359</v>
      </c>
      <c r="G41" s="3" t="s">
        <v>273</v>
      </c>
      <c r="H41" s="3" t="s">
        <v>1303</v>
      </c>
      <c r="I41" s="3" t="s">
        <v>1360</v>
      </c>
      <c r="J41" s="3" t="s">
        <v>466</v>
      </c>
      <c r="K41" s="2">
        <v>10</v>
      </c>
      <c r="L41" s="1">
        <v>120000</v>
      </c>
      <c r="M41" s="1">
        <v>1200000</v>
      </c>
      <c r="N41" s="1">
        <v>15</v>
      </c>
      <c r="O41" s="1">
        <v>180000</v>
      </c>
    </row>
    <row r="42" spans="1:15">
      <c r="A42" s="6">
        <v>2025</v>
      </c>
      <c r="B42" s="7">
        <v>11</v>
      </c>
      <c r="C42" s="8">
        <v>45967</v>
      </c>
      <c r="D42" s="3" t="s">
        <v>1361</v>
      </c>
      <c r="E42" s="3" t="s">
        <v>1358</v>
      </c>
      <c r="F42" s="3" t="s">
        <v>1359</v>
      </c>
      <c r="G42" s="3" t="s">
        <v>273</v>
      </c>
      <c r="H42" s="3" t="s">
        <v>1303</v>
      </c>
      <c r="I42" s="3" t="s">
        <v>1362</v>
      </c>
      <c r="J42" s="3" t="s">
        <v>466</v>
      </c>
      <c r="K42" s="2">
        <v>10</v>
      </c>
      <c r="L42" s="1">
        <v>120000</v>
      </c>
      <c r="M42" s="1">
        <v>1200000</v>
      </c>
      <c r="N42" s="1">
        <v>5</v>
      </c>
      <c r="O42" s="1">
        <v>60000</v>
      </c>
    </row>
    <row r="43" spans="1:15">
      <c r="A43" s="6">
        <v>2025</v>
      </c>
      <c r="B43" s="7">
        <v>11</v>
      </c>
      <c r="C43" s="8">
        <v>45967</v>
      </c>
      <c r="D43" s="3" t="s">
        <v>1363</v>
      </c>
      <c r="E43" s="3" t="s">
        <v>280</v>
      </c>
      <c r="F43" s="3" t="s">
        <v>281</v>
      </c>
      <c r="G43" s="3" t="s">
        <v>273</v>
      </c>
      <c r="H43" s="3" t="s">
        <v>1303</v>
      </c>
      <c r="I43" s="3" t="s">
        <v>25</v>
      </c>
      <c r="J43" s="3" t="s">
        <v>38</v>
      </c>
      <c r="K43" s="2">
        <v>30</v>
      </c>
      <c r="L43" s="1">
        <v>65000</v>
      </c>
      <c r="M43" s="1">
        <v>1950000</v>
      </c>
      <c r="N43" s="1">
        <v>15</v>
      </c>
      <c r="O43" s="1">
        <v>292500</v>
      </c>
    </row>
    <row r="44" spans="1:15">
      <c r="A44" s="6">
        <v>2025</v>
      </c>
      <c r="B44" s="7">
        <v>11</v>
      </c>
      <c r="C44" s="8">
        <v>45968</v>
      </c>
      <c r="D44" s="3" t="s">
        <v>1364</v>
      </c>
      <c r="E44" s="3" t="s">
        <v>1302</v>
      </c>
      <c r="F44" s="3" t="s">
        <v>272</v>
      </c>
      <c r="G44" s="3" t="s">
        <v>273</v>
      </c>
      <c r="H44" s="3" t="s">
        <v>1303</v>
      </c>
      <c r="I44" s="3" t="s">
        <v>950</v>
      </c>
      <c r="J44" s="3" t="s">
        <v>38</v>
      </c>
      <c r="K44" s="2">
        <v>30</v>
      </c>
      <c r="L44" s="1">
        <v>65000</v>
      </c>
      <c r="M44" s="1">
        <v>1950000</v>
      </c>
      <c r="N44" s="1">
        <v>15</v>
      </c>
      <c r="O44" s="1">
        <v>292500</v>
      </c>
    </row>
    <row r="45" spans="1:15">
      <c r="A45" s="6">
        <v>2025</v>
      </c>
      <c r="B45" s="7">
        <v>11</v>
      </c>
      <c r="C45" s="8">
        <v>45968</v>
      </c>
      <c r="D45" s="3" t="s">
        <v>1365</v>
      </c>
      <c r="E45" s="3" t="s">
        <v>280</v>
      </c>
      <c r="F45" s="3" t="s">
        <v>281</v>
      </c>
      <c r="G45" s="3" t="s">
        <v>273</v>
      </c>
      <c r="H45" s="3" t="s">
        <v>1303</v>
      </c>
      <c r="I45" s="3" t="s">
        <v>1311</v>
      </c>
      <c r="J45" s="3" t="s">
        <v>38</v>
      </c>
      <c r="K45" s="2">
        <v>20</v>
      </c>
      <c r="L45" s="1">
        <v>65000</v>
      </c>
      <c r="M45" s="1">
        <v>1300000</v>
      </c>
      <c r="N45" s="1">
        <v>15</v>
      </c>
      <c r="O45" s="1">
        <v>195000</v>
      </c>
    </row>
    <row r="46" spans="1:15">
      <c r="A46" s="6">
        <v>2025</v>
      </c>
      <c r="B46" s="7">
        <v>11</v>
      </c>
      <c r="C46" s="8">
        <v>45968</v>
      </c>
      <c r="D46" s="3" t="s">
        <v>1366</v>
      </c>
      <c r="E46" s="3" t="s">
        <v>1302</v>
      </c>
      <c r="F46" s="3" t="s">
        <v>272</v>
      </c>
      <c r="G46" s="3" t="s">
        <v>273</v>
      </c>
      <c r="H46" s="3" t="s">
        <v>1303</v>
      </c>
      <c r="I46" s="3" t="s">
        <v>417</v>
      </c>
      <c r="J46" s="3" t="s">
        <v>41</v>
      </c>
      <c r="K46" s="2">
        <v>100</v>
      </c>
      <c r="L46" s="1">
        <v>90000</v>
      </c>
      <c r="M46" s="1">
        <v>9000000</v>
      </c>
      <c r="N46" s="1">
        <v>15</v>
      </c>
      <c r="O46" s="1">
        <v>1350000</v>
      </c>
    </row>
    <row r="47" spans="1:15">
      <c r="A47" s="6">
        <v>2025</v>
      </c>
      <c r="B47" s="7">
        <v>11</v>
      </c>
      <c r="C47" s="8">
        <v>45968</v>
      </c>
      <c r="D47" s="3" t="s">
        <v>1367</v>
      </c>
      <c r="E47" s="3" t="s">
        <v>1358</v>
      </c>
      <c r="F47" s="3" t="s">
        <v>1359</v>
      </c>
      <c r="G47" s="3" t="s">
        <v>273</v>
      </c>
      <c r="H47" s="3" t="s">
        <v>1303</v>
      </c>
      <c r="I47" s="3" t="s">
        <v>1368</v>
      </c>
      <c r="J47" s="3" t="s">
        <v>466</v>
      </c>
      <c r="K47" s="2">
        <v>10</v>
      </c>
      <c r="L47" s="1">
        <v>120000</v>
      </c>
      <c r="M47" s="1">
        <v>1200000</v>
      </c>
      <c r="N47" s="1">
        <v>15</v>
      </c>
      <c r="O47" s="1">
        <v>180000</v>
      </c>
    </row>
    <row r="48" spans="1:15">
      <c r="A48" s="6">
        <v>2025</v>
      </c>
      <c r="B48" s="7">
        <v>11</v>
      </c>
      <c r="C48" s="8">
        <v>45971</v>
      </c>
      <c r="D48" s="3" t="s">
        <v>1369</v>
      </c>
      <c r="E48" s="3" t="s">
        <v>1302</v>
      </c>
      <c r="F48" s="3" t="s">
        <v>272</v>
      </c>
      <c r="G48" s="3" t="s">
        <v>273</v>
      </c>
      <c r="H48" s="3" t="s">
        <v>1303</v>
      </c>
      <c r="I48" s="3" t="s">
        <v>942</v>
      </c>
      <c r="J48" s="3" t="s">
        <v>38</v>
      </c>
      <c r="K48" s="2">
        <v>30</v>
      </c>
      <c r="L48" s="1">
        <v>65000</v>
      </c>
      <c r="M48" s="1">
        <v>1950000</v>
      </c>
      <c r="N48" s="1">
        <v>15</v>
      </c>
      <c r="O48" s="1">
        <v>292500</v>
      </c>
    </row>
    <row r="49" spans="1:15">
      <c r="A49" s="6">
        <v>2025</v>
      </c>
      <c r="B49" s="7">
        <v>11</v>
      </c>
      <c r="C49" s="8">
        <v>45971</v>
      </c>
      <c r="D49" s="3" t="s">
        <v>1370</v>
      </c>
      <c r="E49" s="3" t="s">
        <v>863</v>
      </c>
      <c r="F49" s="3" t="s">
        <v>864</v>
      </c>
      <c r="G49" s="3" t="s">
        <v>273</v>
      </c>
      <c r="H49" s="3" t="s">
        <v>1303</v>
      </c>
      <c r="I49" s="3" t="s">
        <v>865</v>
      </c>
      <c r="J49" s="3" t="s">
        <v>46</v>
      </c>
      <c r="K49" s="2">
        <v>200</v>
      </c>
      <c r="L49" s="1">
        <v>64700</v>
      </c>
      <c r="M49" s="1">
        <v>12940000</v>
      </c>
      <c r="N49" s="1">
        <v>6</v>
      </c>
      <c r="O49" s="1">
        <v>776400</v>
      </c>
    </row>
    <row r="50" spans="1:15">
      <c r="A50" s="6">
        <v>2025</v>
      </c>
      <c r="B50" s="7">
        <v>11</v>
      </c>
      <c r="C50" s="8">
        <v>45971</v>
      </c>
      <c r="D50" s="3" t="s">
        <v>1371</v>
      </c>
      <c r="E50" s="3" t="s">
        <v>893</v>
      </c>
      <c r="F50" s="3" t="s">
        <v>894</v>
      </c>
      <c r="G50" s="3" t="s">
        <v>273</v>
      </c>
      <c r="H50" s="3" t="s">
        <v>1303</v>
      </c>
      <c r="I50" s="3" t="s">
        <v>1372</v>
      </c>
      <c r="J50" s="3" t="s">
        <v>41</v>
      </c>
      <c r="K50" s="2">
        <v>150</v>
      </c>
      <c r="L50" s="1">
        <v>90000</v>
      </c>
      <c r="M50" s="1">
        <v>13500000</v>
      </c>
      <c r="N50" s="1">
        <v>15</v>
      </c>
      <c r="O50" s="1">
        <v>2025000</v>
      </c>
    </row>
    <row r="51" spans="1:15">
      <c r="A51" s="6">
        <v>2025</v>
      </c>
      <c r="B51" s="7">
        <v>11</v>
      </c>
      <c r="C51" s="8">
        <v>45971</v>
      </c>
      <c r="D51" s="3" t="s">
        <v>1373</v>
      </c>
      <c r="E51" s="3" t="s">
        <v>893</v>
      </c>
      <c r="F51" s="3" t="s">
        <v>894</v>
      </c>
      <c r="G51" s="3" t="s">
        <v>273</v>
      </c>
      <c r="H51" s="3" t="s">
        <v>1303</v>
      </c>
      <c r="I51" s="3" t="s">
        <v>1374</v>
      </c>
      <c r="J51" s="3" t="s">
        <v>41</v>
      </c>
      <c r="K51" s="2">
        <v>5</v>
      </c>
      <c r="L51" s="1">
        <v>90000</v>
      </c>
      <c r="M51" s="1">
        <v>450000</v>
      </c>
      <c r="N51" s="1">
        <v>15</v>
      </c>
      <c r="O51" s="1">
        <v>67500</v>
      </c>
    </row>
    <row r="52" spans="1:15">
      <c r="A52" s="6">
        <v>2025</v>
      </c>
      <c r="B52" s="7">
        <v>11</v>
      </c>
      <c r="C52" s="8">
        <v>45971</v>
      </c>
      <c r="D52" s="3" t="s">
        <v>1373</v>
      </c>
      <c r="E52" s="3" t="s">
        <v>893</v>
      </c>
      <c r="F52" s="3" t="s">
        <v>894</v>
      </c>
      <c r="G52" s="3" t="s">
        <v>273</v>
      </c>
      <c r="H52" s="3" t="s">
        <v>1303</v>
      </c>
      <c r="I52" s="3" t="s">
        <v>1374</v>
      </c>
      <c r="J52" s="3" t="s">
        <v>41</v>
      </c>
      <c r="K52" s="2">
        <v>95</v>
      </c>
      <c r="L52" s="1">
        <v>90000</v>
      </c>
      <c r="M52" s="1">
        <v>8550000</v>
      </c>
      <c r="N52" s="1">
        <v>15</v>
      </c>
      <c r="O52" s="1">
        <v>1282500</v>
      </c>
    </row>
    <row r="53" spans="1:15">
      <c r="A53" s="6">
        <v>2025</v>
      </c>
      <c r="B53" s="7">
        <v>11</v>
      </c>
      <c r="C53" s="8">
        <v>45972</v>
      </c>
      <c r="D53" s="3" t="s">
        <v>1375</v>
      </c>
      <c r="E53" s="3" t="s">
        <v>1271</v>
      </c>
      <c r="F53" s="3" t="s">
        <v>1272</v>
      </c>
      <c r="G53" s="3" t="s">
        <v>273</v>
      </c>
      <c r="H53" s="3" t="s">
        <v>1303</v>
      </c>
      <c r="I53" s="3" t="s">
        <v>1376</v>
      </c>
      <c r="J53" s="3" t="s">
        <v>41</v>
      </c>
      <c r="K53" s="2">
        <v>20</v>
      </c>
      <c r="L53" s="1">
        <v>90000</v>
      </c>
      <c r="M53" s="1">
        <v>1800000</v>
      </c>
      <c r="N53" s="1">
        <v>15</v>
      </c>
      <c r="O53" s="1">
        <v>270000</v>
      </c>
    </row>
    <row r="54" spans="1:15">
      <c r="A54" s="6">
        <v>2025</v>
      </c>
      <c r="B54" s="7">
        <v>11</v>
      </c>
      <c r="C54" s="8">
        <v>45974</v>
      </c>
      <c r="D54" s="3" t="s">
        <v>1377</v>
      </c>
      <c r="E54" s="3" t="s">
        <v>1302</v>
      </c>
      <c r="F54" s="3" t="s">
        <v>272</v>
      </c>
      <c r="G54" s="3" t="s">
        <v>273</v>
      </c>
      <c r="H54" s="3" t="s">
        <v>1303</v>
      </c>
      <c r="I54" s="3" t="s">
        <v>1316</v>
      </c>
      <c r="J54" s="3" t="s">
        <v>21</v>
      </c>
      <c r="K54" s="2">
        <v>240</v>
      </c>
      <c r="L54" s="1">
        <v>40621</v>
      </c>
      <c r="M54" s="1">
        <v>9749040</v>
      </c>
      <c r="N54" s="1">
        <v>15</v>
      </c>
      <c r="O54" s="1">
        <v>1462356</v>
      </c>
    </row>
    <row r="55" spans="1:15">
      <c r="A55" s="6">
        <v>2025</v>
      </c>
      <c r="B55" s="7">
        <v>11</v>
      </c>
      <c r="C55" s="8">
        <v>45974</v>
      </c>
      <c r="D55" s="3" t="s">
        <v>1378</v>
      </c>
      <c r="E55" s="3" t="s">
        <v>893</v>
      </c>
      <c r="F55" s="3" t="s">
        <v>894</v>
      </c>
      <c r="G55" s="3" t="s">
        <v>273</v>
      </c>
      <c r="H55" s="3" t="s">
        <v>1303</v>
      </c>
      <c r="I55" s="3" t="s">
        <v>1379</v>
      </c>
      <c r="J55" s="3" t="s">
        <v>41</v>
      </c>
      <c r="K55" s="2">
        <v>50</v>
      </c>
      <c r="L55" s="1">
        <v>90000</v>
      </c>
      <c r="M55" s="1">
        <v>4500000</v>
      </c>
      <c r="N55" s="1">
        <v>15</v>
      </c>
      <c r="O55" s="1">
        <v>675000</v>
      </c>
    </row>
    <row r="56" spans="1:15">
      <c r="A56" s="6">
        <v>2025</v>
      </c>
      <c r="B56" s="7">
        <v>11</v>
      </c>
      <c r="C56" s="8">
        <v>45975</v>
      </c>
      <c r="D56" s="3" t="s">
        <v>1380</v>
      </c>
      <c r="E56" s="3" t="s">
        <v>1381</v>
      </c>
      <c r="F56" s="3" t="s">
        <v>1264</v>
      </c>
      <c r="G56" s="3" t="s">
        <v>273</v>
      </c>
      <c r="H56" s="3" t="s">
        <v>1303</v>
      </c>
      <c r="I56" s="3" t="s">
        <v>1265</v>
      </c>
      <c r="J56" s="3" t="s">
        <v>38</v>
      </c>
      <c r="K56" s="2">
        <v>10</v>
      </c>
      <c r="L56" s="1">
        <v>65000</v>
      </c>
      <c r="M56" s="1">
        <v>650000</v>
      </c>
      <c r="N56" s="1">
        <v>15</v>
      </c>
      <c r="O56" s="1">
        <v>97500</v>
      </c>
    </row>
    <row r="57" spans="1:15">
      <c r="A57" s="6">
        <v>2025</v>
      </c>
      <c r="B57" s="7">
        <v>11</v>
      </c>
      <c r="C57" s="8">
        <v>45975</v>
      </c>
      <c r="D57" s="3" t="s">
        <v>1382</v>
      </c>
      <c r="E57" s="3" t="s">
        <v>1383</v>
      </c>
      <c r="F57" s="3" t="s">
        <v>1280</v>
      </c>
      <c r="G57" s="3" t="s">
        <v>273</v>
      </c>
      <c r="H57" s="3" t="s">
        <v>1303</v>
      </c>
      <c r="I57" s="3" t="s">
        <v>1384</v>
      </c>
      <c r="J57" s="3" t="s">
        <v>466</v>
      </c>
      <c r="K57" s="2">
        <v>40</v>
      </c>
      <c r="L57" s="1">
        <v>120000</v>
      </c>
      <c r="M57" s="1">
        <v>4800000</v>
      </c>
      <c r="N57" s="1">
        <v>15</v>
      </c>
      <c r="O57" s="1">
        <v>720000</v>
      </c>
    </row>
    <row r="58" spans="1:15">
      <c r="A58" s="6">
        <v>2025</v>
      </c>
      <c r="B58" s="7">
        <v>11</v>
      </c>
      <c r="C58" s="8">
        <v>45978</v>
      </c>
      <c r="D58" s="3" t="s">
        <v>1385</v>
      </c>
      <c r="E58" s="3" t="s">
        <v>893</v>
      </c>
      <c r="F58" s="3" t="s">
        <v>894</v>
      </c>
      <c r="G58" s="3" t="s">
        <v>273</v>
      </c>
      <c r="H58" s="3" t="s">
        <v>1303</v>
      </c>
      <c r="I58" s="3" t="s">
        <v>665</v>
      </c>
      <c r="J58" s="3" t="s">
        <v>41</v>
      </c>
      <c r="K58" s="2">
        <v>50</v>
      </c>
      <c r="L58" s="1">
        <v>90000</v>
      </c>
      <c r="M58" s="1">
        <v>4500000</v>
      </c>
      <c r="N58" s="1">
        <v>8</v>
      </c>
      <c r="O58" s="1">
        <v>360000</v>
      </c>
    </row>
    <row r="59" spans="1:15">
      <c r="A59" s="6">
        <v>2025</v>
      </c>
      <c r="B59" s="7">
        <v>11</v>
      </c>
      <c r="C59" s="8">
        <v>45978</v>
      </c>
      <c r="D59" s="3" t="s">
        <v>1386</v>
      </c>
      <c r="E59" s="3" t="s">
        <v>1302</v>
      </c>
      <c r="F59" s="3" t="s">
        <v>272</v>
      </c>
      <c r="G59" s="3" t="s">
        <v>273</v>
      </c>
      <c r="H59" s="3" t="s">
        <v>1303</v>
      </c>
      <c r="I59" s="3" t="s">
        <v>986</v>
      </c>
      <c r="J59" s="3" t="s">
        <v>38</v>
      </c>
      <c r="K59" s="2">
        <v>50</v>
      </c>
      <c r="L59" s="1">
        <v>65000</v>
      </c>
      <c r="M59" s="1">
        <v>3250000</v>
      </c>
      <c r="N59" s="1">
        <v>15</v>
      </c>
      <c r="O59" s="1">
        <v>487500</v>
      </c>
    </row>
    <row r="60" spans="1:15">
      <c r="A60" s="6">
        <v>2025</v>
      </c>
      <c r="B60" s="7">
        <v>11</v>
      </c>
      <c r="C60" s="8">
        <v>45979</v>
      </c>
      <c r="D60" s="3" t="s">
        <v>1387</v>
      </c>
      <c r="E60" s="3" t="s">
        <v>1302</v>
      </c>
      <c r="F60" s="3" t="s">
        <v>272</v>
      </c>
      <c r="G60" s="3" t="s">
        <v>273</v>
      </c>
      <c r="H60" s="3" t="s">
        <v>1303</v>
      </c>
      <c r="I60" s="3" t="s">
        <v>1388</v>
      </c>
      <c r="J60" s="3" t="s">
        <v>466</v>
      </c>
      <c r="K60" s="2">
        <v>80</v>
      </c>
      <c r="L60" s="1">
        <v>120000</v>
      </c>
      <c r="M60" s="1">
        <v>9600000</v>
      </c>
      <c r="N60" s="1">
        <v>15</v>
      </c>
      <c r="O60" s="1">
        <v>1440000</v>
      </c>
    </row>
    <row r="61" spans="1:15">
      <c r="A61" s="6">
        <v>2025</v>
      </c>
      <c r="B61" s="7">
        <v>11</v>
      </c>
      <c r="C61" s="8">
        <v>45979</v>
      </c>
      <c r="D61" s="3" t="s">
        <v>1389</v>
      </c>
      <c r="E61" s="3" t="s">
        <v>1314</v>
      </c>
      <c r="F61" s="3" t="s">
        <v>1314</v>
      </c>
      <c r="G61" s="3" t="s">
        <v>1314</v>
      </c>
      <c r="H61" s="3" t="s">
        <v>1303</v>
      </c>
      <c r="I61" s="3" t="s">
        <v>33</v>
      </c>
      <c r="J61" s="3" t="s">
        <v>46</v>
      </c>
      <c r="K61" s="2">
        <v>500</v>
      </c>
      <c r="L61" s="1">
        <v>64700</v>
      </c>
      <c r="M61" s="1">
        <v>32350000</v>
      </c>
      <c r="N61" s="1">
        <v>2</v>
      </c>
      <c r="O61" s="1">
        <v>647000</v>
      </c>
    </row>
    <row r="62" spans="1:15">
      <c r="A62" s="6">
        <v>2025</v>
      </c>
      <c r="B62" s="7">
        <v>11</v>
      </c>
      <c r="C62" s="8">
        <v>45980</v>
      </c>
      <c r="D62" s="3" t="s">
        <v>1390</v>
      </c>
      <c r="E62" s="3" t="s">
        <v>1383</v>
      </c>
      <c r="F62" s="3" t="s">
        <v>1280</v>
      </c>
      <c r="G62" s="3" t="s">
        <v>273</v>
      </c>
      <c r="H62" s="3" t="s">
        <v>1303</v>
      </c>
      <c r="I62" s="3" t="s">
        <v>1391</v>
      </c>
      <c r="J62" s="3" t="s">
        <v>466</v>
      </c>
      <c r="K62" s="2">
        <v>10</v>
      </c>
      <c r="L62" s="1">
        <v>120000</v>
      </c>
      <c r="M62" s="1">
        <v>1200000</v>
      </c>
      <c r="N62" s="1">
        <v>15</v>
      </c>
      <c r="O62" s="1">
        <v>180000</v>
      </c>
    </row>
    <row r="63" spans="1:15">
      <c r="A63" s="6">
        <v>2025</v>
      </c>
      <c r="B63" s="7">
        <v>11</v>
      </c>
      <c r="C63" s="8">
        <v>45980</v>
      </c>
      <c r="D63" s="3" t="s">
        <v>1392</v>
      </c>
      <c r="E63" s="3" t="s">
        <v>1318</v>
      </c>
      <c r="F63" s="3" t="s">
        <v>1319</v>
      </c>
      <c r="G63" s="3" t="s">
        <v>273</v>
      </c>
      <c r="H63" s="3" t="s">
        <v>1303</v>
      </c>
      <c r="I63" s="3" t="s">
        <v>1320</v>
      </c>
      <c r="J63" s="3" t="s">
        <v>41</v>
      </c>
      <c r="K63" s="2">
        <v>100</v>
      </c>
      <c r="L63" s="1">
        <v>90000</v>
      </c>
      <c r="M63" s="1">
        <v>9000000</v>
      </c>
      <c r="N63" s="1">
        <v>15</v>
      </c>
      <c r="O63" s="1">
        <v>1350000</v>
      </c>
    </row>
    <row r="64" spans="1:15">
      <c r="A64" s="6">
        <v>2025</v>
      </c>
      <c r="B64" s="7">
        <v>11</v>
      </c>
      <c r="C64" s="8">
        <v>45980</v>
      </c>
      <c r="D64" s="3" t="s">
        <v>1393</v>
      </c>
      <c r="E64" s="3" t="s">
        <v>284</v>
      </c>
      <c r="F64" s="3" t="s">
        <v>281</v>
      </c>
      <c r="G64" s="3" t="s">
        <v>273</v>
      </c>
      <c r="H64" s="3" t="s">
        <v>1303</v>
      </c>
      <c r="I64" s="3" t="s">
        <v>20</v>
      </c>
      <c r="J64" s="3" t="s">
        <v>466</v>
      </c>
      <c r="K64" s="2">
        <v>20</v>
      </c>
      <c r="L64" s="1">
        <v>120000</v>
      </c>
      <c r="M64" s="1">
        <v>2400000</v>
      </c>
      <c r="N64" s="1">
        <v>15</v>
      </c>
      <c r="O64" s="1">
        <v>360000</v>
      </c>
    </row>
    <row r="65" spans="1:15">
      <c r="A65" s="6">
        <v>2025</v>
      </c>
      <c r="B65" s="7">
        <v>11</v>
      </c>
      <c r="C65" s="8">
        <v>45980</v>
      </c>
      <c r="D65" s="3" t="s">
        <v>1394</v>
      </c>
      <c r="E65" s="3" t="s">
        <v>1383</v>
      </c>
      <c r="F65" s="3" t="s">
        <v>1280</v>
      </c>
      <c r="G65" s="3" t="s">
        <v>273</v>
      </c>
      <c r="H65" s="3" t="s">
        <v>1303</v>
      </c>
      <c r="I65" s="3" t="s">
        <v>1395</v>
      </c>
      <c r="J65" s="3" t="s">
        <v>466</v>
      </c>
      <c r="K65" s="2">
        <v>30</v>
      </c>
      <c r="L65" s="1">
        <v>120000</v>
      </c>
      <c r="M65" s="1">
        <v>3600000</v>
      </c>
      <c r="N65" s="1">
        <v>15</v>
      </c>
      <c r="O65" s="1">
        <v>540000</v>
      </c>
    </row>
    <row r="66" spans="1:15">
      <c r="A66" s="6">
        <v>2025</v>
      </c>
      <c r="B66" s="7">
        <v>11</v>
      </c>
      <c r="C66" s="8">
        <v>45981</v>
      </c>
      <c r="D66" s="3" t="s">
        <v>1396</v>
      </c>
      <c r="E66" s="3" t="s">
        <v>287</v>
      </c>
      <c r="F66" s="3" t="s">
        <v>288</v>
      </c>
      <c r="G66" s="3" t="s">
        <v>273</v>
      </c>
      <c r="H66" s="3" t="s">
        <v>1303</v>
      </c>
      <c r="I66" s="3" t="s">
        <v>358</v>
      </c>
      <c r="J66" s="3" t="s">
        <v>38</v>
      </c>
      <c r="K66" s="2">
        <v>20</v>
      </c>
      <c r="L66" s="1">
        <v>65000</v>
      </c>
      <c r="M66" s="1">
        <v>1300000</v>
      </c>
      <c r="N66" s="1">
        <v>15</v>
      </c>
      <c r="O66" s="1">
        <v>195000</v>
      </c>
    </row>
    <row r="67" spans="1:15">
      <c r="A67" s="6">
        <v>2025</v>
      </c>
      <c r="B67" s="7">
        <v>11</v>
      </c>
      <c r="C67" s="8">
        <v>45981</v>
      </c>
      <c r="D67" s="3" t="s">
        <v>1396</v>
      </c>
      <c r="E67" s="3" t="s">
        <v>287</v>
      </c>
      <c r="F67" s="3" t="s">
        <v>288</v>
      </c>
      <c r="G67" s="3" t="s">
        <v>273</v>
      </c>
      <c r="H67" s="3" t="s">
        <v>1303</v>
      </c>
      <c r="I67" s="3" t="s">
        <v>358</v>
      </c>
      <c r="J67" s="3" t="s">
        <v>466</v>
      </c>
      <c r="K67" s="2">
        <v>10</v>
      </c>
      <c r="L67" s="1">
        <v>120000</v>
      </c>
      <c r="M67" s="1">
        <v>1200000</v>
      </c>
      <c r="N67" s="1">
        <v>15</v>
      </c>
      <c r="O67" s="1">
        <v>180000</v>
      </c>
    </row>
    <row r="68" spans="1:15">
      <c r="A68" s="6">
        <v>2025</v>
      </c>
      <c r="B68" s="7">
        <v>11</v>
      </c>
      <c r="C68" s="8">
        <v>45981</v>
      </c>
      <c r="D68" s="3" t="s">
        <v>1397</v>
      </c>
      <c r="E68" s="3" t="s">
        <v>287</v>
      </c>
      <c r="F68" s="3" t="s">
        <v>288</v>
      </c>
      <c r="G68" s="3" t="s">
        <v>273</v>
      </c>
      <c r="H68" s="3" t="s">
        <v>1303</v>
      </c>
      <c r="I68" s="3" t="s">
        <v>686</v>
      </c>
      <c r="J68" s="3" t="s">
        <v>466</v>
      </c>
      <c r="K68" s="2">
        <v>10</v>
      </c>
      <c r="L68" s="1">
        <v>120000</v>
      </c>
      <c r="M68" s="1">
        <v>1200000</v>
      </c>
      <c r="N68" s="1">
        <v>15</v>
      </c>
      <c r="O68" s="1">
        <v>180000</v>
      </c>
    </row>
    <row r="69" spans="1:15">
      <c r="A69" s="6">
        <v>2025</v>
      </c>
      <c r="B69" s="7">
        <v>11</v>
      </c>
      <c r="C69" s="8">
        <v>45981</v>
      </c>
      <c r="D69" s="3" t="s">
        <v>1397</v>
      </c>
      <c r="E69" s="3" t="s">
        <v>287</v>
      </c>
      <c r="F69" s="3" t="s">
        <v>288</v>
      </c>
      <c r="G69" s="3" t="s">
        <v>273</v>
      </c>
      <c r="H69" s="3" t="s">
        <v>1303</v>
      </c>
      <c r="I69" s="3" t="s">
        <v>686</v>
      </c>
      <c r="J69" s="3" t="s">
        <v>38</v>
      </c>
      <c r="K69" s="2">
        <v>20</v>
      </c>
      <c r="L69" s="1">
        <v>65000</v>
      </c>
      <c r="M69" s="1">
        <v>1300000</v>
      </c>
      <c r="N69" s="1">
        <v>15</v>
      </c>
      <c r="O69" s="1">
        <v>195000</v>
      </c>
    </row>
    <row r="70" spans="1:15">
      <c r="A70" s="6">
        <v>2025</v>
      </c>
      <c r="B70" s="7">
        <v>11</v>
      </c>
      <c r="C70" s="8">
        <v>45981</v>
      </c>
      <c r="D70" s="3" t="s">
        <v>1398</v>
      </c>
      <c r="E70" s="3" t="s">
        <v>1271</v>
      </c>
      <c r="F70" s="3" t="s">
        <v>1272</v>
      </c>
      <c r="G70" s="3" t="s">
        <v>273</v>
      </c>
      <c r="H70" s="3" t="s">
        <v>1303</v>
      </c>
      <c r="I70" s="3" t="s">
        <v>1273</v>
      </c>
      <c r="J70" s="3" t="s">
        <v>41</v>
      </c>
      <c r="K70" s="2">
        <v>15</v>
      </c>
      <c r="L70" s="1">
        <v>90000</v>
      </c>
      <c r="M70" s="1">
        <v>1350000</v>
      </c>
      <c r="N70" s="1">
        <v>15</v>
      </c>
      <c r="O70" s="1">
        <v>202500</v>
      </c>
    </row>
    <row r="71" spans="1:15">
      <c r="A71" s="6">
        <v>2025</v>
      </c>
      <c r="B71" s="7">
        <v>11</v>
      </c>
      <c r="C71" s="8">
        <v>45981</v>
      </c>
      <c r="D71" s="3" t="s">
        <v>1399</v>
      </c>
      <c r="E71" s="3" t="s">
        <v>541</v>
      </c>
      <c r="F71" s="3" t="s">
        <v>281</v>
      </c>
      <c r="G71" s="3" t="s">
        <v>273</v>
      </c>
      <c r="H71" s="3" t="s">
        <v>1303</v>
      </c>
      <c r="I71" s="3" t="s">
        <v>1400</v>
      </c>
      <c r="J71" s="3" t="s">
        <v>466</v>
      </c>
      <c r="K71" s="2">
        <v>50</v>
      </c>
      <c r="L71" s="1">
        <v>120000</v>
      </c>
      <c r="M71" s="1">
        <v>6000000</v>
      </c>
      <c r="N71" s="1">
        <v>15</v>
      </c>
      <c r="O71" s="1">
        <v>900000</v>
      </c>
    </row>
    <row r="72" spans="1:15">
      <c r="A72" s="6">
        <v>2025</v>
      </c>
      <c r="B72" s="7">
        <v>11</v>
      </c>
      <c r="C72" s="8">
        <v>45985</v>
      </c>
      <c r="D72" s="3" t="s">
        <v>1401</v>
      </c>
      <c r="E72" s="3" t="s">
        <v>893</v>
      </c>
      <c r="F72" s="3" t="s">
        <v>894</v>
      </c>
      <c r="G72" s="3" t="s">
        <v>273</v>
      </c>
      <c r="H72" s="3" t="s">
        <v>1303</v>
      </c>
      <c r="I72" s="3" t="s">
        <v>1351</v>
      </c>
      <c r="J72" s="3" t="s">
        <v>41</v>
      </c>
      <c r="K72" s="2">
        <v>100</v>
      </c>
      <c r="L72" s="1">
        <v>90000</v>
      </c>
      <c r="M72" s="1">
        <v>9000000</v>
      </c>
      <c r="N72" s="1">
        <v>15</v>
      </c>
      <c r="O72" s="1">
        <v>1350000</v>
      </c>
    </row>
    <row r="73" spans="1:15">
      <c r="A73" s="6">
        <v>2025</v>
      </c>
      <c r="B73" s="7">
        <v>11</v>
      </c>
      <c r="C73" s="8">
        <v>45985</v>
      </c>
      <c r="D73" s="3" t="s">
        <v>1402</v>
      </c>
      <c r="E73" s="3" t="s">
        <v>1318</v>
      </c>
      <c r="F73" s="3" t="s">
        <v>1319</v>
      </c>
      <c r="G73" s="3" t="s">
        <v>273</v>
      </c>
      <c r="H73" s="3" t="s">
        <v>1303</v>
      </c>
      <c r="I73" s="3" t="s">
        <v>1403</v>
      </c>
      <c r="J73" s="3" t="s">
        <v>41</v>
      </c>
      <c r="K73" s="2">
        <v>300</v>
      </c>
      <c r="L73" s="1">
        <v>90000</v>
      </c>
      <c r="M73" s="1">
        <v>27000000</v>
      </c>
      <c r="N73" s="1">
        <v>15</v>
      </c>
      <c r="O73" s="1">
        <v>4050000</v>
      </c>
    </row>
    <row r="74" spans="1:15">
      <c r="A74" s="6">
        <v>2025</v>
      </c>
      <c r="B74" s="7">
        <v>11</v>
      </c>
      <c r="C74" s="8">
        <v>45985</v>
      </c>
      <c r="D74" s="3" t="s">
        <v>1404</v>
      </c>
      <c r="E74" s="3" t="s">
        <v>893</v>
      </c>
      <c r="F74" s="3" t="s">
        <v>894</v>
      </c>
      <c r="G74" s="3" t="s">
        <v>273</v>
      </c>
      <c r="H74" s="3" t="s">
        <v>1303</v>
      </c>
      <c r="I74" s="3" t="s">
        <v>1353</v>
      </c>
      <c r="J74" s="3" t="s">
        <v>41</v>
      </c>
      <c r="K74" s="2">
        <v>200</v>
      </c>
      <c r="L74" s="1">
        <v>90000</v>
      </c>
      <c r="M74" s="1">
        <v>18000000</v>
      </c>
      <c r="N74" s="1">
        <v>15</v>
      </c>
      <c r="O74" s="1">
        <v>2700000</v>
      </c>
    </row>
    <row r="75" spans="1:15">
      <c r="A75" s="6">
        <v>2025</v>
      </c>
      <c r="B75" s="7">
        <v>11</v>
      </c>
      <c r="C75" s="8">
        <v>45986</v>
      </c>
      <c r="D75" s="3" t="s">
        <v>1405</v>
      </c>
      <c r="E75" s="3" t="s">
        <v>541</v>
      </c>
      <c r="F75" s="3" t="s">
        <v>281</v>
      </c>
      <c r="G75" s="3" t="s">
        <v>273</v>
      </c>
      <c r="H75" s="3" t="s">
        <v>1303</v>
      </c>
      <c r="I75" s="3" t="s">
        <v>1406</v>
      </c>
      <c r="J75" s="3" t="s">
        <v>38</v>
      </c>
      <c r="K75" s="2">
        <v>30</v>
      </c>
      <c r="L75" s="1">
        <v>65000</v>
      </c>
      <c r="M75" s="1">
        <v>1950000</v>
      </c>
      <c r="N75" s="1">
        <v>15</v>
      </c>
      <c r="O75" s="1">
        <v>292500</v>
      </c>
    </row>
    <row r="76" spans="1:15">
      <c r="A76" s="6">
        <v>2025</v>
      </c>
      <c r="B76" s="7">
        <v>11</v>
      </c>
      <c r="C76" s="8">
        <v>45986</v>
      </c>
      <c r="D76" s="3" t="s">
        <v>1407</v>
      </c>
      <c r="E76" s="3" t="s">
        <v>284</v>
      </c>
      <c r="F76" s="3" t="s">
        <v>281</v>
      </c>
      <c r="G76" s="3" t="s">
        <v>273</v>
      </c>
      <c r="H76" s="3" t="s">
        <v>1303</v>
      </c>
      <c r="I76" s="3" t="s">
        <v>20</v>
      </c>
      <c r="J76" s="3" t="s">
        <v>21</v>
      </c>
      <c r="K76" s="2">
        <v>30</v>
      </c>
      <c r="L76" s="1">
        <v>40621</v>
      </c>
      <c r="M76" s="1">
        <v>1218630</v>
      </c>
      <c r="N76" s="1">
        <v>15</v>
      </c>
      <c r="O76" s="1">
        <v>182794.5</v>
      </c>
    </row>
    <row r="77" spans="1:15">
      <c r="A77" s="6">
        <v>2025</v>
      </c>
      <c r="B77" s="7">
        <v>11</v>
      </c>
      <c r="C77" s="8">
        <v>45986</v>
      </c>
      <c r="D77" s="3" t="s">
        <v>1408</v>
      </c>
      <c r="E77" s="3" t="s">
        <v>1314</v>
      </c>
      <c r="F77" s="3" t="s">
        <v>1314</v>
      </c>
      <c r="G77" s="3" t="s">
        <v>1314</v>
      </c>
      <c r="H77" s="3" t="s">
        <v>1303</v>
      </c>
      <c r="I77" s="3" t="s">
        <v>1347</v>
      </c>
      <c r="J77" s="3" t="s">
        <v>466</v>
      </c>
      <c r="K77" s="2">
        <v>400</v>
      </c>
      <c r="L77" s="1">
        <v>120000</v>
      </c>
      <c r="M77" s="1">
        <v>48000000</v>
      </c>
      <c r="N77" s="1">
        <v>2</v>
      </c>
      <c r="O77" s="1">
        <v>960000</v>
      </c>
    </row>
    <row r="78" spans="1:15">
      <c r="A78" s="6">
        <v>2025</v>
      </c>
      <c r="B78" s="7">
        <v>11</v>
      </c>
      <c r="C78" s="8">
        <v>45987</v>
      </c>
      <c r="D78" s="3" t="s">
        <v>1409</v>
      </c>
      <c r="E78" s="3" t="s">
        <v>1383</v>
      </c>
      <c r="F78" s="3" t="s">
        <v>1280</v>
      </c>
      <c r="G78" s="3" t="s">
        <v>273</v>
      </c>
      <c r="H78" s="3" t="s">
        <v>1303</v>
      </c>
      <c r="I78" s="3" t="s">
        <v>1410</v>
      </c>
      <c r="J78" s="3" t="s">
        <v>38</v>
      </c>
      <c r="K78" s="2">
        <v>50</v>
      </c>
      <c r="L78" s="1">
        <v>65000</v>
      </c>
      <c r="M78" s="1">
        <v>3250000</v>
      </c>
      <c r="N78" s="1">
        <v>15</v>
      </c>
      <c r="O78" s="1">
        <v>487500</v>
      </c>
    </row>
    <row r="79" spans="1:15">
      <c r="A79" s="6">
        <v>2025</v>
      </c>
      <c r="B79" s="7">
        <v>11</v>
      </c>
      <c r="C79" s="8">
        <v>45987</v>
      </c>
      <c r="D79" s="3" t="s">
        <v>1411</v>
      </c>
      <c r="E79" s="3" t="s">
        <v>1302</v>
      </c>
      <c r="F79" s="3" t="s">
        <v>272</v>
      </c>
      <c r="G79" s="3" t="s">
        <v>273</v>
      </c>
      <c r="H79" s="3" t="s">
        <v>1303</v>
      </c>
      <c r="I79" s="3" t="s">
        <v>1330</v>
      </c>
      <c r="J79" s="3" t="s">
        <v>466</v>
      </c>
      <c r="K79" s="2">
        <v>20</v>
      </c>
      <c r="L79" s="1">
        <v>120000</v>
      </c>
      <c r="M79" s="1">
        <v>2400000</v>
      </c>
      <c r="N79" s="1">
        <v>15</v>
      </c>
      <c r="O79" s="1">
        <v>360000</v>
      </c>
    </row>
    <row r="80" spans="1:15">
      <c r="A80" s="6">
        <v>2025</v>
      </c>
      <c r="B80" s="7">
        <v>11</v>
      </c>
      <c r="C80" s="8">
        <v>45987</v>
      </c>
      <c r="D80" s="3" t="s">
        <v>1412</v>
      </c>
      <c r="E80" s="3" t="s">
        <v>284</v>
      </c>
      <c r="F80" s="3" t="s">
        <v>281</v>
      </c>
      <c r="G80" s="3" t="s">
        <v>273</v>
      </c>
      <c r="H80" s="3" t="s">
        <v>1303</v>
      </c>
      <c r="I80" s="3" t="s">
        <v>23</v>
      </c>
      <c r="J80" s="3" t="s">
        <v>21</v>
      </c>
      <c r="K80" s="2">
        <v>50</v>
      </c>
      <c r="L80" s="1">
        <v>40621</v>
      </c>
      <c r="M80" s="1">
        <v>2031050</v>
      </c>
      <c r="N80" s="1">
        <v>15</v>
      </c>
      <c r="O80" s="1">
        <v>304657.5</v>
      </c>
    </row>
    <row r="81" spans="1:15">
      <c r="A81" s="6">
        <v>2025</v>
      </c>
      <c r="B81" s="7">
        <v>11</v>
      </c>
      <c r="C81" s="8">
        <v>45988</v>
      </c>
      <c r="D81" s="3" t="s">
        <v>1413</v>
      </c>
      <c r="E81" s="3" t="s">
        <v>1414</v>
      </c>
      <c r="F81" s="3" t="s">
        <v>1101</v>
      </c>
      <c r="G81" s="3" t="s">
        <v>273</v>
      </c>
      <c r="H81" s="3" t="s">
        <v>1303</v>
      </c>
      <c r="I81" s="3" t="s">
        <v>1415</v>
      </c>
      <c r="J81" s="3" t="s">
        <v>38</v>
      </c>
      <c r="K81" s="2">
        <v>30</v>
      </c>
      <c r="L81" s="1">
        <v>65000</v>
      </c>
      <c r="M81" s="1">
        <v>1950000</v>
      </c>
      <c r="N81" s="1">
        <v>15</v>
      </c>
      <c r="O81" s="1">
        <v>292500</v>
      </c>
    </row>
    <row r="82" spans="1:15">
      <c r="A82" s="6">
        <v>2025</v>
      </c>
      <c r="B82" s="7">
        <v>11</v>
      </c>
      <c r="C82" s="8">
        <v>45988</v>
      </c>
      <c r="D82" s="3" t="s">
        <v>1416</v>
      </c>
      <c r="E82" s="3" t="s">
        <v>1417</v>
      </c>
      <c r="F82" s="3" t="s">
        <v>272</v>
      </c>
      <c r="G82" s="3" t="s">
        <v>273</v>
      </c>
      <c r="H82" s="3" t="s">
        <v>1303</v>
      </c>
      <c r="I82" s="3" t="s">
        <v>1418</v>
      </c>
      <c r="J82" s="3" t="s">
        <v>21</v>
      </c>
      <c r="K82" s="2">
        <v>120</v>
      </c>
      <c r="L82" s="1">
        <v>40621</v>
      </c>
      <c r="M82" s="1">
        <v>4874520</v>
      </c>
      <c r="N82" s="1">
        <v>15</v>
      </c>
      <c r="O82" s="1">
        <v>731178</v>
      </c>
    </row>
    <row r="83" spans="1:15">
      <c r="A83" s="6">
        <v>2025</v>
      </c>
      <c r="B83" s="7">
        <v>12</v>
      </c>
      <c r="C83" s="8">
        <v>45992</v>
      </c>
      <c r="D83" s="3" t="s">
        <v>1419</v>
      </c>
      <c r="E83" s="3" t="s">
        <v>1420</v>
      </c>
      <c r="F83" s="3" t="s">
        <v>1319</v>
      </c>
      <c r="G83" s="3" t="s">
        <v>273</v>
      </c>
      <c r="H83" s="3" t="s">
        <v>1303</v>
      </c>
      <c r="I83" s="3" t="s">
        <v>1421</v>
      </c>
      <c r="J83" s="3" t="s">
        <v>41</v>
      </c>
      <c r="K83" s="2">
        <v>50</v>
      </c>
      <c r="L83" s="1">
        <v>90000</v>
      </c>
      <c r="M83" s="1">
        <v>4500000</v>
      </c>
      <c r="N83" s="1">
        <v>15</v>
      </c>
      <c r="O83" s="1">
        <v>675000</v>
      </c>
    </row>
    <row r="84" spans="1:15">
      <c r="A84" s="6">
        <v>2025</v>
      </c>
      <c r="B84" s="7">
        <v>12</v>
      </c>
      <c r="C84" s="8">
        <v>45992</v>
      </c>
      <c r="D84" s="3" t="s">
        <v>1422</v>
      </c>
      <c r="E84" s="3" t="s">
        <v>1318</v>
      </c>
      <c r="F84" s="3" t="s">
        <v>1319</v>
      </c>
      <c r="G84" s="3" t="s">
        <v>273</v>
      </c>
      <c r="H84" s="3" t="s">
        <v>1303</v>
      </c>
      <c r="I84" s="3" t="s">
        <v>1423</v>
      </c>
      <c r="J84" s="3" t="s">
        <v>41</v>
      </c>
      <c r="K84" s="2">
        <v>50</v>
      </c>
      <c r="L84" s="1">
        <v>90000</v>
      </c>
      <c r="M84" s="1">
        <v>4500000</v>
      </c>
      <c r="N84" s="1">
        <v>15</v>
      </c>
      <c r="O84" s="1">
        <v>675000</v>
      </c>
    </row>
    <row r="85" spans="1:15">
      <c r="A85" s="6">
        <v>2025</v>
      </c>
      <c r="B85" s="7">
        <v>12</v>
      </c>
      <c r="C85" s="8">
        <v>45992</v>
      </c>
      <c r="D85" s="3" t="s">
        <v>1424</v>
      </c>
      <c r="E85" s="3" t="s">
        <v>1425</v>
      </c>
      <c r="F85" s="3" t="s">
        <v>272</v>
      </c>
      <c r="G85" s="3" t="s">
        <v>273</v>
      </c>
      <c r="H85" s="3" t="s">
        <v>1303</v>
      </c>
      <c r="I85" s="3" t="s">
        <v>1426</v>
      </c>
      <c r="J85" s="3" t="s">
        <v>21</v>
      </c>
      <c r="K85" s="2">
        <v>120</v>
      </c>
      <c r="L85" s="1">
        <v>40621</v>
      </c>
      <c r="M85" s="1">
        <v>4874520</v>
      </c>
      <c r="N85" s="1">
        <v>15</v>
      </c>
      <c r="O85" s="1">
        <v>731178</v>
      </c>
    </row>
    <row r="86" spans="1:15">
      <c r="A86" s="6">
        <v>2025</v>
      </c>
      <c r="B86" s="7">
        <v>12</v>
      </c>
      <c r="C86" s="8">
        <v>45992</v>
      </c>
      <c r="D86" s="3" t="s">
        <v>1427</v>
      </c>
      <c r="E86" s="3" t="s">
        <v>287</v>
      </c>
      <c r="F86" s="3" t="s">
        <v>288</v>
      </c>
      <c r="G86" s="3" t="s">
        <v>273</v>
      </c>
      <c r="H86" s="3" t="s">
        <v>1303</v>
      </c>
      <c r="I86" s="3" t="s">
        <v>358</v>
      </c>
      <c r="J86" s="3" t="s">
        <v>466</v>
      </c>
      <c r="K86" s="2">
        <v>20</v>
      </c>
      <c r="L86" s="1">
        <v>120000</v>
      </c>
      <c r="M86" s="1">
        <v>2400000</v>
      </c>
      <c r="N86" s="1">
        <v>15</v>
      </c>
      <c r="O86" s="1">
        <v>360000</v>
      </c>
    </row>
    <row r="87" spans="1:15">
      <c r="A87" s="6">
        <v>2025</v>
      </c>
      <c r="B87" s="7">
        <v>12</v>
      </c>
      <c r="C87" s="8">
        <v>45993</v>
      </c>
      <c r="D87" s="3" t="s">
        <v>1428</v>
      </c>
      <c r="E87" s="3" t="s">
        <v>1302</v>
      </c>
      <c r="F87" s="3" t="s">
        <v>272</v>
      </c>
      <c r="G87" s="3" t="s">
        <v>273</v>
      </c>
      <c r="H87" s="3" t="s">
        <v>1303</v>
      </c>
      <c r="I87" s="3" t="s">
        <v>1306</v>
      </c>
      <c r="J87" s="3" t="s">
        <v>21</v>
      </c>
      <c r="K87" s="2">
        <v>20</v>
      </c>
      <c r="L87" s="1">
        <v>40621</v>
      </c>
      <c r="M87" s="1">
        <v>812420</v>
      </c>
      <c r="N87" s="1">
        <v>15</v>
      </c>
      <c r="O87" s="1">
        <v>121863</v>
      </c>
    </row>
    <row r="88" spans="1:15">
      <c r="A88" s="6">
        <v>2025</v>
      </c>
      <c r="B88" s="7">
        <v>12</v>
      </c>
      <c r="C88" s="8">
        <v>45993</v>
      </c>
      <c r="D88" s="3" t="s">
        <v>1429</v>
      </c>
      <c r="E88" s="3" t="s">
        <v>1430</v>
      </c>
      <c r="F88" s="3" t="s">
        <v>1101</v>
      </c>
      <c r="G88" s="3" t="s">
        <v>273</v>
      </c>
      <c r="H88" s="3" t="s">
        <v>1303</v>
      </c>
      <c r="I88" s="3" t="s">
        <v>1030</v>
      </c>
      <c r="J88" s="3" t="s">
        <v>38</v>
      </c>
      <c r="K88" s="2">
        <v>100</v>
      </c>
      <c r="L88" s="1">
        <v>65000</v>
      </c>
      <c r="M88" s="1">
        <v>6500000</v>
      </c>
      <c r="N88" s="1">
        <v>15</v>
      </c>
      <c r="O88" s="1">
        <v>975000</v>
      </c>
    </row>
    <row r="89" spans="1:15">
      <c r="A89" s="6">
        <v>2025</v>
      </c>
      <c r="B89" s="7">
        <v>12</v>
      </c>
      <c r="C89" s="8">
        <v>45994</v>
      </c>
      <c r="D89" s="3" t="s">
        <v>1431</v>
      </c>
      <c r="E89" s="3" t="s">
        <v>541</v>
      </c>
      <c r="F89" s="3" t="s">
        <v>281</v>
      </c>
      <c r="G89" s="3" t="s">
        <v>273</v>
      </c>
      <c r="H89" s="3" t="s">
        <v>1303</v>
      </c>
      <c r="I89" s="3" t="s">
        <v>1432</v>
      </c>
      <c r="J89" s="3" t="s">
        <v>21</v>
      </c>
      <c r="K89" s="2">
        <v>10</v>
      </c>
      <c r="L89" s="1">
        <v>40621</v>
      </c>
      <c r="M89" s="1">
        <v>406210</v>
      </c>
      <c r="N89" s="1">
        <v>15</v>
      </c>
      <c r="O89" s="1">
        <v>60931.5</v>
      </c>
    </row>
    <row r="90" spans="1:15">
      <c r="A90" s="6">
        <v>2025</v>
      </c>
      <c r="B90" s="7">
        <v>12</v>
      </c>
      <c r="C90" s="8">
        <v>45995</v>
      </c>
      <c r="D90" s="3" t="s">
        <v>1433</v>
      </c>
      <c r="E90" s="3" t="s">
        <v>1383</v>
      </c>
      <c r="F90" s="3" t="s">
        <v>1280</v>
      </c>
      <c r="G90" s="3" t="s">
        <v>273</v>
      </c>
      <c r="H90" s="3" t="s">
        <v>1303</v>
      </c>
      <c r="I90" s="3" t="s">
        <v>1395</v>
      </c>
      <c r="J90" s="3" t="s">
        <v>466</v>
      </c>
      <c r="K90" s="2">
        <v>40</v>
      </c>
      <c r="L90" s="1">
        <v>120000</v>
      </c>
      <c r="M90" s="1">
        <v>4800000</v>
      </c>
      <c r="N90" s="1">
        <v>15</v>
      </c>
      <c r="O90" s="1">
        <v>720000</v>
      </c>
    </row>
    <row r="91" spans="1:15">
      <c r="A91" s="6">
        <v>2025</v>
      </c>
      <c r="B91" s="7">
        <v>12</v>
      </c>
      <c r="C91" s="8">
        <v>46001</v>
      </c>
      <c r="D91" s="3" t="s">
        <v>1434</v>
      </c>
      <c r="E91" s="3" t="s">
        <v>1314</v>
      </c>
      <c r="F91" s="3" t="s">
        <v>1314</v>
      </c>
      <c r="G91" s="3" t="s">
        <v>1314</v>
      </c>
      <c r="H91" s="3" t="s">
        <v>1303</v>
      </c>
      <c r="I91" s="3" t="s">
        <v>957</v>
      </c>
      <c r="J91" s="3" t="s">
        <v>46</v>
      </c>
      <c r="K91" s="2">
        <v>520</v>
      </c>
      <c r="L91" s="1">
        <v>64700</v>
      </c>
      <c r="M91" s="1">
        <v>33644000</v>
      </c>
      <c r="N91" s="1">
        <v>2</v>
      </c>
      <c r="O91" s="1">
        <v>672880</v>
      </c>
    </row>
    <row r="92" spans="1:15">
      <c r="A92" s="6">
        <v>2025</v>
      </c>
      <c r="B92" s="7">
        <v>12</v>
      </c>
      <c r="C92" s="8">
        <v>46001</v>
      </c>
      <c r="D92" s="3" t="s">
        <v>1434</v>
      </c>
      <c r="E92" s="3" t="s">
        <v>1314</v>
      </c>
      <c r="F92" s="3" t="s">
        <v>1314</v>
      </c>
      <c r="G92" s="3" t="s">
        <v>1314</v>
      </c>
      <c r="H92" s="3" t="s">
        <v>1303</v>
      </c>
      <c r="I92" s="3" t="s">
        <v>957</v>
      </c>
      <c r="J92" s="3" t="s">
        <v>38</v>
      </c>
      <c r="K92" s="2">
        <v>500</v>
      </c>
      <c r="L92" s="1">
        <v>65000</v>
      </c>
      <c r="M92" s="1">
        <v>32500000</v>
      </c>
      <c r="N92" s="1">
        <v>2</v>
      </c>
      <c r="O92" s="1">
        <v>650000</v>
      </c>
    </row>
    <row r="93" spans="1:15">
      <c r="A93" s="6">
        <v>2025</v>
      </c>
      <c r="B93" s="7">
        <v>12</v>
      </c>
      <c r="C93" s="8">
        <v>46001</v>
      </c>
      <c r="D93" s="3" t="s">
        <v>1435</v>
      </c>
      <c r="E93" s="3" t="s">
        <v>1302</v>
      </c>
      <c r="F93" s="3" t="s">
        <v>272</v>
      </c>
      <c r="G93" s="3" t="s">
        <v>273</v>
      </c>
      <c r="H93" s="3" t="s">
        <v>1303</v>
      </c>
      <c r="I93" s="3" t="s">
        <v>986</v>
      </c>
      <c r="J93" s="3" t="s">
        <v>21</v>
      </c>
      <c r="K93" s="2">
        <v>120</v>
      </c>
      <c r="L93" s="1">
        <v>40621</v>
      </c>
      <c r="M93" s="1">
        <v>4874520</v>
      </c>
      <c r="N93" s="1">
        <v>15</v>
      </c>
      <c r="O93" s="1">
        <v>731178</v>
      </c>
    </row>
    <row r="94" spans="1:15">
      <c r="A94" s="6">
        <v>2025</v>
      </c>
      <c r="B94" s="7">
        <v>12</v>
      </c>
      <c r="C94" s="8">
        <v>46002</v>
      </c>
      <c r="D94" s="3" t="s">
        <v>1436</v>
      </c>
      <c r="E94" s="3" t="s">
        <v>1302</v>
      </c>
      <c r="F94" s="3" t="s">
        <v>272</v>
      </c>
      <c r="G94" s="3" t="s">
        <v>273</v>
      </c>
      <c r="H94" s="3" t="s">
        <v>1303</v>
      </c>
      <c r="I94" s="3" t="s">
        <v>1316</v>
      </c>
      <c r="J94" s="3" t="s">
        <v>21</v>
      </c>
      <c r="K94" s="2">
        <v>150</v>
      </c>
      <c r="L94" s="1">
        <v>40621</v>
      </c>
      <c r="M94" s="1">
        <v>6093150</v>
      </c>
      <c r="N94" s="1">
        <v>15</v>
      </c>
      <c r="O94" s="1">
        <v>913972.5</v>
      </c>
    </row>
    <row r="95" spans="1:15">
      <c r="A95" s="6">
        <v>2025</v>
      </c>
      <c r="B95" s="7">
        <v>12</v>
      </c>
      <c r="C95" s="8">
        <v>46003</v>
      </c>
      <c r="D95" s="3" t="s">
        <v>1437</v>
      </c>
      <c r="E95" s="3" t="s">
        <v>1417</v>
      </c>
      <c r="F95" s="3" t="s">
        <v>272</v>
      </c>
      <c r="G95" s="3" t="s">
        <v>273</v>
      </c>
      <c r="H95" s="3" t="s">
        <v>1303</v>
      </c>
      <c r="I95" s="3" t="s">
        <v>1330</v>
      </c>
      <c r="J95" s="3" t="s">
        <v>466</v>
      </c>
      <c r="K95" s="2">
        <v>10</v>
      </c>
      <c r="L95" s="1">
        <v>120000</v>
      </c>
      <c r="M95" s="1">
        <v>1200000</v>
      </c>
      <c r="N95" s="1">
        <v>15</v>
      </c>
      <c r="O95" s="1">
        <v>180000</v>
      </c>
    </row>
    <row r="96" spans="1:15">
      <c r="A96" s="6">
        <v>2025</v>
      </c>
      <c r="B96" s="7">
        <v>12</v>
      </c>
      <c r="C96" s="8">
        <v>46003</v>
      </c>
      <c r="D96" s="3" t="s">
        <v>1438</v>
      </c>
      <c r="E96" s="3" t="s">
        <v>1420</v>
      </c>
      <c r="F96" s="3" t="s">
        <v>1319</v>
      </c>
      <c r="G96" s="3" t="s">
        <v>273</v>
      </c>
      <c r="H96" s="3" t="s">
        <v>1303</v>
      </c>
      <c r="I96" s="3" t="s">
        <v>1337</v>
      </c>
      <c r="J96" s="3" t="s">
        <v>41</v>
      </c>
      <c r="K96" s="2">
        <v>300</v>
      </c>
      <c r="L96" s="1">
        <v>90000</v>
      </c>
      <c r="M96" s="1">
        <v>27000000</v>
      </c>
      <c r="N96" s="1">
        <v>15</v>
      </c>
      <c r="O96" s="1">
        <v>4050000</v>
      </c>
    </row>
    <row r="97" spans="1:15">
      <c r="A97" s="6">
        <v>2025</v>
      </c>
      <c r="B97" s="7">
        <v>12</v>
      </c>
      <c r="C97" s="8">
        <v>46003</v>
      </c>
      <c r="D97" s="3" t="s">
        <v>1439</v>
      </c>
      <c r="E97" s="3" t="s">
        <v>1420</v>
      </c>
      <c r="F97" s="3" t="s">
        <v>1319</v>
      </c>
      <c r="G97" s="3" t="s">
        <v>273</v>
      </c>
      <c r="H97" s="3" t="s">
        <v>1303</v>
      </c>
      <c r="I97" s="3" t="s">
        <v>1440</v>
      </c>
      <c r="J97" s="3" t="s">
        <v>41</v>
      </c>
      <c r="K97" s="2">
        <v>50</v>
      </c>
      <c r="L97" s="1">
        <v>90000</v>
      </c>
      <c r="M97" s="1">
        <v>4500000</v>
      </c>
      <c r="N97" s="1">
        <v>15</v>
      </c>
      <c r="O97" s="1">
        <v>675000</v>
      </c>
    </row>
    <row r="98" spans="1:15">
      <c r="A98" s="6">
        <v>2025</v>
      </c>
      <c r="B98" s="7">
        <v>12</v>
      </c>
      <c r="C98" s="8">
        <v>46003</v>
      </c>
      <c r="D98" s="3" t="s">
        <v>1441</v>
      </c>
      <c r="E98" s="3" t="s">
        <v>284</v>
      </c>
      <c r="F98" s="3" t="s">
        <v>281</v>
      </c>
      <c r="G98" s="3" t="s">
        <v>273</v>
      </c>
      <c r="H98" s="3" t="s">
        <v>1303</v>
      </c>
      <c r="I98" s="3" t="s">
        <v>25</v>
      </c>
      <c r="J98" s="3" t="s">
        <v>21</v>
      </c>
      <c r="K98" s="2">
        <v>40</v>
      </c>
      <c r="L98" s="1">
        <v>40621</v>
      </c>
      <c r="M98" s="1">
        <v>1624840</v>
      </c>
      <c r="N98" s="1">
        <v>10</v>
      </c>
      <c r="O98" s="1">
        <v>162484</v>
      </c>
    </row>
    <row r="99" spans="1:15">
      <c r="A99" s="6">
        <v>2025</v>
      </c>
      <c r="B99" s="7">
        <v>12</v>
      </c>
      <c r="C99" s="8">
        <v>46006</v>
      </c>
      <c r="D99" s="3" t="s">
        <v>1442</v>
      </c>
      <c r="E99" s="3" t="s">
        <v>284</v>
      </c>
      <c r="F99" s="3" t="s">
        <v>281</v>
      </c>
      <c r="G99" s="3" t="s">
        <v>273</v>
      </c>
      <c r="H99" s="3" t="s">
        <v>1303</v>
      </c>
      <c r="I99" s="3" t="s">
        <v>1311</v>
      </c>
      <c r="J99" s="3" t="s">
        <v>38</v>
      </c>
      <c r="K99" s="2">
        <v>30</v>
      </c>
      <c r="L99" s="1">
        <v>65000</v>
      </c>
      <c r="M99" s="1">
        <v>1950000</v>
      </c>
      <c r="N99" s="1">
        <v>15</v>
      </c>
      <c r="O99" s="1">
        <v>292500</v>
      </c>
    </row>
    <row r="100" spans="1:15">
      <c r="A100" s="6">
        <v>2025</v>
      </c>
      <c r="B100" s="7">
        <v>12</v>
      </c>
      <c r="C100" s="8">
        <v>46006</v>
      </c>
      <c r="D100" s="3" t="s">
        <v>1443</v>
      </c>
      <c r="E100" s="3" t="s">
        <v>1444</v>
      </c>
      <c r="F100" s="3" t="s">
        <v>272</v>
      </c>
      <c r="G100" s="3" t="s">
        <v>273</v>
      </c>
      <c r="H100" s="3" t="s">
        <v>1303</v>
      </c>
      <c r="I100" s="3" t="s">
        <v>1445</v>
      </c>
      <c r="J100" s="3" t="s">
        <v>21</v>
      </c>
      <c r="K100" s="2">
        <v>20</v>
      </c>
      <c r="L100" s="1">
        <v>40621</v>
      </c>
      <c r="M100" s="1">
        <v>812420</v>
      </c>
      <c r="N100" s="1">
        <v>15</v>
      </c>
      <c r="O100" s="1">
        <v>121863</v>
      </c>
    </row>
    <row r="101" spans="1:15">
      <c r="A101" s="6">
        <v>2025</v>
      </c>
      <c r="B101" s="7">
        <v>12</v>
      </c>
      <c r="C101" s="8">
        <v>46006</v>
      </c>
      <c r="D101" s="3" t="s">
        <v>1446</v>
      </c>
      <c r="E101" s="3" t="s">
        <v>1447</v>
      </c>
      <c r="F101" s="3" t="s">
        <v>288</v>
      </c>
      <c r="G101" s="3" t="s">
        <v>273</v>
      </c>
      <c r="H101" s="3" t="s">
        <v>1303</v>
      </c>
      <c r="I101" s="3" t="s">
        <v>62</v>
      </c>
      <c r="J101" s="3" t="s">
        <v>38</v>
      </c>
      <c r="K101" s="2">
        <v>40</v>
      </c>
      <c r="L101" s="1">
        <v>65000</v>
      </c>
      <c r="M101" s="1">
        <v>2600000</v>
      </c>
      <c r="N101" s="1">
        <v>15</v>
      </c>
      <c r="O101" s="1">
        <v>390000</v>
      </c>
    </row>
    <row r="102" spans="1:15">
      <c r="A102" s="6">
        <v>2025</v>
      </c>
      <c r="B102" s="7">
        <v>12</v>
      </c>
      <c r="C102" s="8">
        <v>46006</v>
      </c>
      <c r="D102" s="3" t="s">
        <v>1448</v>
      </c>
      <c r="E102" s="3" t="s">
        <v>284</v>
      </c>
      <c r="F102" s="3" t="s">
        <v>281</v>
      </c>
      <c r="G102" s="3" t="s">
        <v>273</v>
      </c>
      <c r="H102" s="3" t="s">
        <v>1303</v>
      </c>
      <c r="I102" s="3" t="s">
        <v>1449</v>
      </c>
      <c r="J102" s="3" t="s">
        <v>38</v>
      </c>
      <c r="K102" s="2">
        <v>20</v>
      </c>
      <c r="L102" s="1">
        <v>65000</v>
      </c>
      <c r="M102" s="1">
        <v>1300000</v>
      </c>
      <c r="N102" s="1">
        <v>15</v>
      </c>
      <c r="O102" s="1">
        <v>195000</v>
      </c>
    </row>
    <row r="103" spans="1:15">
      <c r="A103" s="6">
        <v>2025</v>
      </c>
      <c r="B103" s="7">
        <v>12</v>
      </c>
      <c r="C103" s="8">
        <v>46006</v>
      </c>
      <c r="D103" s="3" t="s">
        <v>1448</v>
      </c>
      <c r="E103" s="3" t="s">
        <v>284</v>
      </c>
      <c r="F103" s="3" t="s">
        <v>281</v>
      </c>
      <c r="G103" s="3" t="s">
        <v>273</v>
      </c>
      <c r="H103" s="3" t="s">
        <v>1303</v>
      </c>
      <c r="I103" s="3" t="s">
        <v>1449</v>
      </c>
      <c r="J103" s="3" t="s">
        <v>21</v>
      </c>
      <c r="K103" s="2">
        <v>50</v>
      </c>
      <c r="L103" s="1">
        <v>40621</v>
      </c>
      <c r="M103" s="1">
        <v>2031050</v>
      </c>
      <c r="N103" s="1">
        <v>15</v>
      </c>
      <c r="O103" s="1">
        <v>304657.5</v>
      </c>
    </row>
    <row r="104" spans="1:15">
      <c r="A104" s="6">
        <v>2025</v>
      </c>
      <c r="B104" s="7">
        <v>12</v>
      </c>
      <c r="C104" s="8">
        <v>46006</v>
      </c>
      <c r="D104" s="3" t="s">
        <v>1450</v>
      </c>
      <c r="E104" s="3" t="s">
        <v>1451</v>
      </c>
      <c r="F104" s="3" t="s">
        <v>1264</v>
      </c>
      <c r="G104" s="3" t="s">
        <v>273</v>
      </c>
      <c r="H104" s="3" t="s">
        <v>1303</v>
      </c>
      <c r="I104" s="3" t="s">
        <v>1265</v>
      </c>
      <c r="J104" s="3" t="s">
        <v>46</v>
      </c>
      <c r="K104" s="2">
        <v>10</v>
      </c>
      <c r="L104" s="1">
        <v>64700</v>
      </c>
      <c r="M104" s="1">
        <v>647000</v>
      </c>
      <c r="N104" s="1">
        <v>15</v>
      </c>
      <c r="O104" s="1">
        <v>97050</v>
      </c>
    </row>
    <row r="105" spans="1:15">
      <c r="A105" s="6">
        <v>2025</v>
      </c>
      <c r="B105" s="7">
        <v>12</v>
      </c>
      <c r="C105" s="8">
        <v>46007</v>
      </c>
      <c r="D105" s="3" t="s">
        <v>1452</v>
      </c>
      <c r="E105" s="3" t="s">
        <v>1343</v>
      </c>
      <c r="F105" s="3" t="s">
        <v>1453</v>
      </c>
      <c r="G105" s="3" t="s">
        <v>18</v>
      </c>
      <c r="H105" s="3" t="s">
        <v>1303</v>
      </c>
      <c r="I105" s="3" t="s">
        <v>1344</v>
      </c>
      <c r="J105" s="3" t="s">
        <v>41</v>
      </c>
      <c r="K105" s="2">
        <v>1</v>
      </c>
      <c r="L105" s="1">
        <v>90000</v>
      </c>
      <c r="M105" s="1">
        <v>90000</v>
      </c>
      <c r="N105" s="1">
        <v>2</v>
      </c>
      <c r="O105" s="1">
        <v>1800</v>
      </c>
    </row>
    <row r="106" spans="1:15">
      <c r="A106" s="6">
        <v>2025</v>
      </c>
      <c r="B106" s="7">
        <v>12</v>
      </c>
      <c r="C106" s="8">
        <v>46007</v>
      </c>
      <c r="D106" s="3" t="s">
        <v>1454</v>
      </c>
      <c r="E106" s="3" t="s">
        <v>541</v>
      </c>
      <c r="F106" s="3" t="s">
        <v>281</v>
      </c>
      <c r="G106" s="3" t="s">
        <v>273</v>
      </c>
      <c r="H106" s="3" t="s">
        <v>1303</v>
      </c>
      <c r="I106" s="3" t="s">
        <v>443</v>
      </c>
      <c r="J106" s="3" t="s">
        <v>466</v>
      </c>
      <c r="K106" s="2">
        <v>20</v>
      </c>
      <c r="L106" s="1">
        <v>120000</v>
      </c>
      <c r="M106" s="1">
        <v>2400000</v>
      </c>
      <c r="N106" s="1">
        <v>10</v>
      </c>
      <c r="O106" s="1">
        <v>240000</v>
      </c>
    </row>
    <row r="107" spans="1:15">
      <c r="A107" s="6">
        <v>2025</v>
      </c>
      <c r="B107" s="7">
        <v>12</v>
      </c>
      <c r="C107" s="8">
        <v>46008</v>
      </c>
      <c r="D107" s="3" t="s">
        <v>1455</v>
      </c>
      <c r="E107" s="3" t="s">
        <v>284</v>
      </c>
      <c r="F107" s="3" t="s">
        <v>281</v>
      </c>
      <c r="G107" s="3" t="s">
        <v>273</v>
      </c>
      <c r="H107" s="3" t="s">
        <v>1303</v>
      </c>
      <c r="I107" s="3" t="s">
        <v>1311</v>
      </c>
      <c r="J107" s="3" t="s">
        <v>21</v>
      </c>
      <c r="K107" s="2">
        <v>20</v>
      </c>
      <c r="L107" s="1">
        <v>40621</v>
      </c>
      <c r="M107" s="1">
        <v>812420</v>
      </c>
      <c r="N107" s="1">
        <v>15</v>
      </c>
      <c r="O107" s="1">
        <v>121863</v>
      </c>
    </row>
    <row r="108" spans="1:15">
      <c r="A108" s="6">
        <v>2025</v>
      </c>
      <c r="B108" s="7">
        <v>12</v>
      </c>
      <c r="C108" s="8">
        <v>46009</v>
      </c>
      <c r="D108" s="3" t="s">
        <v>1456</v>
      </c>
      <c r="E108" s="3" t="s">
        <v>1457</v>
      </c>
      <c r="F108" s="3" t="s">
        <v>272</v>
      </c>
      <c r="G108" s="3" t="s">
        <v>273</v>
      </c>
      <c r="H108" s="3" t="s">
        <v>1303</v>
      </c>
      <c r="I108" s="3" t="s">
        <v>1458</v>
      </c>
      <c r="J108" s="3" t="s">
        <v>21</v>
      </c>
      <c r="K108" s="2">
        <v>90</v>
      </c>
      <c r="L108" s="1">
        <v>40621</v>
      </c>
      <c r="M108" s="1">
        <v>3655890</v>
      </c>
      <c r="N108" s="1">
        <v>15</v>
      </c>
      <c r="O108" s="1">
        <v>548383.5</v>
      </c>
    </row>
    <row r="109" spans="1:15">
      <c r="A109" s="6">
        <v>2025</v>
      </c>
      <c r="B109" s="7">
        <v>12</v>
      </c>
      <c r="C109" s="8">
        <v>46009</v>
      </c>
      <c r="D109" s="3" t="s">
        <v>1459</v>
      </c>
      <c r="E109" s="3" t="s">
        <v>1460</v>
      </c>
      <c r="F109" s="3" t="s">
        <v>272</v>
      </c>
      <c r="G109" s="3" t="s">
        <v>273</v>
      </c>
      <c r="H109" s="3" t="s">
        <v>1303</v>
      </c>
      <c r="I109" s="3" t="s">
        <v>1330</v>
      </c>
      <c r="J109" s="3" t="s">
        <v>21</v>
      </c>
      <c r="K109" s="2">
        <v>100</v>
      </c>
      <c r="L109" s="1">
        <v>40621</v>
      </c>
      <c r="M109" s="1">
        <v>4062100</v>
      </c>
      <c r="N109" s="1">
        <v>15</v>
      </c>
      <c r="O109" s="1">
        <v>609315</v>
      </c>
    </row>
    <row r="110" spans="1:15">
      <c r="A110" s="6">
        <v>2025</v>
      </c>
      <c r="B110" s="7">
        <v>12</v>
      </c>
      <c r="C110" s="8">
        <v>46013</v>
      </c>
      <c r="D110" s="3" t="s">
        <v>1461</v>
      </c>
      <c r="E110" s="3" t="s">
        <v>1462</v>
      </c>
      <c r="F110" s="3" t="s">
        <v>272</v>
      </c>
      <c r="G110" s="3" t="s">
        <v>273</v>
      </c>
      <c r="H110" s="3" t="s">
        <v>1303</v>
      </c>
      <c r="I110" s="3" t="s">
        <v>1445</v>
      </c>
      <c r="J110" s="3" t="s">
        <v>21</v>
      </c>
      <c r="K110" s="2">
        <v>30</v>
      </c>
      <c r="L110" s="1">
        <v>40621.300000000003</v>
      </c>
      <c r="M110" s="1">
        <v>1218639</v>
      </c>
      <c r="N110" s="1">
        <v>15</v>
      </c>
      <c r="O110" s="1">
        <v>182795.85</v>
      </c>
    </row>
    <row r="111" spans="1:15">
      <c r="A111" s="6">
        <v>2025</v>
      </c>
      <c r="B111" s="7">
        <v>12</v>
      </c>
      <c r="C111" s="8">
        <v>46013</v>
      </c>
      <c r="D111" s="3" t="s">
        <v>1463</v>
      </c>
      <c r="E111" s="3" t="s">
        <v>1457</v>
      </c>
      <c r="F111" s="3" t="s">
        <v>272</v>
      </c>
      <c r="G111" s="3" t="s">
        <v>273</v>
      </c>
      <c r="H111" s="3" t="s">
        <v>1303</v>
      </c>
      <c r="I111" s="3" t="s">
        <v>1458</v>
      </c>
      <c r="J111" s="3" t="s">
        <v>21</v>
      </c>
      <c r="K111" s="2">
        <v>30</v>
      </c>
      <c r="L111" s="1">
        <v>40621.300000000003</v>
      </c>
      <c r="M111" s="1">
        <v>1218639</v>
      </c>
      <c r="N111" s="1">
        <v>15</v>
      </c>
      <c r="O111" s="1">
        <v>182795.85</v>
      </c>
    </row>
    <row r="112" spans="1:15">
      <c r="A112" s="6">
        <v>2025</v>
      </c>
      <c r="B112" s="7">
        <v>12</v>
      </c>
      <c r="C112" s="8">
        <v>46013</v>
      </c>
      <c r="D112" s="3" t="s">
        <v>1464</v>
      </c>
      <c r="E112" s="3" t="s">
        <v>1343</v>
      </c>
      <c r="F112" s="3" t="s">
        <v>1343</v>
      </c>
      <c r="G112" s="3" t="s">
        <v>1343</v>
      </c>
      <c r="H112" s="3" t="s">
        <v>1303</v>
      </c>
      <c r="I112" s="3" t="s">
        <v>1344</v>
      </c>
      <c r="J112" s="3" t="s">
        <v>38</v>
      </c>
      <c r="K112" s="2">
        <v>200</v>
      </c>
      <c r="L112" s="1">
        <v>65000</v>
      </c>
      <c r="M112" s="1">
        <v>13000000</v>
      </c>
      <c r="N112" s="1">
        <v>2</v>
      </c>
      <c r="O112" s="1">
        <v>260000</v>
      </c>
    </row>
    <row r="113" spans="1:15">
      <c r="A113" s="6">
        <v>2025</v>
      </c>
      <c r="B113" s="7">
        <v>12</v>
      </c>
      <c r="C113" s="8">
        <v>46013</v>
      </c>
      <c r="D113" s="3" t="s">
        <v>1465</v>
      </c>
      <c r="E113" s="3" t="s">
        <v>863</v>
      </c>
      <c r="F113" s="3" t="s">
        <v>864</v>
      </c>
      <c r="G113" s="3" t="s">
        <v>273</v>
      </c>
      <c r="H113" s="3" t="s">
        <v>1303</v>
      </c>
      <c r="I113" s="3" t="s">
        <v>865</v>
      </c>
      <c r="J113" s="3" t="s">
        <v>38</v>
      </c>
      <c r="K113" s="2">
        <v>200</v>
      </c>
      <c r="L113" s="1">
        <v>58000</v>
      </c>
      <c r="M113" s="1">
        <v>11600000</v>
      </c>
      <c r="N113" s="1">
        <v>6</v>
      </c>
      <c r="O113" s="1">
        <v>696000</v>
      </c>
    </row>
    <row r="114" spans="1:15">
      <c r="A114" s="6">
        <v>2025</v>
      </c>
      <c r="B114" s="7">
        <v>12</v>
      </c>
      <c r="C114" s="8">
        <v>46014</v>
      </c>
      <c r="D114" s="3" t="s">
        <v>1466</v>
      </c>
      <c r="E114" s="3" t="s">
        <v>1318</v>
      </c>
      <c r="F114" s="3" t="s">
        <v>1319</v>
      </c>
      <c r="G114" s="3" t="s">
        <v>273</v>
      </c>
      <c r="H114" s="3" t="s">
        <v>1303</v>
      </c>
      <c r="I114" s="3" t="s">
        <v>1339</v>
      </c>
      <c r="J114" s="3" t="s">
        <v>41</v>
      </c>
      <c r="K114" s="2">
        <v>50</v>
      </c>
      <c r="L114" s="1">
        <v>90000</v>
      </c>
      <c r="M114" s="1">
        <v>4500000</v>
      </c>
      <c r="N114" s="1">
        <v>15</v>
      </c>
      <c r="O114" s="1">
        <v>675000</v>
      </c>
    </row>
    <row r="115" spans="1:15">
      <c r="A115" s="6">
        <v>2025</v>
      </c>
      <c r="B115" s="7">
        <v>12</v>
      </c>
      <c r="C115" s="8">
        <v>46015</v>
      </c>
      <c r="D115" s="3" t="s">
        <v>1467</v>
      </c>
      <c r="E115" s="3" t="s">
        <v>1468</v>
      </c>
      <c r="F115" s="3" t="s">
        <v>1359</v>
      </c>
      <c r="G115" s="3" t="s">
        <v>273</v>
      </c>
      <c r="H115" s="3" t="s">
        <v>1303</v>
      </c>
      <c r="I115" s="3" t="s">
        <v>1360</v>
      </c>
      <c r="J115" s="3" t="s">
        <v>466</v>
      </c>
      <c r="K115" s="2">
        <v>10</v>
      </c>
      <c r="L115" s="1">
        <v>120000</v>
      </c>
      <c r="M115" s="1">
        <v>1200000</v>
      </c>
      <c r="N115" s="1">
        <v>15</v>
      </c>
      <c r="O115" s="1">
        <v>180000</v>
      </c>
    </row>
    <row r="116" spans="1:15">
      <c r="A116" s="6">
        <v>2025</v>
      </c>
      <c r="B116" s="7">
        <v>12</v>
      </c>
      <c r="C116" s="8">
        <v>46015</v>
      </c>
      <c r="D116" s="3" t="s">
        <v>1469</v>
      </c>
      <c r="E116" s="3" t="s">
        <v>1343</v>
      </c>
      <c r="F116" s="3" t="s">
        <v>1343</v>
      </c>
      <c r="G116" s="3" t="s">
        <v>1343</v>
      </c>
      <c r="H116" s="3" t="s">
        <v>1303</v>
      </c>
      <c r="I116" s="3" t="s">
        <v>1344</v>
      </c>
      <c r="J116" s="3" t="s">
        <v>466</v>
      </c>
      <c r="K116" s="2">
        <v>100</v>
      </c>
      <c r="L116" s="1">
        <v>120000</v>
      </c>
      <c r="M116" s="1">
        <v>12000000</v>
      </c>
      <c r="N116" s="1">
        <v>2</v>
      </c>
      <c r="O116" s="1">
        <v>240000</v>
      </c>
    </row>
    <row r="117" spans="1:15">
      <c r="A117" s="6">
        <v>2025</v>
      </c>
      <c r="B117" s="7">
        <v>12</v>
      </c>
      <c r="C117" s="8">
        <v>46015</v>
      </c>
      <c r="D117" s="3" t="s">
        <v>1470</v>
      </c>
      <c r="E117" s="3" t="s">
        <v>863</v>
      </c>
      <c r="F117" s="3" t="s">
        <v>864</v>
      </c>
      <c r="G117" s="3" t="s">
        <v>273</v>
      </c>
      <c r="H117" s="3" t="s">
        <v>1303</v>
      </c>
      <c r="I117" s="3" t="s">
        <v>865</v>
      </c>
      <c r="J117" s="3" t="s">
        <v>466</v>
      </c>
      <c r="K117" s="2">
        <v>100</v>
      </c>
      <c r="L117" s="1">
        <v>105000</v>
      </c>
      <c r="M117" s="1">
        <v>10500000</v>
      </c>
      <c r="N117" s="1">
        <v>6</v>
      </c>
      <c r="O117" s="1">
        <v>630000</v>
      </c>
    </row>
    <row r="118" spans="1:15">
      <c r="A118" s="6">
        <v>2025</v>
      </c>
      <c r="B118" s="7">
        <v>12</v>
      </c>
      <c r="C118" s="8">
        <v>46016</v>
      </c>
      <c r="D118" s="3" t="s">
        <v>1471</v>
      </c>
      <c r="E118" s="3" t="s">
        <v>1314</v>
      </c>
      <c r="F118" s="3" t="s">
        <v>1314</v>
      </c>
      <c r="G118" s="3" t="s">
        <v>1314</v>
      </c>
      <c r="H118" s="3" t="s">
        <v>1303</v>
      </c>
      <c r="I118" s="3" t="s">
        <v>957</v>
      </c>
      <c r="J118" s="3" t="s">
        <v>41</v>
      </c>
      <c r="K118" s="1">
        <v>1000</v>
      </c>
      <c r="L118" s="1">
        <v>90000</v>
      </c>
      <c r="M118" s="1">
        <v>90000000</v>
      </c>
      <c r="N118" s="1">
        <v>2</v>
      </c>
      <c r="O118" s="1">
        <v>1800000</v>
      </c>
    </row>
    <row r="119" spans="1:15">
      <c r="A119" s="6">
        <v>2025</v>
      </c>
      <c r="B119" s="7">
        <v>12</v>
      </c>
      <c r="C119" s="8">
        <v>46016</v>
      </c>
      <c r="D119" s="3" t="s">
        <v>1472</v>
      </c>
      <c r="E119" s="3" t="s">
        <v>284</v>
      </c>
      <c r="F119" s="3" t="s">
        <v>281</v>
      </c>
      <c r="G119" s="3" t="s">
        <v>273</v>
      </c>
      <c r="H119" s="3" t="s">
        <v>1303</v>
      </c>
      <c r="I119" s="3" t="s">
        <v>25</v>
      </c>
      <c r="J119" s="3" t="s">
        <v>21</v>
      </c>
      <c r="K119" s="2">
        <v>20</v>
      </c>
      <c r="L119" s="1">
        <v>40621</v>
      </c>
      <c r="M119" s="1">
        <v>812420</v>
      </c>
      <c r="N119" s="1">
        <v>10</v>
      </c>
      <c r="O119" s="1">
        <v>81242</v>
      </c>
    </row>
    <row r="120" spans="1:15">
      <c r="A120" s="6">
        <v>2025</v>
      </c>
      <c r="B120" s="7">
        <v>12</v>
      </c>
      <c r="C120" s="8">
        <v>46016</v>
      </c>
      <c r="D120" s="3" t="s">
        <v>1472</v>
      </c>
      <c r="E120" s="3" t="s">
        <v>284</v>
      </c>
      <c r="F120" s="3" t="s">
        <v>281</v>
      </c>
      <c r="G120" s="3" t="s">
        <v>273</v>
      </c>
      <c r="H120" s="3" t="s">
        <v>1303</v>
      </c>
      <c r="I120" s="3" t="s">
        <v>25</v>
      </c>
      <c r="J120" s="3" t="s">
        <v>21</v>
      </c>
      <c r="K120" s="2">
        <v>80</v>
      </c>
      <c r="L120" s="1">
        <v>40621</v>
      </c>
      <c r="M120" s="1">
        <v>3249680</v>
      </c>
      <c r="N120" s="1">
        <v>10</v>
      </c>
      <c r="O120" s="1">
        <v>324968</v>
      </c>
    </row>
    <row r="121" spans="1:15">
      <c r="A121" s="6">
        <v>2025</v>
      </c>
      <c r="B121" s="7">
        <v>12</v>
      </c>
      <c r="C121" s="8">
        <v>46016</v>
      </c>
      <c r="D121" s="3" t="s">
        <v>1473</v>
      </c>
      <c r="E121" s="3" t="s">
        <v>284</v>
      </c>
      <c r="F121" s="3" t="s">
        <v>281</v>
      </c>
      <c r="G121" s="3" t="s">
        <v>273</v>
      </c>
      <c r="H121" s="3" t="s">
        <v>1303</v>
      </c>
      <c r="I121" s="3" t="s">
        <v>492</v>
      </c>
      <c r="J121" s="3" t="s">
        <v>21</v>
      </c>
      <c r="K121" s="2">
        <v>50</v>
      </c>
      <c r="L121" s="1">
        <v>40621</v>
      </c>
      <c r="M121" s="1">
        <v>2031050</v>
      </c>
      <c r="N121" s="1">
        <v>15</v>
      </c>
      <c r="O121" s="1">
        <v>304657.5</v>
      </c>
    </row>
    <row r="122" spans="1:15">
      <c r="A122" s="6">
        <v>2025</v>
      </c>
      <c r="B122" s="7">
        <v>12</v>
      </c>
      <c r="C122" s="8">
        <v>46016</v>
      </c>
      <c r="D122" s="3" t="s">
        <v>1473</v>
      </c>
      <c r="E122" s="3" t="s">
        <v>284</v>
      </c>
      <c r="F122" s="3" t="s">
        <v>281</v>
      </c>
      <c r="G122" s="3" t="s">
        <v>273</v>
      </c>
      <c r="H122" s="3" t="s">
        <v>1303</v>
      </c>
      <c r="I122" s="3" t="s">
        <v>492</v>
      </c>
      <c r="J122" s="3" t="s">
        <v>466</v>
      </c>
      <c r="K122" s="2">
        <v>20</v>
      </c>
      <c r="L122" s="1">
        <v>120000</v>
      </c>
      <c r="M122" s="1">
        <v>2400000</v>
      </c>
      <c r="N122" s="1">
        <v>15</v>
      </c>
      <c r="O122" s="1">
        <v>360000</v>
      </c>
    </row>
    <row r="123" spans="1:15">
      <c r="A123" s="6">
        <v>2025</v>
      </c>
      <c r="B123" s="7">
        <v>12</v>
      </c>
      <c r="C123" s="8">
        <v>46017</v>
      </c>
      <c r="D123" s="3" t="s">
        <v>1474</v>
      </c>
      <c r="E123" s="3" t="s">
        <v>1383</v>
      </c>
      <c r="F123" s="3" t="s">
        <v>1280</v>
      </c>
      <c r="G123" s="3" t="s">
        <v>273</v>
      </c>
      <c r="H123" s="3" t="s">
        <v>1303</v>
      </c>
      <c r="I123" s="3" t="s">
        <v>1294</v>
      </c>
      <c r="J123" s="3" t="s">
        <v>466</v>
      </c>
      <c r="K123" s="2">
        <v>50</v>
      </c>
      <c r="L123" s="1">
        <v>120000</v>
      </c>
      <c r="M123" s="1">
        <v>6000000</v>
      </c>
      <c r="N123" s="1">
        <v>15</v>
      </c>
      <c r="O123" s="1">
        <v>900000</v>
      </c>
    </row>
    <row r="124" spans="1:15">
      <c r="A124" s="6">
        <v>2025</v>
      </c>
      <c r="B124" s="7">
        <v>12</v>
      </c>
      <c r="C124" s="8">
        <v>46017</v>
      </c>
      <c r="D124" s="3" t="s">
        <v>1475</v>
      </c>
      <c r="E124" s="3" t="s">
        <v>1462</v>
      </c>
      <c r="F124" s="3" t="s">
        <v>272</v>
      </c>
      <c r="G124" s="3" t="s">
        <v>273</v>
      </c>
      <c r="H124" s="3" t="s">
        <v>1303</v>
      </c>
      <c r="I124" s="3" t="s">
        <v>1426</v>
      </c>
      <c r="J124" s="3" t="s">
        <v>21</v>
      </c>
      <c r="K124" s="2">
        <v>50</v>
      </c>
      <c r="L124" s="1">
        <v>40621.300000000003</v>
      </c>
      <c r="M124" s="1">
        <v>2031065</v>
      </c>
      <c r="N124" s="1">
        <v>15</v>
      </c>
      <c r="O124" s="1">
        <v>304659.75</v>
      </c>
    </row>
    <row r="125" spans="1:15">
      <c r="A125" s="6">
        <v>2025</v>
      </c>
      <c r="B125" s="7">
        <v>12</v>
      </c>
      <c r="C125" s="8">
        <v>46021</v>
      </c>
      <c r="D125" s="3" t="s">
        <v>1476</v>
      </c>
      <c r="E125" s="3" t="s">
        <v>1451</v>
      </c>
      <c r="F125" s="3" t="s">
        <v>1264</v>
      </c>
      <c r="G125" s="3" t="s">
        <v>273</v>
      </c>
      <c r="H125" s="3" t="s">
        <v>1303</v>
      </c>
      <c r="I125" s="3" t="s">
        <v>1265</v>
      </c>
      <c r="J125" s="3" t="s">
        <v>38</v>
      </c>
      <c r="K125" s="2">
        <v>20</v>
      </c>
      <c r="L125" s="1">
        <v>65000</v>
      </c>
      <c r="M125" s="1">
        <v>1300000</v>
      </c>
      <c r="N125" s="1">
        <v>15</v>
      </c>
      <c r="O125" s="1">
        <v>195000</v>
      </c>
    </row>
    <row r="126" spans="1:15">
      <c r="A126" s="6">
        <v>2025</v>
      </c>
      <c r="B126" s="7">
        <v>12</v>
      </c>
      <c r="C126" s="8">
        <v>46021</v>
      </c>
      <c r="D126" s="3" t="s">
        <v>1477</v>
      </c>
      <c r="E126" s="3" t="s">
        <v>284</v>
      </c>
      <c r="F126" s="3" t="s">
        <v>281</v>
      </c>
      <c r="G126" s="3" t="s">
        <v>273</v>
      </c>
      <c r="H126" s="3" t="s">
        <v>1303</v>
      </c>
      <c r="I126" s="3" t="s">
        <v>25</v>
      </c>
      <c r="J126" s="3" t="s">
        <v>21</v>
      </c>
      <c r="K126" s="2">
        <v>30</v>
      </c>
      <c r="L126" s="1">
        <v>40621</v>
      </c>
      <c r="M126" s="1">
        <v>1218630</v>
      </c>
      <c r="N126" s="1">
        <v>10</v>
      </c>
      <c r="O126" s="1">
        <v>121863</v>
      </c>
    </row>
    <row r="127" spans="1:15">
      <c r="A127" s="6">
        <v>2025</v>
      </c>
      <c r="B127" s="7">
        <v>12</v>
      </c>
      <c r="C127" s="8">
        <v>46021</v>
      </c>
      <c r="D127" s="3" t="s">
        <v>1477</v>
      </c>
      <c r="E127" s="3" t="s">
        <v>284</v>
      </c>
      <c r="F127" s="3" t="s">
        <v>281</v>
      </c>
      <c r="G127" s="3" t="s">
        <v>273</v>
      </c>
      <c r="H127" s="3" t="s">
        <v>1303</v>
      </c>
      <c r="I127" s="3" t="s">
        <v>25</v>
      </c>
      <c r="J127" s="3" t="s">
        <v>21</v>
      </c>
      <c r="K127" s="2">
        <v>70</v>
      </c>
      <c r="L127" s="1">
        <v>40621</v>
      </c>
      <c r="M127" s="1">
        <v>2843470</v>
      </c>
      <c r="N127" s="1">
        <v>10</v>
      </c>
      <c r="O127" s="1">
        <v>284347</v>
      </c>
    </row>
    <row r="128" spans="1:15">
      <c r="A128" s="6">
        <v>2026</v>
      </c>
      <c r="B128" s="7">
        <v>1</v>
      </c>
      <c r="C128" s="8">
        <v>46027</v>
      </c>
      <c r="D128" s="3" t="s">
        <v>1478</v>
      </c>
      <c r="E128" s="3" t="s">
        <v>1462</v>
      </c>
      <c r="F128" s="3" t="s">
        <v>272</v>
      </c>
      <c r="G128" s="3" t="s">
        <v>273</v>
      </c>
      <c r="H128" s="3" t="s">
        <v>1303</v>
      </c>
      <c r="I128" s="3" t="s">
        <v>1445</v>
      </c>
      <c r="J128" s="3" t="s">
        <v>21</v>
      </c>
      <c r="K128" s="2">
        <v>30</v>
      </c>
      <c r="L128" s="1">
        <v>40621.300000000003</v>
      </c>
      <c r="M128" s="1">
        <v>1218639</v>
      </c>
      <c r="N128" s="1">
        <v>15</v>
      </c>
      <c r="O128" s="1">
        <v>182795.85</v>
      </c>
    </row>
    <row r="129" spans="1:15">
      <c r="A129" s="6">
        <v>2026</v>
      </c>
      <c r="B129" s="7">
        <v>1</v>
      </c>
      <c r="C129" s="8">
        <v>46027</v>
      </c>
      <c r="D129" s="3" t="s">
        <v>1479</v>
      </c>
      <c r="E129" s="3" t="s">
        <v>1462</v>
      </c>
      <c r="F129" s="3" t="s">
        <v>272</v>
      </c>
      <c r="G129" s="3" t="s">
        <v>273</v>
      </c>
      <c r="H129" s="3" t="s">
        <v>1303</v>
      </c>
      <c r="I129" s="3" t="s">
        <v>1458</v>
      </c>
      <c r="J129" s="3" t="s">
        <v>21</v>
      </c>
      <c r="K129" s="2">
        <v>120</v>
      </c>
      <c r="L129" s="1">
        <v>40621.300000000003</v>
      </c>
      <c r="M129" s="1">
        <v>4874556</v>
      </c>
      <c r="N129" s="1">
        <v>15</v>
      </c>
      <c r="O129" s="1">
        <v>731183.4</v>
      </c>
    </row>
    <row r="130" spans="1:15">
      <c r="A130" s="6">
        <v>2026</v>
      </c>
      <c r="B130" s="7">
        <v>1</v>
      </c>
      <c r="C130" s="8">
        <v>46027</v>
      </c>
      <c r="D130" s="3" t="s">
        <v>1480</v>
      </c>
      <c r="E130" s="3" t="s">
        <v>893</v>
      </c>
      <c r="F130" s="3" t="s">
        <v>894</v>
      </c>
      <c r="G130" s="3" t="s">
        <v>273</v>
      </c>
      <c r="H130" s="3" t="s">
        <v>1303</v>
      </c>
      <c r="I130" s="3" t="s">
        <v>1351</v>
      </c>
      <c r="J130" s="3" t="s">
        <v>38</v>
      </c>
      <c r="K130" s="2">
        <v>20</v>
      </c>
      <c r="L130" s="1">
        <v>65000</v>
      </c>
      <c r="M130" s="1">
        <v>1300000</v>
      </c>
      <c r="N130" s="1">
        <v>15</v>
      </c>
      <c r="O130" s="1">
        <v>195000</v>
      </c>
    </row>
    <row r="131" spans="1:15">
      <c r="A131" s="6">
        <v>2026</v>
      </c>
      <c r="B131" s="7">
        <v>1</v>
      </c>
      <c r="C131" s="8">
        <v>46027</v>
      </c>
      <c r="D131" s="3" t="s">
        <v>1480</v>
      </c>
      <c r="E131" s="3" t="s">
        <v>893</v>
      </c>
      <c r="F131" s="3" t="s">
        <v>894</v>
      </c>
      <c r="G131" s="3" t="s">
        <v>273</v>
      </c>
      <c r="H131" s="3" t="s">
        <v>1303</v>
      </c>
      <c r="I131" s="3" t="s">
        <v>1351</v>
      </c>
      <c r="J131" s="3" t="s">
        <v>41</v>
      </c>
      <c r="K131" s="2">
        <v>50</v>
      </c>
      <c r="L131" s="1">
        <v>90000</v>
      </c>
      <c r="M131" s="1">
        <v>4500000</v>
      </c>
      <c r="N131" s="1">
        <v>15</v>
      </c>
      <c r="O131" s="1">
        <v>675000</v>
      </c>
    </row>
    <row r="132" spans="1:15">
      <c r="A132" s="6">
        <v>2026</v>
      </c>
      <c r="B132" s="7">
        <v>1</v>
      </c>
      <c r="C132" s="8">
        <v>46028</v>
      </c>
      <c r="D132" s="3" t="s">
        <v>1481</v>
      </c>
      <c r="E132" s="3" t="s">
        <v>1302</v>
      </c>
      <c r="F132" s="3" t="s">
        <v>272</v>
      </c>
      <c r="G132" s="3" t="s">
        <v>273</v>
      </c>
      <c r="H132" s="3" t="s">
        <v>1303</v>
      </c>
      <c r="I132" s="3" t="s">
        <v>483</v>
      </c>
      <c r="J132" s="3" t="s">
        <v>466</v>
      </c>
      <c r="K132" s="2">
        <v>200</v>
      </c>
      <c r="L132" s="1">
        <v>120000</v>
      </c>
      <c r="M132" s="1">
        <v>24000000</v>
      </c>
      <c r="N132" s="1">
        <v>15</v>
      </c>
      <c r="O132" s="1">
        <v>3600000</v>
      </c>
    </row>
    <row r="133" spans="1:15">
      <c r="A133" s="6">
        <v>2026</v>
      </c>
      <c r="B133" s="7">
        <v>1</v>
      </c>
      <c r="C133" s="8">
        <v>46028</v>
      </c>
      <c r="D133" s="3" t="s">
        <v>1482</v>
      </c>
      <c r="E133" s="3" t="s">
        <v>1302</v>
      </c>
      <c r="F133" s="3" t="s">
        <v>272</v>
      </c>
      <c r="G133" s="3" t="s">
        <v>273</v>
      </c>
      <c r="H133" s="3" t="s">
        <v>1303</v>
      </c>
      <c r="I133" s="3" t="s">
        <v>1316</v>
      </c>
      <c r="J133" s="3" t="s">
        <v>21</v>
      </c>
      <c r="K133" s="2">
        <v>240</v>
      </c>
      <c r="L133" s="1">
        <v>40621.300000000003</v>
      </c>
      <c r="M133" s="1">
        <v>9749112</v>
      </c>
      <c r="N133" s="1">
        <v>15</v>
      </c>
      <c r="O133" s="1">
        <v>1462366.8</v>
      </c>
    </row>
    <row r="134" spans="1:15">
      <c r="A134" s="6">
        <v>2026</v>
      </c>
      <c r="B134" s="7">
        <v>1</v>
      </c>
      <c r="C134" s="8">
        <v>46031</v>
      </c>
      <c r="D134" s="3" t="s">
        <v>1483</v>
      </c>
      <c r="E134" s="3" t="s">
        <v>1343</v>
      </c>
      <c r="F134" s="3" t="s">
        <v>1343</v>
      </c>
      <c r="G134" s="3" t="s">
        <v>1343</v>
      </c>
      <c r="H134" s="3" t="s">
        <v>1303</v>
      </c>
      <c r="I134" s="3" t="s">
        <v>1344</v>
      </c>
      <c r="J134" s="3" t="s">
        <v>41</v>
      </c>
      <c r="K134" s="2">
        <v>200</v>
      </c>
      <c r="L134" s="1">
        <v>90000</v>
      </c>
      <c r="M134" s="1">
        <v>18000000</v>
      </c>
      <c r="N134" s="1">
        <v>2</v>
      </c>
      <c r="O134" s="1">
        <v>360000</v>
      </c>
    </row>
    <row r="135" spans="1:15">
      <c r="A135" s="6">
        <v>2026</v>
      </c>
      <c r="B135" s="7">
        <v>1</v>
      </c>
      <c r="C135" s="8">
        <v>46031</v>
      </c>
      <c r="D135" s="3" t="s">
        <v>1484</v>
      </c>
      <c r="E135" s="3" t="s">
        <v>863</v>
      </c>
      <c r="F135" s="3" t="s">
        <v>864</v>
      </c>
      <c r="G135" s="3" t="s">
        <v>273</v>
      </c>
      <c r="H135" s="3" t="s">
        <v>1303</v>
      </c>
      <c r="I135" s="3" t="s">
        <v>1485</v>
      </c>
      <c r="J135" s="3" t="s">
        <v>41</v>
      </c>
      <c r="K135" s="2">
        <v>200</v>
      </c>
      <c r="L135" s="1">
        <v>34500</v>
      </c>
      <c r="M135" s="1">
        <v>6900000</v>
      </c>
      <c r="N135" s="1">
        <v>5</v>
      </c>
      <c r="O135" s="1">
        <v>345000</v>
      </c>
    </row>
    <row r="136" spans="1:15">
      <c r="A136" s="6">
        <v>2026</v>
      </c>
      <c r="B136" s="7">
        <v>1</v>
      </c>
      <c r="C136" s="8">
        <v>46031</v>
      </c>
      <c r="D136" s="3" t="s">
        <v>1486</v>
      </c>
      <c r="E136" s="3" t="s">
        <v>1302</v>
      </c>
      <c r="F136" s="3" t="s">
        <v>272</v>
      </c>
      <c r="G136" s="3" t="s">
        <v>273</v>
      </c>
      <c r="H136" s="3" t="s">
        <v>1303</v>
      </c>
      <c r="I136" s="3" t="s">
        <v>1487</v>
      </c>
      <c r="J136" s="3" t="s">
        <v>41</v>
      </c>
      <c r="K136" s="2">
        <v>30</v>
      </c>
      <c r="L136" s="1">
        <v>90000</v>
      </c>
      <c r="M136" s="1">
        <v>2700000</v>
      </c>
      <c r="N136" s="1">
        <v>15</v>
      </c>
      <c r="O136" s="1">
        <v>405000</v>
      </c>
    </row>
    <row r="137" spans="1:15">
      <c r="A137" s="6">
        <v>2026</v>
      </c>
      <c r="B137" s="7">
        <v>1</v>
      </c>
      <c r="C137" s="8">
        <v>46031</v>
      </c>
      <c r="D137" s="3" t="s">
        <v>1488</v>
      </c>
      <c r="E137" s="3" t="s">
        <v>1489</v>
      </c>
      <c r="F137" s="3" t="s">
        <v>1291</v>
      </c>
      <c r="G137" s="3" t="s">
        <v>273</v>
      </c>
      <c r="H137" s="3" t="s">
        <v>1303</v>
      </c>
      <c r="I137" s="3" t="s">
        <v>1490</v>
      </c>
      <c r="J137" s="3" t="s">
        <v>38</v>
      </c>
      <c r="K137" s="2">
        <v>100</v>
      </c>
      <c r="L137" s="1">
        <v>65000</v>
      </c>
      <c r="M137" s="1">
        <v>6500000</v>
      </c>
      <c r="N137" s="1">
        <v>15</v>
      </c>
      <c r="O137" s="1">
        <v>975000</v>
      </c>
    </row>
    <row r="138" spans="1:15">
      <c r="A138" s="6">
        <v>2026</v>
      </c>
      <c r="B138" s="7">
        <v>1</v>
      </c>
      <c r="C138" s="8">
        <v>46031</v>
      </c>
      <c r="D138" s="3" t="s">
        <v>1491</v>
      </c>
      <c r="E138" s="3" t="s">
        <v>284</v>
      </c>
      <c r="F138" s="3" t="s">
        <v>281</v>
      </c>
      <c r="G138" s="3" t="s">
        <v>273</v>
      </c>
      <c r="H138" s="3" t="s">
        <v>1303</v>
      </c>
      <c r="I138" s="3" t="s">
        <v>1492</v>
      </c>
      <c r="J138" s="3" t="s">
        <v>21</v>
      </c>
      <c r="K138" s="2">
        <v>100</v>
      </c>
      <c r="L138" s="1">
        <v>40621</v>
      </c>
      <c r="M138" s="1">
        <v>4062100</v>
      </c>
      <c r="N138" s="1">
        <v>10</v>
      </c>
      <c r="O138" s="1">
        <v>406210</v>
      </c>
    </row>
    <row r="139" spans="1:15">
      <c r="A139" s="6">
        <v>2026</v>
      </c>
      <c r="B139" s="7">
        <v>1</v>
      </c>
      <c r="C139" s="8">
        <v>46034</v>
      </c>
      <c r="D139" s="3" t="s">
        <v>1478</v>
      </c>
      <c r="E139" s="3" t="s">
        <v>893</v>
      </c>
      <c r="F139" s="3" t="s">
        <v>894</v>
      </c>
      <c r="G139" s="3" t="s">
        <v>273</v>
      </c>
      <c r="H139" s="3" t="s">
        <v>1303</v>
      </c>
      <c r="I139" s="3" t="s">
        <v>1353</v>
      </c>
      <c r="J139" s="3" t="s">
        <v>41</v>
      </c>
      <c r="K139" s="2">
        <v>-149</v>
      </c>
      <c r="L139" s="1">
        <v>90000</v>
      </c>
      <c r="M139" s="1">
        <v>-13410000</v>
      </c>
      <c r="N139" s="1">
        <v>15</v>
      </c>
      <c r="O139" s="1">
        <v>2011500</v>
      </c>
    </row>
    <row r="140" spans="1:15">
      <c r="A140" s="6">
        <v>2026</v>
      </c>
      <c r="B140" s="7">
        <v>1</v>
      </c>
      <c r="C140" s="8">
        <v>46034</v>
      </c>
      <c r="D140" s="3" t="s">
        <v>1493</v>
      </c>
      <c r="E140" s="3" t="s">
        <v>1494</v>
      </c>
      <c r="F140" s="3" t="s">
        <v>864</v>
      </c>
      <c r="G140" s="3" t="s">
        <v>273</v>
      </c>
      <c r="H140" s="3" t="s">
        <v>1303</v>
      </c>
      <c r="I140" s="3" t="s">
        <v>865</v>
      </c>
      <c r="J140" s="3" t="s">
        <v>41</v>
      </c>
      <c r="K140" s="2">
        <v>200</v>
      </c>
      <c r="L140" s="1">
        <v>90000</v>
      </c>
      <c r="M140" s="1">
        <v>18000000</v>
      </c>
      <c r="N140" s="1">
        <v>5</v>
      </c>
      <c r="O140" s="1">
        <v>900000</v>
      </c>
    </row>
    <row r="141" spans="1:15">
      <c r="A141" s="6">
        <v>2026</v>
      </c>
      <c r="B141" s="7">
        <v>1</v>
      </c>
      <c r="C141" s="8">
        <v>46034</v>
      </c>
      <c r="D141" s="3" t="s">
        <v>1495</v>
      </c>
      <c r="E141" s="3" t="s">
        <v>994</v>
      </c>
      <c r="F141" s="3" t="s">
        <v>272</v>
      </c>
      <c r="G141" s="3" t="s">
        <v>273</v>
      </c>
      <c r="H141" s="3" t="s">
        <v>1303</v>
      </c>
      <c r="I141" s="3" t="s">
        <v>913</v>
      </c>
      <c r="J141" s="3" t="s">
        <v>41</v>
      </c>
      <c r="K141" s="2">
        <v>40</v>
      </c>
      <c r="L141" s="1">
        <v>90000</v>
      </c>
      <c r="M141" s="1">
        <v>3600000</v>
      </c>
      <c r="N141" s="1">
        <v>15</v>
      </c>
      <c r="O141" s="1">
        <v>540000</v>
      </c>
    </row>
    <row r="142" spans="1:15">
      <c r="A142" s="6">
        <v>2026</v>
      </c>
      <c r="B142" s="7">
        <v>1</v>
      </c>
      <c r="C142" s="8">
        <v>46034</v>
      </c>
      <c r="D142" s="3" t="s">
        <v>1496</v>
      </c>
      <c r="E142" s="3" t="s">
        <v>1462</v>
      </c>
      <c r="F142" s="3" t="s">
        <v>272</v>
      </c>
      <c r="G142" s="3" t="s">
        <v>273</v>
      </c>
      <c r="H142" s="3" t="s">
        <v>1303</v>
      </c>
      <c r="I142" s="3" t="s">
        <v>1445</v>
      </c>
      <c r="J142" s="3" t="s">
        <v>21</v>
      </c>
      <c r="K142" s="2">
        <v>30</v>
      </c>
      <c r="L142" s="1">
        <v>40621.300000000003</v>
      </c>
      <c r="M142" s="1">
        <v>1218639</v>
      </c>
      <c r="N142" s="1">
        <v>15</v>
      </c>
      <c r="O142" s="1">
        <v>182795.85</v>
      </c>
    </row>
    <row r="143" spans="1:15">
      <c r="A143" s="6">
        <v>2026</v>
      </c>
      <c r="B143" s="7">
        <v>1</v>
      </c>
      <c r="C143" s="8">
        <v>46034</v>
      </c>
      <c r="D143" s="3" t="s">
        <v>1497</v>
      </c>
      <c r="E143" s="3" t="s">
        <v>1343</v>
      </c>
      <c r="F143" s="3" t="s">
        <v>1343</v>
      </c>
      <c r="G143" s="3" t="s">
        <v>1343</v>
      </c>
      <c r="H143" s="3" t="s">
        <v>1303</v>
      </c>
      <c r="I143" s="3" t="s">
        <v>1344</v>
      </c>
      <c r="J143" s="3" t="s">
        <v>21</v>
      </c>
      <c r="K143" s="2">
        <v>100</v>
      </c>
      <c r="L143" s="1">
        <v>40621</v>
      </c>
      <c r="M143" s="1">
        <v>4062100</v>
      </c>
      <c r="N143" s="1">
        <v>3</v>
      </c>
      <c r="O143" s="1">
        <v>121863</v>
      </c>
    </row>
    <row r="144" spans="1:15">
      <c r="A144" s="6">
        <v>2026</v>
      </c>
      <c r="B144" s="7">
        <v>1</v>
      </c>
      <c r="C144" s="8">
        <v>46034</v>
      </c>
      <c r="D144" s="3" t="s">
        <v>1498</v>
      </c>
      <c r="E144" s="3" t="s">
        <v>265</v>
      </c>
      <c r="F144" s="3" t="s">
        <v>1499</v>
      </c>
      <c r="G144" s="3" t="s">
        <v>273</v>
      </c>
      <c r="H144" s="3" t="s">
        <v>1303</v>
      </c>
      <c r="I144" s="3" t="s">
        <v>1500</v>
      </c>
      <c r="J144" s="3" t="s">
        <v>21</v>
      </c>
      <c r="K144" s="2">
        <v>100</v>
      </c>
      <c r="L144" s="1">
        <v>14000</v>
      </c>
      <c r="M144" s="1">
        <v>1400000</v>
      </c>
      <c r="N144" s="1">
        <v>15</v>
      </c>
      <c r="O144" s="1">
        <v>210000</v>
      </c>
    </row>
    <row r="145" spans="1:15">
      <c r="A145" s="6">
        <v>2026</v>
      </c>
      <c r="B145" s="7">
        <v>1</v>
      </c>
      <c r="C145" s="8">
        <v>46035</v>
      </c>
      <c r="D145" s="3" t="s">
        <v>1501</v>
      </c>
      <c r="E145" s="3" t="s">
        <v>1302</v>
      </c>
      <c r="F145" s="3" t="s">
        <v>272</v>
      </c>
      <c r="G145" s="3" t="s">
        <v>273</v>
      </c>
      <c r="H145" s="3" t="s">
        <v>1303</v>
      </c>
      <c r="I145" s="3" t="s">
        <v>983</v>
      </c>
      <c r="J145" s="3" t="s">
        <v>41</v>
      </c>
      <c r="K145" s="2">
        <v>30</v>
      </c>
      <c r="L145" s="1">
        <v>90000</v>
      </c>
      <c r="M145" s="1">
        <v>2700000</v>
      </c>
      <c r="N145" s="1">
        <v>15</v>
      </c>
      <c r="O145" s="1">
        <v>405000</v>
      </c>
    </row>
    <row r="146" spans="1:15">
      <c r="A146" s="6">
        <v>2026</v>
      </c>
      <c r="B146" s="7">
        <v>1</v>
      </c>
      <c r="C146" s="8">
        <v>46035</v>
      </c>
      <c r="D146" s="3" t="s">
        <v>1501</v>
      </c>
      <c r="E146" s="3" t="s">
        <v>1302</v>
      </c>
      <c r="F146" s="3" t="s">
        <v>272</v>
      </c>
      <c r="G146" s="3" t="s">
        <v>273</v>
      </c>
      <c r="H146" s="3" t="s">
        <v>1303</v>
      </c>
      <c r="I146" s="3" t="s">
        <v>983</v>
      </c>
      <c r="J146" s="3" t="s">
        <v>38</v>
      </c>
      <c r="K146" s="2">
        <v>30</v>
      </c>
      <c r="L146" s="1">
        <v>65000</v>
      </c>
      <c r="M146" s="1">
        <v>1950000</v>
      </c>
      <c r="N146" s="1">
        <v>15</v>
      </c>
      <c r="O146" s="1">
        <v>292500</v>
      </c>
    </row>
    <row r="147" spans="1:15">
      <c r="A147" s="6">
        <v>2026</v>
      </c>
      <c r="B147" s="7">
        <v>1</v>
      </c>
      <c r="C147" s="8">
        <v>46035</v>
      </c>
      <c r="D147" s="3" t="s">
        <v>1501</v>
      </c>
      <c r="E147" s="3" t="s">
        <v>1302</v>
      </c>
      <c r="F147" s="3" t="s">
        <v>272</v>
      </c>
      <c r="G147" s="3" t="s">
        <v>273</v>
      </c>
      <c r="H147" s="3" t="s">
        <v>1303</v>
      </c>
      <c r="I147" s="3" t="s">
        <v>983</v>
      </c>
      <c r="J147" s="3" t="s">
        <v>466</v>
      </c>
      <c r="K147" s="2">
        <v>30</v>
      </c>
      <c r="L147" s="1">
        <v>120000</v>
      </c>
      <c r="M147" s="1">
        <v>3600000</v>
      </c>
      <c r="N147" s="1">
        <v>15</v>
      </c>
      <c r="O147" s="1">
        <v>540000</v>
      </c>
    </row>
    <row r="148" spans="1:15">
      <c r="A148" s="6">
        <v>2026</v>
      </c>
      <c r="B148" s="7">
        <v>1</v>
      </c>
      <c r="C148" s="8">
        <v>46035</v>
      </c>
      <c r="D148" s="3" t="s">
        <v>1502</v>
      </c>
      <c r="E148" s="3" t="s">
        <v>541</v>
      </c>
      <c r="F148" s="3" t="s">
        <v>281</v>
      </c>
      <c r="G148" s="3" t="s">
        <v>273</v>
      </c>
      <c r="H148" s="3" t="s">
        <v>1303</v>
      </c>
      <c r="I148" s="3" t="s">
        <v>928</v>
      </c>
      <c r="J148" s="3" t="s">
        <v>466</v>
      </c>
      <c r="K148" s="2">
        <v>20</v>
      </c>
      <c r="L148" s="1">
        <v>120000</v>
      </c>
      <c r="M148" s="1">
        <v>2400000</v>
      </c>
      <c r="N148" s="1">
        <v>15</v>
      </c>
      <c r="O148" s="1">
        <v>360000</v>
      </c>
    </row>
    <row r="149" spans="1:15">
      <c r="A149" s="6">
        <v>2026</v>
      </c>
      <c r="B149" s="7">
        <v>1</v>
      </c>
      <c r="C149" s="8">
        <v>46035</v>
      </c>
      <c r="D149" s="3" t="s">
        <v>1502</v>
      </c>
      <c r="E149" s="3" t="s">
        <v>541</v>
      </c>
      <c r="F149" s="3" t="s">
        <v>281</v>
      </c>
      <c r="G149" s="3" t="s">
        <v>273</v>
      </c>
      <c r="H149" s="3" t="s">
        <v>1303</v>
      </c>
      <c r="I149" s="3" t="s">
        <v>928</v>
      </c>
      <c r="J149" s="3" t="s">
        <v>38</v>
      </c>
      <c r="K149" s="2">
        <v>40</v>
      </c>
      <c r="L149" s="1">
        <v>65000</v>
      </c>
      <c r="M149" s="1">
        <v>2600000</v>
      </c>
      <c r="N149" s="1">
        <v>15</v>
      </c>
      <c r="O149" s="1">
        <v>390000</v>
      </c>
    </row>
    <row r="150" spans="1:15">
      <c r="A150" s="6">
        <v>2026</v>
      </c>
      <c r="B150" s="7">
        <v>1</v>
      </c>
      <c r="C150" s="8">
        <v>46036</v>
      </c>
      <c r="D150" s="3" t="s">
        <v>1503</v>
      </c>
      <c r="E150" s="3" t="s">
        <v>1314</v>
      </c>
      <c r="F150" s="3" t="s">
        <v>1314</v>
      </c>
      <c r="G150" s="3" t="s">
        <v>1314</v>
      </c>
      <c r="H150" s="3" t="s">
        <v>1303</v>
      </c>
      <c r="I150" s="3" t="s">
        <v>33</v>
      </c>
      <c r="J150" s="3" t="s">
        <v>41</v>
      </c>
      <c r="K150" s="2">
        <v>500</v>
      </c>
      <c r="L150" s="1">
        <v>90000</v>
      </c>
      <c r="M150" s="1">
        <v>45000000</v>
      </c>
      <c r="N150" s="1">
        <v>2</v>
      </c>
      <c r="O150" s="1">
        <v>900000</v>
      </c>
    </row>
    <row r="151" spans="1:15">
      <c r="A151" s="6">
        <v>2026</v>
      </c>
      <c r="B151" s="7">
        <v>1</v>
      </c>
      <c r="C151" s="8">
        <v>46036</v>
      </c>
      <c r="D151" s="3" t="s">
        <v>1504</v>
      </c>
      <c r="E151" s="3" t="s">
        <v>1343</v>
      </c>
      <c r="F151" s="3" t="s">
        <v>1343</v>
      </c>
      <c r="G151" s="3" t="s">
        <v>1343</v>
      </c>
      <c r="H151" s="3" t="s">
        <v>1303</v>
      </c>
      <c r="I151" s="3" t="s">
        <v>1344</v>
      </c>
      <c r="J151" s="3" t="s">
        <v>46</v>
      </c>
      <c r="K151" s="2">
        <v>200</v>
      </c>
      <c r="L151" s="1">
        <v>64700</v>
      </c>
      <c r="M151" s="1">
        <v>12940000</v>
      </c>
      <c r="N151" s="1">
        <v>2</v>
      </c>
      <c r="O151" s="1">
        <v>258800</v>
      </c>
    </row>
    <row r="152" spans="1:15">
      <c r="A152" s="6">
        <v>2026</v>
      </c>
      <c r="B152" s="7">
        <v>1</v>
      </c>
      <c r="C152" s="8">
        <v>46036</v>
      </c>
      <c r="D152" s="3" t="s">
        <v>1505</v>
      </c>
      <c r="E152" s="3" t="s">
        <v>863</v>
      </c>
      <c r="F152" s="3" t="s">
        <v>864</v>
      </c>
      <c r="G152" s="3" t="s">
        <v>273</v>
      </c>
      <c r="H152" s="3" t="s">
        <v>1303</v>
      </c>
      <c r="I152" s="3" t="s">
        <v>1485</v>
      </c>
      <c r="J152" s="3" t="s">
        <v>46</v>
      </c>
      <c r="K152" s="2">
        <v>200</v>
      </c>
      <c r="L152" s="1">
        <v>26500</v>
      </c>
      <c r="M152" s="1">
        <v>5300000</v>
      </c>
      <c r="N152" s="1">
        <v>5</v>
      </c>
      <c r="O152" s="1">
        <v>265000</v>
      </c>
    </row>
    <row r="153" spans="1:15">
      <c r="A153" s="6">
        <v>2026</v>
      </c>
      <c r="B153" s="7">
        <v>1</v>
      </c>
      <c r="C153" s="8">
        <v>46036</v>
      </c>
      <c r="D153" s="3" t="s">
        <v>1506</v>
      </c>
      <c r="E153" s="3" t="s">
        <v>1302</v>
      </c>
      <c r="F153" s="3" t="s">
        <v>272</v>
      </c>
      <c r="G153" s="3" t="s">
        <v>273</v>
      </c>
      <c r="H153" s="3" t="s">
        <v>1303</v>
      </c>
      <c r="I153" s="3" t="s">
        <v>1507</v>
      </c>
      <c r="J153" s="3" t="s">
        <v>41</v>
      </c>
      <c r="K153" s="2">
        <v>30</v>
      </c>
      <c r="L153" s="1">
        <v>90000</v>
      </c>
      <c r="M153" s="1">
        <v>2700000</v>
      </c>
      <c r="N153" s="1">
        <v>15</v>
      </c>
      <c r="O153" s="1">
        <v>405000</v>
      </c>
    </row>
    <row r="154" spans="1:15">
      <c r="A154" s="6">
        <v>2026</v>
      </c>
      <c r="B154" s="7">
        <v>1</v>
      </c>
      <c r="C154" s="8">
        <v>46036</v>
      </c>
      <c r="D154" s="3" t="s">
        <v>1508</v>
      </c>
      <c r="E154" s="3" t="s">
        <v>1462</v>
      </c>
      <c r="F154" s="3" t="s">
        <v>272</v>
      </c>
      <c r="G154" s="3" t="s">
        <v>273</v>
      </c>
      <c r="H154" s="3" t="s">
        <v>1303</v>
      </c>
      <c r="I154" s="3" t="s">
        <v>1445</v>
      </c>
      <c r="J154" s="3" t="s">
        <v>21</v>
      </c>
      <c r="K154" s="2">
        <v>30</v>
      </c>
      <c r="L154" s="1">
        <v>40621</v>
      </c>
      <c r="M154" s="1">
        <v>1218630</v>
      </c>
      <c r="N154" s="1">
        <v>15</v>
      </c>
      <c r="O154" s="1">
        <v>182794.5</v>
      </c>
    </row>
    <row r="155" spans="1:15">
      <c r="A155" s="6">
        <v>2026</v>
      </c>
      <c r="B155" s="7">
        <v>1</v>
      </c>
      <c r="C155" s="8">
        <v>46037</v>
      </c>
      <c r="D155" s="3" t="s">
        <v>1509</v>
      </c>
      <c r="E155" s="3" t="s">
        <v>1451</v>
      </c>
      <c r="F155" s="3" t="s">
        <v>1264</v>
      </c>
      <c r="G155" s="3" t="s">
        <v>273</v>
      </c>
      <c r="H155" s="3" t="s">
        <v>1303</v>
      </c>
      <c r="I155" s="3" t="s">
        <v>1265</v>
      </c>
      <c r="J155" s="3" t="s">
        <v>46</v>
      </c>
      <c r="K155" s="2">
        <v>20</v>
      </c>
      <c r="L155" s="1">
        <v>64700</v>
      </c>
      <c r="M155" s="1">
        <v>1294000</v>
      </c>
      <c r="N155" s="1">
        <v>15</v>
      </c>
      <c r="O155" s="1">
        <v>194100</v>
      </c>
    </row>
    <row r="156" spans="1:15">
      <c r="A156" s="6">
        <v>2026</v>
      </c>
      <c r="B156" s="7">
        <v>1</v>
      </c>
      <c r="C156" s="8">
        <v>46037</v>
      </c>
      <c r="D156" s="3" t="s">
        <v>1510</v>
      </c>
      <c r="E156" s="3" t="s">
        <v>1271</v>
      </c>
      <c r="F156" s="3" t="s">
        <v>1272</v>
      </c>
      <c r="G156" s="3" t="s">
        <v>273</v>
      </c>
      <c r="H156" s="3" t="s">
        <v>1303</v>
      </c>
      <c r="I156" s="3" t="s">
        <v>1298</v>
      </c>
      <c r="J156" s="3" t="s">
        <v>41</v>
      </c>
      <c r="K156" s="2">
        <v>50</v>
      </c>
      <c r="L156" s="1">
        <v>90000</v>
      </c>
      <c r="M156" s="1">
        <v>4500000</v>
      </c>
      <c r="N156" s="1">
        <v>15</v>
      </c>
      <c r="O156" s="1">
        <v>675000</v>
      </c>
    </row>
    <row r="157" spans="1:15">
      <c r="A157" s="6">
        <v>2026</v>
      </c>
      <c r="B157" s="7">
        <v>1</v>
      </c>
      <c r="C157" s="8">
        <v>46038</v>
      </c>
      <c r="D157" s="3" t="s">
        <v>1511</v>
      </c>
      <c r="E157" s="3" t="s">
        <v>1383</v>
      </c>
      <c r="F157" s="3" t="s">
        <v>1280</v>
      </c>
      <c r="G157" s="3" t="s">
        <v>273</v>
      </c>
      <c r="H157" s="3" t="s">
        <v>1303</v>
      </c>
      <c r="I157" s="3" t="s">
        <v>1410</v>
      </c>
      <c r="J157" s="3" t="s">
        <v>38</v>
      </c>
      <c r="K157" s="2">
        <v>100</v>
      </c>
      <c r="L157" s="1">
        <v>65000</v>
      </c>
      <c r="M157" s="1">
        <v>6500000</v>
      </c>
      <c r="N157" s="1">
        <v>15</v>
      </c>
      <c r="O157" s="1">
        <v>975000</v>
      </c>
    </row>
    <row r="158" spans="1:15">
      <c r="A158" s="6">
        <v>2026</v>
      </c>
      <c r="B158" s="7">
        <v>1</v>
      </c>
      <c r="C158" s="8">
        <v>46038</v>
      </c>
      <c r="D158" s="3" t="s">
        <v>1512</v>
      </c>
      <c r="E158" s="3" t="s">
        <v>1414</v>
      </c>
      <c r="F158" s="3" t="s">
        <v>1101</v>
      </c>
      <c r="G158" s="3" t="s">
        <v>273</v>
      </c>
      <c r="H158" s="3" t="s">
        <v>1303</v>
      </c>
      <c r="I158" s="3" t="s">
        <v>1513</v>
      </c>
      <c r="J158" s="3" t="s">
        <v>38</v>
      </c>
      <c r="K158" s="2">
        <v>50</v>
      </c>
      <c r="L158" s="1">
        <v>65000</v>
      </c>
      <c r="M158" s="1">
        <v>3250000</v>
      </c>
      <c r="N158" s="1">
        <v>15</v>
      </c>
      <c r="O158" s="1">
        <v>487500</v>
      </c>
    </row>
    <row r="159" spans="1:15">
      <c r="A159" s="6">
        <v>2026</v>
      </c>
      <c r="B159" s="7">
        <v>1</v>
      </c>
      <c r="C159" s="8">
        <v>46038</v>
      </c>
      <c r="D159" s="3" t="s">
        <v>1514</v>
      </c>
      <c r="E159" s="3" t="s">
        <v>1414</v>
      </c>
      <c r="F159" s="3" t="s">
        <v>1101</v>
      </c>
      <c r="G159" s="3" t="s">
        <v>273</v>
      </c>
      <c r="H159" s="3" t="s">
        <v>1303</v>
      </c>
      <c r="I159" s="3" t="s">
        <v>1515</v>
      </c>
      <c r="J159" s="3" t="s">
        <v>38</v>
      </c>
      <c r="K159" s="2">
        <v>20</v>
      </c>
      <c r="L159" s="1">
        <v>65000</v>
      </c>
      <c r="M159" s="1">
        <v>1300000</v>
      </c>
      <c r="N159" s="1">
        <v>15</v>
      </c>
      <c r="O159" s="1">
        <v>195000</v>
      </c>
    </row>
    <row r="160" spans="1:15">
      <c r="A160" s="6">
        <v>2026</v>
      </c>
      <c r="B160" s="7">
        <v>1</v>
      </c>
      <c r="C160" s="8">
        <v>46038</v>
      </c>
      <c r="D160" s="3" t="s">
        <v>1516</v>
      </c>
      <c r="E160" s="3" t="s">
        <v>1026</v>
      </c>
      <c r="F160" s="3" t="s">
        <v>1027</v>
      </c>
      <c r="G160" s="3" t="s">
        <v>273</v>
      </c>
      <c r="H160" s="3" t="s">
        <v>1303</v>
      </c>
      <c r="I160" s="3" t="s">
        <v>1517</v>
      </c>
      <c r="J160" s="3" t="s">
        <v>41</v>
      </c>
      <c r="K160" s="2">
        <v>50</v>
      </c>
      <c r="L160" s="1">
        <v>90000</v>
      </c>
      <c r="M160" s="1">
        <v>4500000</v>
      </c>
      <c r="N160" s="1">
        <v>15</v>
      </c>
      <c r="O160" s="1">
        <v>675000</v>
      </c>
    </row>
    <row r="161" spans="1:15">
      <c r="A161" s="6">
        <v>2026</v>
      </c>
      <c r="B161" s="7">
        <v>1</v>
      </c>
      <c r="C161" s="8">
        <v>46041</v>
      </c>
      <c r="D161" s="3" t="s">
        <v>1518</v>
      </c>
      <c r="E161" s="3" t="s">
        <v>1343</v>
      </c>
      <c r="F161" s="3" t="s">
        <v>1343</v>
      </c>
      <c r="G161" s="3" t="s">
        <v>1343</v>
      </c>
      <c r="H161" s="3" t="s">
        <v>1303</v>
      </c>
      <c r="I161" s="3" t="s">
        <v>1344</v>
      </c>
      <c r="J161" s="3" t="s">
        <v>21</v>
      </c>
      <c r="K161" s="2">
        <v>480</v>
      </c>
      <c r="L161" s="1">
        <v>40621</v>
      </c>
      <c r="M161" s="1">
        <v>19498080</v>
      </c>
      <c r="N161" s="1">
        <v>2</v>
      </c>
      <c r="O161" s="1">
        <v>389961.6</v>
      </c>
    </row>
    <row r="162" spans="1:15">
      <c r="A162" s="6">
        <v>2026</v>
      </c>
      <c r="B162" s="7">
        <v>1</v>
      </c>
      <c r="C162" s="8">
        <v>46041</v>
      </c>
      <c r="D162" s="3" t="s">
        <v>1519</v>
      </c>
      <c r="E162" s="3" t="s">
        <v>265</v>
      </c>
      <c r="F162" s="3" t="s">
        <v>1499</v>
      </c>
      <c r="G162" s="3" t="s">
        <v>273</v>
      </c>
      <c r="H162" s="3" t="s">
        <v>1303</v>
      </c>
      <c r="I162" s="3" t="s">
        <v>1500</v>
      </c>
      <c r="J162" s="3" t="s">
        <v>21</v>
      </c>
      <c r="K162" s="2">
        <v>480</v>
      </c>
      <c r="L162" s="1">
        <v>14000</v>
      </c>
      <c r="M162" s="1">
        <v>6720000</v>
      </c>
      <c r="N162" s="1">
        <v>15</v>
      </c>
      <c r="O162" s="1">
        <v>1008000</v>
      </c>
    </row>
    <row r="163" spans="1:15">
      <c r="A163" s="6">
        <v>2026</v>
      </c>
      <c r="B163" s="7">
        <v>1</v>
      </c>
      <c r="C163" s="8">
        <v>46041</v>
      </c>
      <c r="D163" s="3" t="s">
        <v>1520</v>
      </c>
      <c r="E163" s="3" t="s">
        <v>284</v>
      </c>
      <c r="F163" s="3" t="s">
        <v>281</v>
      </c>
      <c r="G163" s="3" t="s">
        <v>273</v>
      </c>
      <c r="H163" s="3" t="s">
        <v>1303</v>
      </c>
      <c r="I163" s="3" t="s">
        <v>443</v>
      </c>
      <c r="J163" s="3" t="s">
        <v>21</v>
      </c>
      <c r="K163" s="2">
        <v>100</v>
      </c>
      <c r="L163" s="1">
        <v>40621</v>
      </c>
      <c r="M163" s="1">
        <v>4062100</v>
      </c>
      <c r="N163" s="1">
        <v>10</v>
      </c>
      <c r="O163" s="1">
        <v>406210</v>
      </c>
    </row>
    <row r="164" spans="1:15">
      <c r="A164" s="6">
        <v>2026</v>
      </c>
      <c r="B164" s="7">
        <v>1</v>
      </c>
      <c r="C164" s="8">
        <v>46042</v>
      </c>
      <c r="D164" s="3" t="s">
        <v>1521</v>
      </c>
      <c r="E164" s="3" t="s">
        <v>1314</v>
      </c>
      <c r="F164" s="3" t="s">
        <v>1314</v>
      </c>
      <c r="G164" s="3" t="s">
        <v>1314</v>
      </c>
      <c r="H164" s="3" t="s">
        <v>1303</v>
      </c>
      <c r="I164" s="3" t="s">
        <v>957</v>
      </c>
      <c r="J164" s="3" t="s">
        <v>46</v>
      </c>
      <c r="K164" s="2">
        <v>90</v>
      </c>
      <c r="L164" s="1">
        <v>64700</v>
      </c>
      <c r="M164" s="1">
        <v>5823000</v>
      </c>
      <c r="N164" s="1">
        <v>2</v>
      </c>
      <c r="O164" s="1">
        <v>116460</v>
      </c>
    </row>
    <row r="165" spans="1:15">
      <c r="A165" s="6">
        <v>2026</v>
      </c>
      <c r="B165" s="7">
        <v>1</v>
      </c>
      <c r="C165" s="8">
        <v>46042</v>
      </c>
      <c r="D165" s="3" t="s">
        <v>1521</v>
      </c>
      <c r="E165" s="3" t="s">
        <v>1314</v>
      </c>
      <c r="F165" s="3" t="s">
        <v>1314</v>
      </c>
      <c r="G165" s="3" t="s">
        <v>1314</v>
      </c>
      <c r="H165" s="3" t="s">
        <v>1303</v>
      </c>
      <c r="I165" s="3" t="s">
        <v>957</v>
      </c>
      <c r="J165" s="3" t="s">
        <v>38</v>
      </c>
      <c r="K165" s="2">
        <v>600</v>
      </c>
      <c r="L165" s="1">
        <v>65000</v>
      </c>
      <c r="M165" s="1">
        <v>39000000</v>
      </c>
      <c r="N165" s="1">
        <v>2</v>
      </c>
      <c r="O165" s="1">
        <v>780000</v>
      </c>
    </row>
    <row r="166" spans="1:15">
      <c r="A166" s="6">
        <v>2026</v>
      </c>
      <c r="B166" s="7">
        <v>1</v>
      </c>
      <c r="C166" s="8">
        <v>46042</v>
      </c>
      <c r="D166" s="3" t="s">
        <v>1521</v>
      </c>
      <c r="E166" s="3" t="s">
        <v>1314</v>
      </c>
      <c r="F166" s="3" t="s">
        <v>1314</v>
      </c>
      <c r="G166" s="3" t="s">
        <v>1314</v>
      </c>
      <c r="H166" s="3" t="s">
        <v>1303</v>
      </c>
      <c r="I166" s="3" t="s">
        <v>957</v>
      </c>
      <c r="J166" s="3" t="s">
        <v>46</v>
      </c>
      <c r="K166" s="2">
        <v>710</v>
      </c>
      <c r="L166" s="1">
        <v>64700</v>
      </c>
      <c r="M166" s="1">
        <v>45937000</v>
      </c>
      <c r="N166" s="1">
        <v>2</v>
      </c>
      <c r="O166" s="1">
        <v>918740</v>
      </c>
    </row>
    <row r="167" spans="1:15">
      <c r="A167" s="6">
        <v>2026</v>
      </c>
      <c r="B167" s="7">
        <v>1</v>
      </c>
      <c r="C167" s="8">
        <v>46042</v>
      </c>
      <c r="D167" s="3" t="s">
        <v>1522</v>
      </c>
      <c r="E167" s="3" t="s">
        <v>1302</v>
      </c>
      <c r="F167" s="3" t="s">
        <v>272</v>
      </c>
      <c r="G167" s="3" t="s">
        <v>273</v>
      </c>
      <c r="H167" s="3" t="s">
        <v>1303</v>
      </c>
      <c r="I167" s="3" t="s">
        <v>986</v>
      </c>
      <c r="J167" s="3" t="s">
        <v>466</v>
      </c>
      <c r="K167" s="2">
        <v>60</v>
      </c>
      <c r="L167" s="1">
        <v>120000</v>
      </c>
      <c r="M167" s="1">
        <v>7200000</v>
      </c>
      <c r="N167" s="1">
        <v>15</v>
      </c>
      <c r="O167" s="1">
        <v>1080000</v>
      </c>
    </row>
    <row r="168" spans="1:15">
      <c r="A168" s="6">
        <v>2026</v>
      </c>
      <c r="B168" s="7">
        <v>1</v>
      </c>
      <c r="C168" s="8">
        <v>46042</v>
      </c>
      <c r="D168" s="3" t="s">
        <v>1523</v>
      </c>
      <c r="E168" s="3" t="s">
        <v>1271</v>
      </c>
      <c r="F168" s="3" t="s">
        <v>1272</v>
      </c>
      <c r="G168" s="3" t="s">
        <v>273</v>
      </c>
      <c r="H168" s="3" t="s">
        <v>1303</v>
      </c>
      <c r="I168" s="3" t="s">
        <v>1524</v>
      </c>
      <c r="J168" s="3" t="s">
        <v>41</v>
      </c>
      <c r="K168" s="2">
        <v>10</v>
      </c>
      <c r="L168" s="1">
        <v>90000</v>
      </c>
      <c r="M168" s="1">
        <v>900000</v>
      </c>
      <c r="N168" s="1">
        <v>15</v>
      </c>
      <c r="O168" s="1">
        <v>135000</v>
      </c>
    </row>
    <row r="169" spans="1:15">
      <c r="A169" s="6">
        <v>2026</v>
      </c>
      <c r="B169" s="7">
        <v>1</v>
      </c>
      <c r="C169" s="8">
        <v>46042</v>
      </c>
      <c r="D169" s="3" t="s">
        <v>1525</v>
      </c>
      <c r="E169" s="3" t="s">
        <v>284</v>
      </c>
      <c r="F169" s="3" t="s">
        <v>281</v>
      </c>
      <c r="G169" s="3" t="s">
        <v>273</v>
      </c>
      <c r="H169" s="3" t="s">
        <v>1303</v>
      </c>
      <c r="I169" s="3" t="s">
        <v>1335</v>
      </c>
      <c r="J169" s="3" t="s">
        <v>466</v>
      </c>
      <c r="K169" s="2">
        <v>20</v>
      </c>
      <c r="L169" s="1">
        <v>120000</v>
      </c>
      <c r="M169" s="1">
        <v>2400000</v>
      </c>
      <c r="N169" s="1">
        <v>15</v>
      </c>
      <c r="O169" s="1">
        <v>360000</v>
      </c>
    </row>
    <row r="170" spans="1:15">
      <c r="A170" s="6">
        <v>2026</v>
      </c>
      <c r="B170" s="7">
        <v>1</v>
      </c>
      <c r="C170" s="8">
        <v>46042</v>
      </c>
      <c r="D170" s="3" t="s">
        <v>1525</v>
      </c>
      <c r="E170" s="3" t="s">
        <v>284</v>
      </c>
      <c r="F170" s="3" t="s">
        <v>281</v>
      </c>
      <c r="G170" s="3" t="s">
        <v>273</v>
      </c>
      <c r="H170" s="3" t="s">
        <v>1303</v>
      </c>
      <c r="I170" s="3" t="s">
        <v>1335</v>
      </c>
      <c r="J170" s="3" t="s">
        <v>21</v>
      </c>
      <c r="K170" s="2">
        <v>30</v>
      </c>
      <c r="L170" s="1">
        <v>40621</v>
      </c>
      <c r="M170" s="1">
        <v>1218630</v>
      </c>
      <c r="N170" s="1">
        <v>15</v>
      </c>
      <c r="O170" s="1">
        <v>182794.5</v>
      </c>
    </row>
    <row r="171" spans="1:15">
      <c r="A171" s="6">
        <v>2026</v>
      </c>
      <c r="B171" s="7">
        <v>1</v>
      </c>
      <c r="C171" s="8">
        <v>46042</v>
      </c>
      <c r="D171" s="3" t="s">
        <v>1526</v>
      </c>
      <c r="E171" s="3" t="s">
        <v>1302</v>
      </c>
      <c r="F171" s="3" t="s">
        <v>272</v>
      </c>
      <c r="G171" s="3" t="s">
        <v>273</v>
      </c>
      <c r="H171" s="3" t="s">
        <v>1303</v>
      </c>
      <c r="I171" s="3" t="s">
        <v>925</v>
      </c>
      <c r="J171" s="3" t="s">
        <v>466</v>
      </c>
      <c r="K171" s="2">
        <v>40</v>
      </c>
      <c r="L171" s="1">
        <v>120000</v>
      </c>
      <c r="M171" s="1">
        <v>4800000</v>
      </c>
      <c r="N171" s="1">
        <v>5</v>
      </c>
      <c r="O171" s="1">
        <v>240000</v>
      </c>
    </row>
    <row r="172" spans="1:15">
      <c r="A172" s="6">
        <v>2026</v>
      </c>
      <c r="B172" s="7">
        <v>1</v>
      </c>
      <c r="C172" s="8">
        <v>46042</v>
      </c>
      <c r="D172" s="3" t="s">
        <v>1526</v>
      </c>
      <c r="E172" s="3" t="s">
        <v>1302</v>
      </c>
      <c r="F172" s="3" t="s">
        <v>272</v>
      </c>
      <c r="G172" s="3" t="s">
        <v>273</v>
      </c>
      <c r="H172" s="3" t="s">
        <v>1303</v>
      </c>
      <c r="I172" s="3" t="s">
        <v>925</v>
      </c>
      <c r="J172" s="3" t="s">
        <v>38</v>
      </c>
      <c r="K172" s="2">
        <v>50</v>
      </c>
      <c r="L172" s="1">
        <v>65000</v>
      </c>
      <c r="M172" s="1">
        <v>3250000</v>
      </c>
      <c r="N172" s="1">
        <v>5</v>
      </c>
      <c r="O172" s="1">
        <v>162500</v>
      </c>
    </row>
    <row r="173" spans="1:15">
      <c r="A173" s="6">
        <v>2026</v>
      </c>
      <c r="B173" s="7">
        <v>1</v>
      </c>
      <c r="C173" s="8">
        <v>46042</v>
      </c>
      <c r="D173" s="3" t="s">
        <v>1526</v>
      </c>
      <c r="E173" s="3" t="s">
        <v>1302</v>
      </c>
      <c r="F173" s="3" t="s">
        <v>272</v>
      </c>
      <c r="G173" s="3" t="s">
        <v>273</v>
      </c>
      <c r="H173" s="3" t="s">
        <v>1303</v>
      </c>
      <c r="I173" s="3" t="s">
        <v>925</v>
      </c>
      <c r="J173" s="3" t="s">
        <v>46</v>
      </c>
      <c r="K173" s="2">
        <v>40</v>
      </c>
      <c r="L173" s="1">
        <v>64700</v>
      </c>
      <c r="M173" s="1">
        <v>2588000</v>
      </c>
      <c r="N173" s="1">
        <v>5</v>
      </c>
      <c r="O173" s="1">
        <v>129400</v>
      </c>
    </row>
    <row r="174" spans="1:15">
      <c r="A174" s="6">
        <v>2026</v>
      </c>
      <c r="B174" s="7">
        <v>1</v>
      </c>
      <c r="C174" s="8">
        <v>46042</v>
      </c>
      <c r="D174" s="3" t="s">
        <v>1527</v>
      </c>
      <c r="E174" s="3" t="s">
        <v>541</v>
      </c>
      <c r="F174" s="3" t="s">
        <v>281</v>
      </c>
      <c r="G174" s="3" t="s">
        <v>273</v>
      </c>
      <c r="H174" s="3" t="s">
        <v>1303</v>
      </c>
      <c r="I174" s="3" t="s">
        <v>928</v>
      </c>
      <c r="J174" s="3" t="s">
        <v>21</v>
      </c>
      <c r="K174" s="2">
        <v>50</v>
      </c>
      <c r="L174" s="1">
        <v>40621</v>
      </c>
      <c r="M174" s="1">
        <v>2031050</v>
      </c>
      <c r="N174" s="1">
        <v>15</v>
      </c>
      <c r="O174" s="1">
        <v>304657.5</v>
      </c>
    </row>
    <row r="175" spans="1:15">
      <c r="A175" s="6">
        <v>2026</v>
      </c>
      <c r="B175" s="7">
        <v>1</v>
      </c>
      <c r="C175" s="8">
        <v>46043</v>
      </c>
      <c r="D175" s="3" t="s">
        <v>1528</v>
      </c>
      <c r="E175" s="3" t="s">
        <v>893</v>
      </c>
      <c r="F175" s="3" t="s">
        <v>894</v>
      </c>
      <c r="G175" s="3" t="s">
        <v>273</v>
      </c>
      <c r="H175" s="3" t="s">
        <v>1303</v>
      </c>
      <c r="I175" s="3" t="s">
        <v>1351</v>
      </c>
      <c r="J175" s="3" t="s">
        <v>41</v>
      </c>
      <c r="K175" s="2">
        <v>50</v>
      </c>
      <c r="L175" s="1">
        <v>90000</v>
      </c>
      <c r="M175" s="1">
        <v>4500000</v>
      </c>
      <c r="N175" s="1">
        <v>15</v>
      </c>
      <c r="O175" s="1">
        <v>675000</v>
      </c>
    </row>
    <row r="176" spans="1:15">
      <c r="A176" s="6">
        <v>2026</v>
      </c>
      <c r="B176" s="7">
        <v>1</v>
      </c>
      <c r="C176" s="8">
        <v>46043</v>
      </c>
      <c r="D176" s="3" t="s">
        <v>1529</v>
      </c>
      <c r="E176" s="3" t="s">
        <v>1302</v>
      </c>
      <c r="F176" s="3" t="s">
        <v>272</v>
      </c>
      <c r="G176" s="3" t="s">
        <v>273</v>
      </c>
      <c r="H176" s="3" t="s">
        <v>1303</v>
      </c>
      <c r="I176" s="3" t="s">
        <v>1316</v>
      </c>
      <c r="J176" s="3" t="s">
        <v>21</v>
      </c>
      <c r="K176" s="2">
        <v>240</v>
      </c>
      <c r="L176" s="1">
        <v>40621</v>
      </c>
      <c r="M176" s="1">
        <v>9749040</v>
      </c>
      <c r="N176" s="1">
        <v>15</v>
      </c>
      <c r="O176" s="1">
        <v>1462356</v>
      </c>
    </row>
    <row r="177" spans="1:15">
      <c r="A177" s="6">
        <v>2026</v>
      </c>
      <c r="B177" s="7">
        <v>1</v>
      </c>
      <c r="C177" s="8">
        <v>46043</v>
      </c>
      <c r="D177" s="3" t="s">
        <v>1530</v>
      </c>
      <c r="E177" s="3" t="s">
        <v>1460</v>
      </c>
      <c r="F177" s="3" t="s">
        <v>272</v>
      </c>
      <c r="G177" s="3" t="s">
        <v>273</v>
      </c>
      <c r="H177" s="3" t="s">
        <v>1303</v>
      </c>
      <c r="I177" s="3" t="s">
        <v>417</v>
      </c>
      <c r="J177" s="3" t="s">
        <v>41</v>
      </c>
      <c r="K177" s="2">
        <v>200</v>
      </c>
      <c r="L177" s="1">
        <v>90000</v>
      </c>
      <c r="M177" s="1">
        <v>18000000</v>
      </c>
      <c r="N177" s="1">
        <v>15</v>
      </c>
      <c r="O177" s="1">
        <v>2700000</v>
      </c>
    </row>
    <row r="178" spans="1:15">
      <c r="A178" s="6">
        <v>2026</v>
      </c>
      <c r="B178" s="7">
        <v>1</v>
      </c>
      <c r="C178" s="8">
        <v>46043</v>
      </c>
      <c r="D178" s="3" t="s">
        <v>1531</v>
      </c>
      <c r="E178" s="3" t="s">
        <v>284</v>
      </c>
      <c r="F178" s="3" t="s">
        <v>281</v>
      </c>
      <c r="G178" s="3" t="s">
        <v>273</v>
      </c>
      <c r="H178" s="3" t="s">
        <v>1303</v>
      </c>
      <c r="I178" s="3" t="s">
        <v>23</v>
      </c>
      <c r="J178" s="3" t="s">
        <v>38</v>
      </c>
      <c r="K178" s="2">
        <v>30</v>
      </c>
      <c r="L178" s="1">
        <v>65000</v>
      </c>
      <c r="M178" s="1">
        <v>1950000</v>
      </c>
      <c r="N178" s="1">
        <v>15</v>
      </c>
      <c r="O178" s="1">
        <v>292500</v>
      </c>
    </row>
    <row r="179" spans="1:15">
      <c r="A179" s="6">
        <v>2026</v>
      </c>
      <c r="B179" s="7">
        <v>1</v>
      </c>
      <c r="C179" s="8">
        <v>46043</v>
      </c>
      <c r="D179" s="3" t="s">
        <v>1532</v>
      </c>
      <c r="E179" s="3" t="s">
        <v>1026</v>
      </c>
      <c r="F179" s="3" t="s">
        <v>1027</v>
      </c>
      <c r="G179" s="3" t="s">
        <v>273</v>
      </c>
      <c r="H179" s="3" t="s">
        <v>1303</v>
      </c>
      <c r="I179" s="3" t="s">
        <v>1533</v>
      </c>
      <c r="J179" s="3" t="s">
        <v>46</v>
      </c>
      <c r="K179" s="2">
        <v>20</v>
      </c>
      <c r="L179" s="1">
        <v>64700</v>
      </c>
      <c r="M179" s="1">
        <v>1294000</v>
      </c>
      <c r="N179" s="1">
        <v>15</v>
      </c>
      <c r="O179" s="1">
        <v>194100</v>
      </c>
    </row>
    <row r="180" spans="1:15">
      <c r="A180" s="6">
        <v>2026</v>
      </c>
      <c r="B180" s="7">
        <v>1</v>
      </c>
      <c r="C180" s="8">
        <v>46043</v>
      </c>
      <c r="D180" s="3" t="s">
        <v>1532</v>
      </c>
      <c r="E180" s="3" t="s">
        <v>1026</v>
      </c>
      <c r="F180" s="3" t="s">
        <v>1027</v>
      </c>
      <c r="G180" s="3" t="s">
        <v>273</v>
      </c>
      <c r="H180" s="3" t="s">
        <v>1303</v>
      </c>
      <c r="I180" s="3" t="s">
        <v>1533</v>
      </c>
      <c r="J180" s="3" t="s">
        <v>41</v>
      </c>
      <c r="K180" s="2">
        <v>20</v>
      </c>
      <c r="L180" s="1">
        <v>90000</v>
      </c>
      <c r="M180" s="1">
        <v>1800000</v>
      </c>
      <c r="N180" s="1">
        <v>15</v>
      </c>
      <c r="O180" s="1">
        <v>270000</v>
      </c>
    </row>
    <row r="181" spans="1:15">
      <c r="A181" s="6">
        <v>2026</v>
      </c>
      <c r="B181" s="7">
        <v>1</v>
      </c>
      <c r="C181" s="8">
        <v>46043</v>
      </c>
      <c r="D181" s="3" t="s">
        <v>1534</v>
      </c>
      <c r="E181" s="3" t="s">
        <v>1026</v>
      </c>
      <c r="F181" s="3" t="s">
        <v>1027</v>
      </c>
      <c r="G181" s="3" t="s">
        <v>273</v>
      </c>
      <c r="H181" s="3" t="s">
        <v>1303</v>
      </c>
      <c r="I181" s="3" t="s">
        <v>522</v>
      </c>
      <c r="J181" s="3" t="s">
        <v>46</v>
      </c>
      <c r="K181" s="2">
        <v>50</v>
      </c>
      <c r="L181" s="1">
        <v>64700</v>
      </c>
      <c r="M181" s="1">
        <v>3235000</v>
      </c>
      <c r="N181" s="1">
        <v>15</v>
      </c>
      <c r="O181" s="1">
        <v>485250</v>
      </c>
    </row>
    <row r="182" spans="1:15">
      <c r="A182" s="6">
        <v>2026</v>
      </c>
      <c r="B182" s="7">
        <v>1</v>
      </c>
      <c r="C182" s="8">
        <v>46043</v>
      </c>
      <c r="D182" s="3" t="s">
        <v>1534</v>
      </c>
      <c r="E182" s="3" t="s">
        <v>1026</v>
      </c>
      <c r="F182" s="3" t="s">
        <v>1027</v>
      </c>
      <c r="G182" s="3" t="s">
        <v>273</v>
      </c>
      <c r="H182" s="3" t="s">
        <v>1303</v>
      </c>
      <c r="I182" s="3" t="s">
        <v>522</v>
      </c>
      <c r="J182" s="3" t="s">
        <v>41</v>
      </c>
      <c r="K182" s="2">
        <v>40</v>
      </c>
      <c r="L182" s="1">
        <v>90000</v>
      </c>
      <c r="M182" s="1">
        <v>3600000</v>
      </c>
      <c r="N182" s="1">
        <v>15</v>
      </c>
      <c r="O182" s="1">
        <v>540000</v>
      </c>
    </row>
    <row r="183" spans="1:15">
      <c r="A183" s="6">
        <v>2026</v>
      </c>
      <c r="B183" s="7">
        <v>1</v>
      </c>
      <c r="C183" s="8">
        <v>46044</v>
      </c>
      <c r="D183" s="3" t="s">
        <v>1535</v>
      </c>
      <c r="E183" s="3" t="s">
        <v>1451</v>
      </c>
      <c r="F183" s="3" t="s">
        <v>1264</v>
      </c>
      <c r="G183" s="3" t="s">
        <v>273</v>
      </c>
      <c r="H183" s="3" t="s">
        <v>1303</v>
      </c>
      <c r="I183" s="3" t="s">
        <v>1265</v>
      </c>
      <c r="J183" s="3" t="s">
        <v>46</v>
      </c>
      <c r="K183" s="2">
        <v>10</v>
      </c>
      <c r="L183" s="1">
        <v>64700</v>
      </c>
      <c r="M183" s="1">
        <v>647000</v>
      </c>
      <c r="N183" s="1">
        <v>15</v>
      </c>
      <c r="O183" s="1">
        <v>97050</v>
      </c>
    </row>
    <row r="184" spans="1:15">
      <c r="A184" s="6">
        <v>2026</v>
      </c>
      <c r="B184" s="7">
        <v>1</v>
      </c>
      <c r="C184" s="8">
        <v>46044</v>
      </c>
      <c r="D184" s="3" t="s">
        <v>1535</v>
      </c>
      <c r="E184" s="3" t="s">
        <v>1451</v>
      </c>
      <c r="F184" s="3" t="s">
        <v>1264</v>
      </c>
      <c r="G184" s="3" t="s">
        <v>273</v>
      </c>
      <c r="H184" s="3" t="s">
        <v>1303</v>
      </c>
      <c r="I184" s="3" t="s">
        <v>1265</v>
      </c>
      <c r="J184" s="3" t="s">
        <v>38</v>
      </c>
      <c r="K184" s="2">
        <v>10</v>
      </c>
      <c r="L184" s="1">
        <v>65000</v>
      </c>
      <c r="M184" s="1">
        <v>650000</v>
      </c>
      <c r="N184" s="1">
        <v>15</v>
      </c>
      <c r="O184" s="1">
        <v>97500</v>
      </c>
    </row>
    <row r="185" spans="1:15">
      <c r="A185" s="6">
        <v>2026</v>
      </c>
      <c r="B185" s="7">
        <v>1</v>
      </c>
      <c r="C185" s="8">
        <v>46044</v>
      </c>
      <c r="D185" s="3" t="s">
        <v>1536</v>
      </c>
      <c r="E185" s="3" t="s">
        <v>1026</v>
      </c>
      <c r="F185" s="3" t="s">
        <v>1027</v>
      </c>
      <c r="G185" s="3" t="s">
        <v>273</v>
      </c>
      <c r="H185" s="3" t="s">
        <v>1303</v>
      </c>
      <c r="I185" s="3" t="s">
        <v>651</v>
      </c>
      <c r="J185" s="3" t="s">
        <v>46</v>
      </c>
      <c r="K185" s="2">
        <v>20</v>
      </c>
      <c r="L185" s="1">
        <v>64700</v>
      </c>
      <c r="M185" s="1">
        <v>1294000</v>
      </c>
      <c r="N185" s="1">
        <v>15</v>
      </c>
      <c r="O185" s="1">
        <v>194100</v>
      </c>
    </row>
    <row r="186" spans="1:15">
      <c r="A186" s="6">
        <v>2026</v>
      </c>
      <c r="B186" s="7">
        <v>1</v>
      </c>
      <c r="C186" s="8">
        <v>46044</v>
      </c>
      <c r="D186" s="3" t="s">
        <v>1536</v>
      </c>
      <c r="E186" s="3" t="s">
        <v>1026</v>
      </c>
      <c r="F186" s="3" t="s">
        <v>1027</v>
      </c>
      <c r="G186" s="3" t="s">
        <v>273</v>
      </c>
      <c r="H186" s="3" t="s">
        <v>1303</v>
      </c>
      <c r="I186" s="3" t="s">
        <v>651</v>
      </c>
      <c r="J186" s="3" t="s">
        <v>41</v>
      </c>
      <c r="K186" s="2">
        <v>20</v>
      </c>
      <c r="L186" s="1">
        <v>90000</v>
      </c>
      <c r="M186" s="1">
        <v>1800000</v>
      </c>
      <c r="N186" s="1">
        <v>15</v>
      </c>
      <c r="O186" s="1">
        <v>270000</v>
      </c>
    </row>
    <row r="187" spans="1:15">
      <c r="A187" s="6">
        <v>2026</v>
      </c>
      <c r="B187" s="7">
        <v>1</v>
      </c>
      <c r="C187" s="8">
        <v>46044</v>
      </c>
      <c r="D187" s="3" t="s">
        <v>1537</v>
      </c>
      <c r="E187" s="3" t="s">
        <v>1302</v>
      </c>
      <c r="F187" s="3" t="s">
        <v>272</v>
      </c>
      <c r="G187" s="3" t="s">
        <v>273</v>
      </c>
      <c r="H187" s="3" t="s">
        <v>1303</v>
      </c>
      <c r="I187" s="3" t="s">
        <v>900</v>
      </c>
      <c r="J187" s="3" t="s">
        <v>21</v>
      </c>
      <c r="K187" s="2">
        <v>50</v>
      </c>
      <c r="L187" s="1">
        <v>40621</v>
      </c>
      <c r="M187" s="1">
        <v>2031050</v>
      </c>
      <c r="N187" s="1">
        <v>15</v>
      </c>
      <c r="O187" s="1">
        <v>304657.5</v>
      </c>
    </row>
    <row r="188" spans="1:15">
      <c r="A188" s="6">
        <v>2026</v>
      </c>
      <c r="B188" s="7">
        <v>1</v>
      </c>
      <c r="C188" s="8">
        <v>46045</v>
      </c>
      <c r="D188" s="3" t="s">
        <v>1538</v>
      </c>
      <c r="E188" s="3" t="s">
        <v>1302</v>
      </c>
      <c r="F188" s="3" t="s">
        <v>272</v>
      </c>
      <c r="G188" s="3" t="s">
        <v>273</v>
      </c>
      <c r="H188" s="3" t="s">
        <v>1303</v>
      </c>
      <c r="I188" s="3" t="s">
        <v>1330</v>
      </c>
      <c r="J188" s="3" t="s">
        <v>41</v>
      </c>
      <c r="K188" s="2">
        <v>20</v>
      </c>
      <c r="L188" s="1">
        <v>90000</v>
      </c>
      <c r="M188" s="1">
        <v>1800000</v>
      </c>
      <c r="N188" s="1">
        <v>15</v>
      </c>
      <c r="O188" s="1">
        <v>270000</v>
      </c>
    </row>
    <row r="189" spans="1:15">
      <c r="A189" s="6">
        <v>2026</v>
      </c>
      <c r="B189" s="7">
        <v>1</v>
      </c>
      <c r="C189" s="8">
        <v>46045</v>
      </c>
      <c r="D189" s="3" t="s">
        <v>1538</v>
      </c>
      <c r="E189" s="3" t="s">
        <v>1302</v>
      </c>
      <c r="F189" s="3" t="s">
        <v>272</v>
      </c>
      <c r="G189" s="3" t="s">
        <v>273</v>
      </c>
      <c r="H189" s="3" t="s">
        <v>1303</v>
      </c>
      <c r="I189" s="3" t="s">
        <v>1330</v>
      </c>
      <c r="J189" s="3" t="s">
        <v>38</v>
      </c>
      <c r="K189" s="2">
        <v>20</v>
      </c>
      <c r="L189" s="1">
        <v>65000</v>
      </c>
      <c r="M189" s="1">
        <v>1300000</v>
      </c>
      <c r="N189" s="1">
        <v>15</v>
      </c>
      <c r="O189" s="1">
        <v>195000</v>
      </c>
    </row>
    <row r="190" spans="1:15">
      <c r="A190" s="6">
        <v>2026</v>
      </c>
      <c r="B190" s="7">
        <v>1</v>
      </c>
      <c r="C190" s="8">
        <v>46045</v>
      </c>
      <c r="D190" s="3" t="s">
        <v>1539</v>
      </c>
      <c r="E190" s="3" t="s">
        <v>1540</v>
      </c>
      <c r="F190" s="3" t="s">
        <v>272</v>
      </c>
      <c r="G190" s="3" t="s">
        <v>273</v>
      </c>
      <c r="H190" s="3" t="s">
        <v>1303</v>
      </c>
      <c r="I190" s="3" t="s">
        <v>1330</v>
      </c>
      <c r="J190" s="3" t="s">
        <v>466</v>
      </c>
      <c r="K190" s="2">
        <v>20</v>
      </c>
      <c r="L190" s="1">
        <v>120000</v>
      </c>
      <c r="M190" s="1">
        <v>2400000</v>
      </c>
      <c r="N190" s="1">
        <v>15</v>
      </c>
      <c r="O190" s="1">
        <v>360000</v>
      </c>
    </row>
    <row r="191" spans="1:15">
      <c r="A191" s="6">
        <v>2026</v>
      </c>
      <c r="B191" s="7">
        <v>1</v>
      </c>
      <c r="C191" s="8">
        <v>46045</v>
      </c>
      <c r="D191" s="3" t="s">
        <v>1541</v>
      </c>
      <c r="E191" s="3" t="s">
        <v>1451</v>
      </c>
      <c r="F191" s="3" t="s">
        <v>1264</v>
      </c>
      <c r="G191" s="3" t="s">
        <v>273</v>
      </c>
      <c r="H191" s="3" t="s">
        <v>1303</v>
      </c>
      <c r="I191" s="3" t="s">
        <v>1283</v>
      </c>
      <c r="J191" s="3" t="s">
        <v>46</v>
      </c>
      <c r="K191" s="2">
        <v>10</v>
      </c>
      <c r="L191" s="1">
        <v>64700</v>
      </c>
      <c r="M191" s="1">
        <v>647000</v>
      </c>
      <c r="N191" s="1">
        <v>15</v>
      </c>
      <c r="O191" s="1">
        <v>97050</v>
      </c>
    </row>
    <row r="192" spans="1:15">
      <c r="A192" s="6">
        <v>2026</v>
      </c>
      <c r="B192" s="7">
        <v>1</v>
      </c>
      <c r="C192" s="8">
        <v>46045</v>
      </c>
      <c r="D192" s="3" t="s">
        <v>1541</v>
      </c>
      <c r="E192" s="3" t="s">
        <v>1451</v>
      </c>
      <c r="F192" s="3" t="s">
        <v>1264</v>
      </c>
      <c r="G192" s="3" t="s">
        <v>273</v>
      </c>
      <c r="H192" s="3" t="s">
        <v>1303</v>
      </c>
      <c r="I192" s="3" t="s">
        <v>1283</v>
      </c>
      <c r="J192" s="3" t="s">
        <v>38</v>
      </c>
      <c r="K192" s="2">
        <v>10</v>
      </c>
      <c r="L192" s="1">
        <v>65000</v>
      </c>
      <c r="M192" s="1">
        <v>650000</v>
      </c>
      <c r="N192" s="1">
        <v>15</v>
      </c>
      <c r="O192" s="1">
        <v>97500</v>
      </c>
    </row>
    <row r="193" spans="1:15">
      <c r="A193" s="6">
        <v>2026</v>
      </c>
      <c r="B193" s="7">
        <v>1</v>
      </c>
      <c r="C193" s="8">
        <v>46048</v>
      </c>
      <c r="D193" s="3" t="s">
        <v>1542</v>
      </c>
      <c r="E193" s="3" t="s">
        <v>1343</v>
      </c>
      <c r="F193" s="3" t="s">
        <v>1343</v>
      </c>
      <c r="G193" s="3" t="s">
        <v>1343</v>
      </c>
      <c r="H193" s="3" t="s">
        <v>1303</v>
      </c>
      <c r="I193" s="3" t="s">
        <v>1344</v>
      </c>
      <c r="J193" s="3" t="s">
        <v>41</v>
      </c>
      <c r="K193" s="2">
        <v>149</v>
      </c>
      <c r="L193" s="1">
        <v>90000</v>
      </c>
      <c r="M193" s="1">
        <v>13410000</v>
      </c>
      <c r="N193" s="1">
        <v>2</v>
      </c>
      <c r="O193" s="1">
        <v>268200</v>
      </c>
    </row>
    <row r="194" spans="1:15">
      <c r="A194" s="6">
        <v>2026</v>
      </c>
      <c r="B194" s="7">
        <v>1</v>
      </c>
      <c r="C194" s="8">
        <v>46048</v>
      </c>
      <c r="D194" s="3" t="s">
        <v>1543</v>
      </c>
      <c r="E194" s="3" t="s">
        <v>284</v>
      </c>
      <c r="F194" s="3" t="s">
        <v>281</v>
      </c>
      <c r="G194" s="3" t="s">
        <v>273</v>
      </c>
      <c r="H194" s="3" t="s">
        <v>1303</v>
      </c>
      <c r="I194" s="3" t="s">
        <v>867</v>
      </c>
      <c r="J194" s="3" t="s">
        <v>21</v>
      </c>
      <c r="K194" s="2">
        <v>10</v>
      </c>
      <c r="L194" s="1">
        <v>40621</v>
      </c>
      <c r="M194" s="1">
        <v>406210</v>
      </c>
      <c r="N194" s="1">
        <v>15</v>
      </c>
      <c r="O194" s="1">
        <v>60931.5</v>
      </c>
    </row>
    <row r="195" spans="1:15">
      <c r="A195" s="6">
        <v>2026</v>
      </c>
      <c r="B195" s="7">
        <v>1</v>
      </c>
      <c r="C195" s="8">
        <v>46048</v>
      </c>
      <c r="D195" s="3" t="s">
        <v>1544</v>
      </c>
      <c r="E195" s="3" t="s">
        <v>1302</v>
      </c>
      <c r="F195" s="3" t="s">
        <v>272</v>
      </c>
      <c r="G195" s="3" t="s">
        <v>273</v>
      </c>
      <c r="H195" s="3" t="s">
        <v>1303</v>
      </c>
      <c r="I195" s="3" t="s">
        <v>1545</v>
      </c>
      <c r="J195" s="3" t="s">
        <v>38</v>
      </c>
      <c r="K195" s="2">
        <v>100</v>
      </c>
      <c r="L195" s="1">
        <v>65000</v>
      </c>
      <c r="M195" s="1">
        <v>6500000</v>
      </c>
      <c r="N195" s="1">
        <v>15</v>
      </c>
      <c r="O195" s="1">
        <v>975000</v>
      </c>
    </row>
    <row r="196" spans="1:15">
      <c r="A196" s="6">
        <v>2026</v>
      </c>
      <c r="B196" s="7">
        <v>1</v>
      </c>
      <c r="C196" s="8">
        <v>46048</v>
      </c>
      <c r="D196" s="3" t="s">
        <v>1546</v>
      </c>
      <c r="E196" s="3" t="s">
        <v>1302</v>
      </c>
      <c r="F196" s="3" t="s">
        <v>272</v>
      </c>
      <c r="G196" s="3" t="s">
        <v>273</v>
      </c>
      <c r="H196" s="3" t="s">
        <v>1303</v>
      </c>
      <c r="I196" s="3" t="s">
        <v>1075</v>
      </c>
      <c r="J196" s="3" t="s">
        <v>38</v>
      </c>
      <c r="K196" s="2">
        <v>50</v>
      </c>
      <c r="L196" s="1">
        <v>65000</v>
      </c>
      <c r="M196" s="1">
        <v>3250000</v>
      </c>
      <c r="N196" s="1">
        <v>5</v>
      </c>
      <c r="O196" s="1">
        <v>162500</v>
      </c>
    </row>
    <row r="197" spans="1:15">
      <c r="A197" s="6">
        <v>2026</v>
      </c>
      <c r="B197" s="7">
        <v>1</v>
      </c>
      <c r="C197" s="8">
        <v>46048</v>
      </c>
      <c r="D197" s="3" t="s">
        <v>1546</v>
      </c>
      <c r="E197" s="3" t="s">
        <v>1302</v>
      </c>
      <c r="F197" s="3" t="s">
        <v>272</v>
      </c>
      <c r="G197" s="3" t="s">
        <v>273</v>
      </c>
      <c r="H197" s="3" t="s">
        <v>1303</v>
      </c>
      <c r="I197" s="3" t="s">
        <v>1075</v>
      </c>
      <c r="J197" s="3" t="s">
        <v>21</v>
      </c>
      <c r="K197" s="2">
        <v>240</v>
      </c>
      <c r="L197" s="1">
        <v>40621</v>
      </c>
      <c r="M197" s="1">
        <v>9749040</v>
      </c>
      <c r="N197" s="1">
        <v>10</v>
      </c>
      <c r="O197" s="1">
        <v>974904</v>
      </c>
    </row>
    <row r="198" spans="1:15">
      <c r="A198" s="6">
        <v>2026</v>
      </c>
      <c r="B198" s="7">
        <v>1</v>
      </c>
      <c r="C198" s="8">
        <v>46048</v>
      </c>
      <c r="D198" s="3" t="s">
        <v>1546</v>
      </c>
      <c r="E198" s="3" t="s">
        <v>1302</v>
      </c>
      <c r="F198" s="3" t="s">
        <v>272</v>
      </c>
      <c r="G198" s="3" t="s">
        <v>273</v>
      </c>
      <c r="H198" s="3" t="s">
        <v>1303</v>
      </c>
      <c r="I198" s="3" t="s">
        <v>1075</v>
      </c>
      <c r="J198" s="3" t="s">
        <v>466</v>
      </c>
      <c r="K198" s="2">
        <v>50</v>
      </c>
      <c r="L198" s="1">
        <v>120000</v>
      </c>
      <c r="M198" s="1">
        <v>6000000</v>
      </c>
      <c r="N198" s="1">
        <v>5</v>
      </c>
      <c r="O198" s="1">
        <v>300000</v>
      </c>
    </row>
    <row r="199" spans="1:15">
      <c r="A199" s="6">
        <v>2026</v>
      </c>
      <c r="B199" s="7">
        <v>1</v>
      </c>
      <c r="C199" s="8">
        <v>46048</v>
      </c>
      <c r="D199" s="3" t="s">
        <v>1546</v>
      </c>
      <c r="E199" s="3" t="s">
        <v>1302</v>
      </c>
      <c r="F199" s="3" t="s">
        <v>272</v>
      </c>
      <c r="G199" s="3" t="s">
        <v>273</v>
      </c>
      <c r="H199" s="3" t="s">
        <v>1303</v>
      </c>
      <c r="I199" s="3" t="s">
        <v>1075</v>
      </c>
      <c r="J199" s="3" t="s">
        <v>41</v>
      </c>
      <c r="K199" s="2">
        <v>50</v>
      </c>
      <c r="L199" s="1">
        <v>90000</v>
      </c>
      <c r="M199" s="1">
        <v>4500000</v>
      </c>
      <c r="N199" s="1">
        <v>5</v>
      </c>
      <c r="O199" s="1">
        <v>225000</v>
      </c>
    </row>
    <row r="200" spans="1:15">
      <c r="A200" s="6">
        <v>2026</v>
      </c>
      <c r="B200" s="7">
        <v>1</v>
      </c>
      <c r="C200" s="8">
        <v>46048</v>
      </c>
      <c r="D200" s="3" t="s">
        <v>1546</v>
      </c>
      <c r="E200" s="3" t="s">
        <v>1302</v>
      </c>
      <c r="F200" s="3" t="s">
        <v>272</v>
      </c>
      <c r="G200" s="3" t="s">
        <v>273</v>
      </c>
      <c r="H200" s="3" t="s">
        <v>1303</v>
      </c>
      <c r="I200" s="3" t="s">
        <v>1075</v>
      </c>
      <c r="J200" s="3" t="s">
        <v>46</v>
      </c>
      <c r="K200" s="2">
        <v>20</v>
      </c>
      <c r="L200" s="1">
        <v>64700</v>
      </c>
      <c r="M200" s="1">
        <v>1294000</v>
      </c>
      <c r="N200" s="1">
        <v>5</v>
      </c>
      <c r="O200" s="1">
        <v>64700</v>
      </c>
    </row>
    <row r="201" spans="1:15">
      <c r="A201" s="6">
        <v>2026</v>
      </c>
      <c r="B201" s="7">
        <v>1</v>
      </c>
      <c r="C201" s="8">
        <v>46048</v>
      </c>
      <c r="D201" s="3" t="s">
        <v>1546</v>
      </c>
      <c r="E201" s="3" t="s">
        <v>1302</v>
      </c>
      <c r="F201" s="3" t="s">
        <v>272</v>
      </c>
      <c r="G201" s="3" t="s">
        <v>273</v>
      </c>
      <c r="H201" s="3" t="s">
        <v>1303</v>
      </c>
      <c r="I201" s="3" t="s">
        <v>1075</v>
      </c>
      <c r="J201" s="3" t="s">
        <v>46</v>
      </c>
      <c r="K201" s="2">
        <v>30</v>
      </c>
      <c r="L201" s="1">
        <v>64700</v>
      </c>
      <c r="M201" s="1">
        <v>1941000</v>
      </c>
      <c r="N201" s="1">
        <v>5</v>
      </c>
      <c r="O201" s="1">
        <v>97050</v>
      </c>
    </row>
    <row r="202" spans="1:15">
      <c r="A202" s="6">
        <v>2026</v>
      </c>
      <c r="B202" s="7">
        <v>1</v>
      </c>
      <c r="C202" s="8">
        <v>46048</v>
      </c>
      <c r="D202" s="3" t="s">
        <v>1547</v>
      </c>
      <c r="E202" s="3" t="s">
        <v>284</v>
      </c>
      <c r="F202" s="3" t="s">
        <v>281</v>
      </c>
      <c r="G202" s="3" t="s">
        <v>273</v>
      </c>
      <c r="H202" s="3" t="s">
        <v>1303</v>
      </c>
      <c r="I202" s="3" t="s">
        <v>20</v>
      </c>
      <c r="J202" s="3" t="s">
        <v>38</v>
      </c>
      <c r="K202" s="2">
        <v>20</v>
      </c>
      <c r="L202" s="1">
        <v>65000</v>
      </c>
      <c r="M202" s="1">
        <v>1300000</v>
      </c>
      <c r="N202" s="1">
        <v>15</v>
      </c>
      <c r="O202" s="1">
        <v>195000</v>
      </c>
    </row>
    <row r="203" spans="1:15">
      <c r="A203" s="6">
        <v>2026</v>
      </c>
      <c r="B203" s="7">
        <v>1</v>
      </c>
      <c r="C203" s="8">
        <v>46048</v>
      </c>
      <c r="D203" s="3" t="s">
        <v>1548</v>
      </c>
      <c r="E203" s="3" t="s">
        <v>893</v>
      </c>
      <c r="F203" s="3" t="s">
        <v>894</v>
      </c>
      <c r="G203" s="3" t="s">
        <v>273</v>
      </c>
      <c r="H203" s="3" t="s">
        <v>1303</v>
      </c>
      <c r="I203" s="3" t="s">
        <v>665</v>
      </c>
      <c r="J203" s="3" t="s">
        <v>41</v>
      </c>
      <c r="K203" s="2">
        <v>50</v>
      </c>
      <c r="L203" s="1">
        <v>90000</v>
      </c>
      <c r="M203" s="1">
        <v>4500000</v>
      </c>
      <c r="N203" s="1">
        <v>8</v>
      </c>
      <c r="O203" s="1">
        <v>360000</v>
      </c>
    </row>
    <row r="204" spans="1:15">
      <c r="A204" s="6">
        <v>2026</v>
      </c>
      <c r="B204" s="7">
        <v>1</v>
      </c>
      <c r="C204" s="8">
        <v>46048</v>
      </c>
      <c r="D204" s="3" t="s">
        <v>1549</v>
      </c>
      <c r="E204" s="3" t="s">
        <v>284</v>
      </c>
      <c r="F204" s="3" t="s">
        <v>281</v>
      </c>
      <c r="G204" s="3" t="s">
        <v>273</v>
      </c>
      <c r="H204" s="3" t="s">
        <v>1303</v>
      </c>
      <c r="I204" s="3" t="s">
        <v>1432</v>
      </c>
      <c r="J204" s="3" t="s">
        <v>21</v>
      </c>
      <c r="K204" s="2">
        <v>15</v>
      </c>
      <c r="L204" s="1">
        <v>40621</v>
      </c>
      <c r="M204" s="1">
        <v>609315</v>
      </c>
      <c r="N204" s="1">
        <v>15</v>
      </c>
      <c r="O204" s="1">
        <v>91397.25</v>
      </c>
    </row>
    <row r="205" spans="1:15">
      <c r="A205" s="6">
        <v>2026</v>
      </c>
      <c r="B205" s="7">
        <v>1</v>
      </c>
      <c r="C205" s="8">
        <v>46049</v>
      </c>
      <c r="D205" s="3" t="s">
        <v>1550</v>
      </c>
      <c r="E205" s="3" t="s">
        <v>1302</v>
      </c>
      <c r="F205" s="3" t="s">
        <v>272</v>
      </c>
      <c r="G205" s="3" t="s">
        <v>273</v>
      </c>
      <c r="H205" s="3" t="s">
        <v>1303</v>
      </c>
      <c r="I205" s="3" t="s">
        <v>1487</v>
      </c>
      <c r="J205" s="3" t="s">
        <v>38</v>
      </c>
      <c r="K205" s="2">
        <v>10</v>
      </c>
      <c r="L205" s="1">
        <v>65000</v>
      </c>
      <c r="M205" s="1">
        <v>650000</v>
      </c>
      <c r="N205" s="1">
        <v>15</v>
      </c>
      <c r="O205" s="1">
        <v>97500</v>
      </c>
    </row>
    <row r="206" spans="1:15">
      <c r="A206" s="6">
        <v>2026</v>
      </c>
      <c r="B206" s="7">
        <v>1</v>
      </c>
      <c r="C206" s="8">
        <v>46049</v>
      </c>
      <c r="D206" s="3" t="s">
        <v>1550</v>
      </c>
      <c r="E206" s="3" t="s">
        <v>1302</v>
      </c>
      <c r="F206" s="3" t="s">
        <v>272</v>
      </c>
      <c r="G206" s="3" t="s">
        <v>273</v>
      </c>
      <c r="H206" s="3" t="s">
        <v>1303</v>
      </c>
      <c r="I206" s="3" t="s">
        <v>1487</v>
      </c>
      <c r="J206" s="3" t="s">
        <v>41</v>
      </c>
      <c r="K206" s="2">
        <v>30</v>
      </c>
      <c r="L206" s="1">
        <v>90000</v>
      </c>
      <c r="M206" s="1">
        <v>2700000</v>
      </c>
      <c r="N206" s="1">
        <v>15</v>
      </c>
      <c r="O206" s="1">
        <v>405000</v>
      </c>
    </row>
    <row r="207" spans="1:15">
      <c r="A207" s="6">
        <v>2026</v>
      </c>
      <c r="B207" s="7">
        <v>1</v>
      </c>
      <c r="C207" s="8">
        <v>46049</v>
      </c>
      <c r="D207" s="3" t="s">
        <v>1551</v>
      </c>
      <c r="E207" s="3" t="s">
        <v>1302</v>
      </c>
      <c r="F207" s="3" t="s">
        <v>272</v>
      </c>
      <c r="G207" s="3" t="s">
        <v>273</v>
      </c>
      <c r="H207" s="3" t="s">
        <v>1303</v>
      </c>
      <c r="I207" s="3" t="s">
        <v>913</v>
      </c>
      <c r="J207" s="3" t="s">
        <v>41</v>
      </c>
      <c r="K207" s="2">
        <v>100</v>
      </c>
      <c r="L207" s="1">
        <v>90000</v>
      </c>
      <c r="M207" s="1">
        <v>9000000</v>
      </c>
      <c r="N207" s="1">
        <v>15</v>
      </c>
      <c r="O207" s="1">
        <v>1350000</v>
      </c>
    </row>
    <row r="208" spans="1:15">
      <c r="A208" s="6">
        <v>2026</v>
      </c>
      <c r="B208" s="7">
        <v>1</v>
      </c>
      <c r="C208" s="8">
        <v>46049</v>
      </c>
      <c r="D208" s="3" t="s">
        <v>1552</v>
      </c>
      <c r="E208" s="3" t="s">
        <v>1553</v>
      </c>
      <c r="F208" s="3" t="s">
        <v>1291</v>
      </c>
      <c r="G208" s="3" t="s">
        <v>273</v>
      </c>
      <c r="H208" s="3" t="s">
        <v>1303</v>
      </c>
      <c r="I208" s="3" t="s">
        <v>1490</v>
      </c>
      <c r="J208" s="3" t="s">
        <v>38</v>
      </c>
      <c r="K208" s="2">
        <v>100</v>
      </c>
      <c r="L208" s="1">
        <v>65000</v>
      </c>
      <c r="M208" s="1">
        <v>6500000</v>
      </c>
      <c r="N208" s="1">
        <v>15</v>
      </c>
      <c r="O208" s="1">
        <v>975000</v>
      </c>
    </row>
    <row r="209" spans="1:15">
      <c r="A209" s="6">
        <v>2026</v>
      </c>
      <c r="B209" s="7">
        <v>1</v>
      </c>
      <c r="C209" s="8">
        <v>46049</v>
      </c>
      <c r="D209" s="3" t="s">
        <v>1554</v>
      </c>
      <c r="E209" s="3" t="s">
        <v>1462</v>
      </c>
      <c r="F209" s="3" t="s">
        <v>272</v>
      </c>
      <c r="G209" s="3" t="s">
        <v>273</v>
      </c>
      <c r="H209" s="3" t="s">
        <v>1303</v>
      </c>
      <c r="I209" s="3" t="s">
        <v>1445</v>
      </c>
      <c r="J209" s="3" t="s">
        <v>21</v>
      </c>
      <c r="K209" s="2">
        <v>30</v>
      </c>
      <c r="L209" s="1">
        <v>40621</v>
      </c>
      <c r="M209" s="1">
        <v>1218630</v>
      </c>
      <c r="N209" s="1">
        <v>15</v>
      </c>
      <c r="O209" s="1">
        <v>182794.5</v>
      </c>
    </row>
    <row r="210" spans="1:15">
      <c r="A210" s="6">
        <v>2026</v>
      </c>
      <c r="B210" s="7">
        <v>1</v>
      </c>
      <c r="C210" s="8">
        <v>46049</v>
      </c>
      <c r="D210" s="3" t="s">
        <v>1555</v>
      </c>
      <c r="E210" s="3" t="s">
        <v>1026</v>
      </c>
      <c r="F210" s="3" t="s">
        <v>1027</v>
      </c>
      <c r="G210" s="3" t="s">
        <v>273</v>
      </c>
      <c r="H210" s="3" t="s">
        <v>1303</v>
      </c>
      <c r="I210" s="3" t="s">
        <v>1556</v>
      </c>
      <c r="J210" s="3" t="s">
        <v>41</v>
      </c>
      <c r="K210" s="2">
        <v>50</v>
      </c>
      <c r="L210" s="1">
        <v>90000</v>
      </c>
      <c r="M210" s="1">
        <v>4500000</v>
      </c>
      <c r="N210" s="1">
        <v>15</v>
      </c>
      <c r="O210" s="1">
        <v>675000</v>
      </c>
    </row>
    <row r="211" spans="1:15">
      <c r="A211" s="6">
        <v>2026</v>
      </c>
      <c r="B211" s="7">
        <v>1</v>
      </c>
      <c r="C211" s="8">
        <v>46050</v>
      </c>
      <c r="D211" s="3" t="s">
        <v>1557</v>
      </c>
      <c r="E211" s="3" t="s">
        <v>1302</v>
      </c>
      <c r="F211" s="3" t="s">
        <v>272</v>
      </c>
      <c r="G211" s="3" t="s">
        <v>273</v>
      </c>
      <c r="H211" s="3" t="s">
        <v>1303</v>
      </c>
      <c r="I211" s="3" t="s">
        <v>989</v>
      </c>
      <c r="J211" s="3" t="s">
        <v>466</v>
      </c>
      <c r="K211" s="2">
        <v>10</v>
      </c>
      <c r="L211" s="1">
        <v>120000</v>
      </c>
      <c r="M211" s="1">
        <v>1200000</v>
      </c>
      <c r="N211" s="1">
        <v>15</v>
      </c>
      <c r="O211" s="1">
        <v>180000</v>
      </c>
    </row>
    <row r="212" spans="1:15">
      <c r="A212" s="6">
        <v>2026</v>
      </c>
      <c r="B212" s="7">
        <v>1</v>
      </c>
      <c r="C212" s="8">
        <v>46050</v>
      </c>
      <c r="D212" s="3" t="s">
        <v>1557</v>
      </c>
      <c r="E212" s="3" t="s">
        <v>1302</v>
      </c>
      <c r="F212" s="3" t="s">
        <v>272</v>
      </c>
      <c r="G212" s="3" t="s">
        <v>273</v>
      </c>
      <c r="H212" s="3" t="s">
        <v>1303</v>
      </c>
      <c r="I212" s="3" t="s">
        <v>989</v>
      </c>
      <c r="J212" s="3" t="s">
        <v>41</v>
      </c>
      <c r="K212" s="2">
        <v>10</v>
      </c>
      <c r="L212" s="1">
        <v>90000</v>
      </c>
      <c r="M212" s="1">
        <v>900000</v>
      </c>
      <c r="N212" s="1">
        <v>15</v>
      </c>
      <c r="O212" s="1">
        <v>135000</v>
      </c>
    </row>
    <row r="213" spans="1:15">
      <c r="A213" s="6">
        <v>2026</v>
      </c>
      <c r="B213" s="7">
        <v>1</v>
      </c>
      <c r="C213" s="8">
        <v>46050</v>
      </c>
      <c r="D213" s="3" t="s">
        <v>1557</v>
      </c>
      <c r="E213" s="3" t="s">
        <v>1302</v>
      </c>
      <c r="F213" s="3" t="s">
        <v>272</v>
      </c>
      <c r="G213" s="3" t="s">
        <v>273</v>
      </c>
      <c r="H213" s="3" t="s">
        <v>1303</v>
      </c>
      <c r="I213" s="3" t="s">
        <v>989</v>
      </c>
      <c r="J213" s="3" t="s">
        <v>21</v>
      </c>
      <c r="K213" s="2">
        <v>20</v>
      </c>
      <c r="L213" s="1">
        <v>40621</v>
      </c>
      <c r="M213" s="1">
        <v>812420</v>
      </c>
      <c r="N213" s="1">
        <v>15</v>
      </c>
      <c r="O213" s="1">
        <v>121863</v>
      </c>
    </row>
    <row r="214" spans="1:15">
      <c r="A214" s="6">
        <v>2026</v>
      </c>
      <c r="B214" s="7">
        <v>1</v>
      </c>
      <c r="C214" s="8">
        <v>46050</v>
      </c>
      <c r="D214" s="3" t="s">
        <v>1558</v>
      </c>
      <c r="E214" s="3" t="s">
        <v>863</v>
      </c>
      <c r="F214" s="3" t="s">
        <v>864</v>
      </c>
      <c r="G214" s="3" t="s">
        <v>273</v>
      </c>
      <c r="H214" s="3" t="s">
        <v>1303</v>
      </c>
      <c r="I214" s="3" t="s">
        <v>865</v>
      </c>
      <c r="J214" s="3" t="s">
        <v>46</v>
      </c>
      <c r="K214" s="2">
        <v>400</v>
      </c>
      <c r="L214" s="1">
        <v>64700</v>
      </c>
      <c r="M214" s="1">
        <v>25880000</v>
      </c>
      <c r="N214" s="1">
        <v>15</v>
      </c>
      <c r="O214" s="1">
        <v>3882000</v>
      </c>
    </row>
    <row r="215" spans="1:15">
      <c r="A215" s="6">
        <v>2026</v>
      </c>
      <c r="B215" s="7">
        <v>1</v>
      </c>
      <c r="C215" s="8">
        <v>46050</v>
      </c>
      <c r="D215" s="3" t="s">
        <v>1559</v>
      </c>
      <c r="E215" s="3" t="s">
        <v>1302</v>
      </c>
      <c r="F215" s="3" t="s">
        <v>272</v>
      </c>
      <c r="G215" s="3" t="s">
        <v>273</v>
      </c>
      <c r="H215" s="3" t="s">
        <v>1303</v>
      </c>
      <c r="I215" s="3" t="s">
        <v>1560</v>
      </c>
      <c r="J215" s="3" t="s">
        <v>21</v>
      </c>
      <c r="K215" s="2">
        <v>120</v>
      </c>
      <c r="L215" s="1">
        <v>40621</v>
      </c>
      <c r="M215" s="1">
        <v>4874520</v>
      </c>
      <c r="N215" s="1">
        <v>15</v>
      </c>
      <c r="O215" s="1">
        <v>731178</v>
      </c>
    </row>
    <row r="216" spans="1:15">
      <c r="A216" s="6">
        <v>2026</v>
      </c>
      <c r="B216" s="7">
        <v>1</v>
      </c>
      <c r="C216" s="8">
        <v>46051</v>
      </c>
      <c r="D216" s="3" t="s">
        <v>1561</v>
      </c>
      <c r="E216" s="3" t="s">
        <v>284</v>
      </c>
      <c r="F216" s="3" t="s">
        <v>281</v>
      </c>
      <c r="G216" s="3" t="s">
        <v>273</v>
      </c>
      <c r="H216" s="3" t="s">
        <v>1303</v>
      </c>
      <c r="I216" s="3" t="s">
        <v>1406</v>
      </c>
      <c r="J216" s="3" t="s">
        <v>21</v>
      </c>
      <c r="K216" s="2">
        <v>50</v>
      </c>
      <c r="L216" s="1">
        <v>40621</v>
      </c>
      <c r="M216" s="1">
        <v>2031050</v>
      </c>
      <c r="N216" s="1">
        <v>15</v>
      </c>
      <c r="O216" s="1">
        <v>304657.5</v>
      </c>
    </row>
    <row r="217" spans="1:15">
      <c r="A217" s="6">
        <v>2026</v>
      </c>
      <c r="B217" s="7">
        <v>1</v>
      </c>
      <c r="C217" s="8">
        <v>46051</v>
      </c>
      <c r="D217" s="3" t="s">
        <v>1562</v>
      </c>
      <c r="E217" s="3" t="s">
        <v>1302</v>
      </c>
      <c r="F217" s="3" t="s">
        <v>272</v>
      </c>
      <c r="G217" s="3" t="s">
        <v>273</v>
      </c>
      <c r="H217" s="3" t="s">
        <v>1303</v>
      </c>
      <c r="I217" s="3" t="s">
        <v>1330</v>
      </c>
      <c r="J217" s="3" t="s">
        <v>38</v>
      </c>
      <c r="K217" s="2">
        <v>30</v>
      </c>
      <c r="L217" s="1">
        <v>65000</v>
      </c>
      <c r="M217" s="1">
        <v>1950000</v>
      </c>
      <c r="N217" s="1">
        <v>5</v>
      </c>
      <c r="O217" s="1">
        <v>97500</v>
      </c>
    </row>
    <row r="218" spans="1:15">
      <c r="A218" s="6">
        <v>2026</v>
      </c>
      <c r="B218" s="7">
        <v>1</v>
      </c>
      <c r="C218" s="8">
        <v>46052</v>
      </c>
      <c r="D218" s="3" t="s">
        <v>1563</v>
      </c>
      <c r="E218" s="3" t="s">
        <v>1420</v>
      </c>
      <c r="F218" s="3" t="s">
        <v>1319</v>
      </c>
      <c r="G218" s="3" t="s">
        <v>273</v>
      </c>
      <c r="H218" s="3" t="s">
        <v>1303</v>
      </c>
      <c r="I218" s="3" t="s">
        <v>1320</v>
      </c>
      <c r="J218" s="3" t="s">
        <v>41</v>
      </c>
      <c r="K218" s="2">
        <v>100</v>
      </c>
      <c r="L218" s="1">
        <v>90000</v>
      </c>
      <c r="M218" s="1">
        <v>9000000</v>
      </c>
      <c r="N218" s="1">
        <v>15</v>
      </c>
      <c r="O218" s="1">
        <v>1350000</v>
      </c>
    </row>
    <row r="219" spans="1:15">
      <c r="A219" s="6">
        <v>2026</v>
      </c>
      <c r="B219" s="7">
        <v>1</v>
      </c>
      <c r="C219" s="8">
        <v>46052</v>
      </c>
      <c r="D219" s="3" t="s">
        <v>1564</v>
      </c>
      <c r="E219" s="3" t="s">
        <v>1489</v>
      </c>
      <c r="F219" s="3" t="s">
        <v>1291</v>
      </c>
      <c r="G219" s="3" t="s">
        <v>273</v>
      </c>
      <c r="H219" s="3" t="s">
        <v>1303</v>
      </c>
      <c r="I219" s="3" t="s">
        <v>1565</v>
      </c>
      <c r="J219" s="3" t="s">
        <v>38</v>
      </c>
      <c r="K219" s="2">
        <v>50</v>
      </c>
      <c r="L219" s="1">
        <v>65000</v>
      </c>
      <c r="M219" s="1">
        <v>3250000</v>
      </c>
      <c r="N219" s="1">
        <v>15</v>
      </c>
      <c r="O219" s="1">
        <v>487500</v>
      </c>
    </row>
    <row r="220" spans="1:15">
      <c r="A220" s="6">
        <v>2026</v>
      </c>
      <c r="B220" s="7">
        <v>1</v>
      </c>
      <c r="C220" s="8">
        <v>46052</v>
      </c>
      <c r="D220" s="3" t="s">
        <v>1566</v>
      </c>
      <c r="E220" s="3" t="s">
        <v>284</v>
      </c>
      <c r="F220" s="3" t="s">
        <v>281</v>
      </c>
      <c r="G220" s="3" t="s">
        <v>273</v>
      </c>
      <c r="H220" s="3" t="s">
        <v>1303</v>
      </c>
      <c r="I220" s="3" t="s">
        <v>1311</v>
      </c>
      <c r="J220" s="3" t="s">
        <v>21</v>
      </c>
      <c r="K220" s="2">
        <v>35</v>
      </c>
      <c r="L220" s="1">
        <v>40621</v>
      </c>
      <c r="M220" s="1">
        <v>1421735</v>
      </c>
      <c r="N220" s="1">
        <v>15</v>
      </c>
      <c r="O220" s="1">
        <v>213260.25</v>
      </c>
    </row>
    <row r="221" spans="1:15">
      <c r="A221" s="6">
        <v>2026</v>
      </c>
      <c r="B221" s="7">
        <v>1</v>
      </c>
      <c r="C221" s="8">
        <v>46052</v>
      </c>
      <c r="D221" s="3" t="s">
        <v>1567</v>
      </c>
      <c r="E221" s="3" t="s">
        <v>1026</v>
      </c>
      <c r="F221" s="3" t="s">
        <v>1027</v>
      </c>
      <c r="G221" s="3" t="s">
        <v>273</v>
      </c>
      <c r="H221" s="3" t="s">
        <v>1303</v>
      </c>
      <c r="I221" s="3" t="s">
        <v>1568</v>
      </c>
      <c r="J221" s="3" t="s">
        <v>41</v>
      </c>
      <c r="K221" s="2">
        <v>50</v>
      </c>
      <c r="L221" s="1">
        <v>90000</v>
      </c>
      <c r="M221" s="1">
        <v>4500000</v>
      </c>
      <c r="N221" s="1">
        <v>15</v>
      </c>
      <c r="O221" s="1">
        <v>675000</v>
      </c>
    </row>
    <row r="222" spans="1:15">
      <c r="A222" s="6">
        <v>2026</v>
      </c>
      <c r="B222" s="7">
        <v>1</v>
      </c>
      <c r="C222" s="8">
        <v>46052</v>
      </c>
      <c r="D222" s="3" t="s">
        <v>1569</v>
      </c>
      <c r="E222" s="3" t="s">
        <v>1302</v>
      </c>
      <c r="F222" s="3" t="s">
        <v>272</v>
      </c>
      <c r="G222" s="3" t="s">
        <v>273</v>
      </c>
      <c r="H222" s="3" t="s">
        <v>1303</v>
      </c>
      <c r="I222" s="3" t="s">
        <v>983</v>
      </c>
      <c r="J222" s="3" t="s">
        <v>38</v>
      </c>
      <c r="K222" s="2">
        <v>50</v>
      </c>
      <c r="L222" s="1">
        <v>65000</v>
      </c>
      <c r="M222" s="1">
        <v>3250000</v>
      </c>
      <c r="N222" s="1">
        <v>15</v>
      </c>
      <c r="O222" s="1">
        <v>487500</v>
      </c>
    </row>
    <row r="223" spans="1:15">
      <c r="A223" s="6">
        <v>2026</v>
      </c>
      <c r="B223" s="7">
        <v>2</v>
      </c>
      <c r="C223" s="8">
        <v>46055</v>
      </c>
      <c r="D223" s="3" t="s">
        <v>1570</v>
      </c>
      <c r="E223" s="3" t="s">
        <v>284</v>
      </c>
      <c r="F223" s="3" t="s">
        <v>281</v>
      </c>
      <c r="G223" s="3" t="s">
        <v>273</v>
      </c>
      <c r="H223" s="3" t="s">
        <v>1303</v>
      </c>
      <c r="I223" s="3" t="s">
        <v>443</v>
      </c>
      <c r="J223" s="3" t="s">
        <v>466</v>
      </c>
      <c r="K223" s="2">
        <v>20</v>
      </c>
      <c r="L223" s="1">
        <v>120000</v>
      </c>
      <c r="M223" s="1">
        <v>2400000</v>
      </c>
      <c r="N223" s="1">
        <v>10</v>
      </c>
      <c r="O223" s="1">
        <v>240000</v>
      </c>
    </row>
    <row r="224" spans="1:15">
      <c r="A224" s="6">
        <v>2026</v>
      </c>
      <c r="B224" s="7">
        <v>2</v>
      </c>
      <c r="C224" s="8">
        <v>46056</v>
      </c>
      <c r="D224" s="3" t="s">
        <v>1571</v>
      </c>
      <c r="E224" s="3" t="s">
        <v>1451</v>
      </c>
      <c r="F224" s="3" t="s">
        <v>1264</v>
      </c>
      <c r="G224" s="3" t="s">
        <v>273</v>
      </c>
      <c r="H224" s="3" t="s">
        <v>1303</v>
      </c>
      <c r="I224" s="3" t="s">
        <v>1265</v>
      </c>
      <c r="J224" s="3" t="s">
        <v>46</v>
      </c>
      <c r="K224" s="2">
        <v>10</v>
      </c>
      <c r="L224" s="1">
        <v>64700</v>
      </c>
      <c r="M224" s="1">
        <v>647000</v>
      </c>
      <c r="N224" s="1">
        <v>15</v>
      </c>
      <c r="O224" s="1">
        <v>97050</v>
      </c>
    </row>
    <row r="225" spans="1:15">
      <c r="A225" s="6">
        <v>2026</v>
      </c>
      <c r="B225" s="7">
        <v>2</v>
      </c>
      <c r="C225" s="8">
        <v>46056</v>
      </c>
      <c r="D225" s="3" t="s">
        <v>1572</v>
      </c>
      <c r="E225" s="3" t="s">
        <v>1451</v>
      </c>
      <c r="F225" s="3" t="s">
        <v>1264</v>
      </c>
      <c r="G225" s="3" t="s">
        <v>273</v>
      </c>
      <c r="H225" s="3" t="s">
        <v>1303</v>
      </c>
      <c r="I225" s="3" t="s">
        <v>1265</v>
      </c>
      <c r="J225" s="3" t="s">
        <v>46</v>
      </c>
      <c r="K225" s="2">
        <v>40</v>
      </c>
      <c r="L225" s="1">
        <v>64700</v>
      </c>
      <c r="M225" s="1">
        <v>2588000</v>
      </c>
      <c r="N225" s="1">
        <v>15</v>
      </c>
      <c r="O225" s="1">
        <v>388200</v>
      </c>
    </row>
    <row r="226" spans="1:15">
      <c r="A226" s="6">
        <v>2026</v>
      </c>
      <c r="B226" s="7">
        <v>2</v>
      </c>
      <c r="C226" s="8">
        <v>46057</v>
      </c>
      <c r="D226" s="3" t="s">
        <v>1573</v>
      </c>
      <c r="E226" s="3" t="s">
        <v>1314</v>
      </c>
      <c r="F226" s="3" t="s">
        <v>1314</v>
      </c>
      <c r="G226" s="3" t="s">
        <v>1314</v>
      </c>
      <c r="H226" s="3" t="s">
        <v>1303</v>
      </c>
      <c r="I226" s="3" t="s">
        <v>33</v>
      </c>
      <c r="J226" s="3" t="s">
        <v>46</v>
      </c>
      <c r="K226" s="1">
        <v>1000</v>
      </c>
      <c r="L226" s="1">
        <v>64700</v>
      </c>
      <c r="M226" s="1">
        <v>64700000</v>
      </c>
      <c r="N226" s="1">
        <v>2</v>
      </c>
      <c r="O226" s="1">
        <v>1294000</v>
      </c>
    </row>
    <row r="227" spans="1:15">
      <c r="A227" s="6">
        <v>2026</v>
      </c>
      <c r="B227" s="7">
        <v>2</v>
      </c>
      <c r="C227" s="8">
        <v>46057</v>
      </c>
      <c r="D227" s="3" t="s">
        <v>1573</v>
      </c>
      <c r="E227" s="3" t="s">
        <v>1314</v>
      </c>
      <c r="F227" s="3" t="s">
        <v>1314</v>
      </c>
      <c r="G227" s="3" t="s">
        <v>1314</v>
      </c>
      <c r="H227" s="3" t="s">
        <v>1303</v>
      </c>
      <c r="I227" s="3" t="s">
        <v>33</v>
      </c>
      <c r="J227" s="3" t="s">
        <v>466</v>
      </c>
      <c r="K227" s="2">
        <v>500</v>
      </c>
      <c r="L227" s="1">
        <v>120000</v>
      </c>
      <c r="M227" s="1">
        <v>60000000</v>
      </c>
      <c r="N227" s="1">
        <v>2</v>
      </c>
      <c r="O227" s="1">
        <v>1200000</v>
      </c>
    </row>
    <row r="228" spans="1:15">
      <c r="A228" s="6">
        <v>2026</v>
      </c>
      <c r="B228" s="7">
        <v>2</v>
      </c>
      <c r="C228" s="8">
        <v>46057</v>
      </c>
      <c r="D228" s="3" t="s">
        <v>1573</v>
      </c>
      <c r="E228" s="3" t="s">
        <v>1314</v>
      </c>
      <c r="F228" s="3" t="s">
        <v>1314</v>
      </c>
      <c r="G228" s="3" t="s">
        <v>1314</v>
      </c>
      <c r="H228" s="3" t="s">
        <v>1303</v>
      </c>
      <c r="I228" s="3" t="s">
        <v>33</v>
      </c>
      <c r="J228" s="3" t="s">
        <v>38</v>
      </c>
      <c r="K228" s="2">
        <v>450</v>
      </c>
      <c r="L228" s="1">
        <v>65000</v>
      </c>
      <c r="M228" s="1">
        <v>29250000</v>
      </c>
      <c r="N228" s="1">
        <v>2</v>
      </c>
      <c r="O228" s="1">
        <v>585000</v>
      </c>
    </row>
    <row r="229" spans="1:15">
      <c r="A229" s="6">
        <v>2026</v>
      </c>
      <c r="B229" s="7">
        <v>2</v>
      </c>
      <c r="C229" s="8">
        <v>46057</v>
      </c>
      <c r="D229" s="3" t="s">
        <v>1574</v>
      </c>
      <c r="E229" s="3" t="s">
        <v>1302</v>
      </c>
      <c r="F229" s="3" t="s">
        <v>272</v>
      </c>
      <c r="G229" s="3" t="s">
        <v>273</v>
      </c>
      <c r="H229" s="3" t="s">
        <v>1303</v>
      </c>
      <c r="I229" s="3" t="s">
        <v>989</v>
      </c>
      <c r="J229" s="3" t="s">
        <v>21</v>
      </c>
      <c r="K229" s="2">
        <v>30</v>
      </c>
      <c r="L229" s="1">
        <v>40621</v>
      </c>
      <c r="M229" s="1">
        <v>1218630</v>
      </c>
      <c r="N229" s="1">
        <v>15</v>
      </c>
      <c r="O229" s="1">
        <v>182794.5</v>
      </c>
    </row>
    <row r="230" spans="1:15">
      <c r="A230" s="6">
        <v>2026</v>
      </c>
      <c r="B230" s="7">
        <v>2</v>
      </c>
      <c r="C230" s="8">
        <v>46057</v>
      </c>
      <c r="D230" s="3" t="s">
        <v>1575</v>
      </c>
      <c r="E230" s="3" t="s">
        <v>1271</v>
      </c>
      <c r="F230" s="3" t="s">
        <v>1272</v>
      </c>
      <c r="G230" s="3" t="s">
        <v>273</v>
      </c>
      <c r="H230" s="3" t="s">
        <v>1303</v>
      </c>
      <c r="I230" s="3" t="s">
        <v>1524</v>
      </c>
      <c r="J230" s="3" t="s">
        <v>41</v>
      </c>
      <c r="K230" s="2">
        <v>20</v>
      </c>
      <c r="L230" s="1">
        <v>90000</v>
      </c>
      <c r="M230" s="1">
        <v>1800000</v>
      </c>
      <c r="N230" s="1">
        <v>15</v>
      </c>
      <c r="O230" s="1">
        <v>270000</v>
      </c>
    </row>
    <row r="231" spans="1:15">
      <c r="A231" s="6">
        <v>2026</v>
      </c>
      <c r="B231" s="7">
        <v>2</v>
      </c>
      <c r="C231" s="8">
        <v>46058</v>
      </c>
      <c r="D231" s="3" t="s">
        <v>1576</v>
      </c>
      <c r="E231" s="3" t="s">
        <v>1462</v>
      </c>
      <c r="F231" s="3" t="s">
        <v>272</v>
      </c>
      <c r="G231" s="3" t="s">
        <v>273</v>
      </c>
      <c r="H231" s="3" t="s">
        <v>1303</v>
      </c>
      <c r="I231" s="3" t="s">
        <v>1445</v>
      </c>
      <c r="J231" s="3" t="s">
        <v>21</v>
      </c>
      <c r="K231" s="2">
        <v>30</v>
      </c>
      <c r="L231" s="1">
        <v>40621</v>
      </c>
      <c r="M231" s="1">
        <v>1218630</v>
      </c>
      <c r="N231" s="1">
        <v>15</v>
      </c>
      <c r="O231" s="1">
        <v>182794.5</v>
      </c>
    </row>
    <row r="232" spans="1:15">
      <c r="A232" s="6">
        <v>2026</v>
      </c>
      <c r="B232" s="7">
        <v>2</v>
      </c>
      <c r="C232" s="8">
        <v>46058</v>
      </c>
      <c r="D232" s="3" t="s">
        <v>1577</v>
      </c>
      <c r="E232" s="3" t="s">
        <v>1578</v>
      </c>
      <c r="F232" s="3" t="s">
        <v>875</v>
      </c>
      <c r="G232" s="3" t="s">
        <v>273</v>
      </c>
      <c r="H232" s="3" t="s">
        <v>1303</v>
      </c>
      <c r="I232" s="3" t="s">
        <v>1579</v>
      </c>
      <c r="J232" s="3" t="s">
        <v>38</v>
      </c>
      <c r="K232" s="2">
        <v>50</v>
      </c>
      <c r="L232" s="1">
        <v>65000</v>
      </c>
      <c r="M232" s="1">
        <v>3250000</v>
      </c>
      <c r="N232" s="1">
        <v>15</v>
      </c>
      <c r="O232" s="1">
        <v>487500</v>
      </c>
    </row>
    <row r="233" spans="1:15">
      <c r="A233" s="6">
        <v>2026</v>
      </c>
      <c r="B233" s="7">
        <v>2</v>
      </c>
      <c r="C233" s="8">
        <v>46058</v>
      </c>
      <c r="D233" s="3" t="s">
        <v>1580</v>
      </c>
      <c r="E233" s="3" t="s">
        <v>1581</v>
      </c>
      <c r="F233" s="3" t="s">
        <v>288</v>
      </c>
      <c r="G233" s="3" t="s">
        <v>273</v>
      </c>
      <c r="H233" s="3" t="s">
        <v>1303</v>
      </c>
      <c r="I233" s="3" t="s">
        <v>358</v>
      </c>
      <c r="J233" s="3" t="s">
        <v>466</v>
      </c>
      <c r="K233" s="2">
        <v>20</v>
      </c>
      <c r="L233" s="1">
        <v>120000</v>
      </c>
      <c r="M233" s="1">
        <v>2400000</v>
      </c>
      <c r="N233" s="1">
        <v>15</v>
      </c>
      <c r="O233" s="1">
        <v>360000</v>
      </c>
    </row>
    <row r="234" spans="1:15">
      <c r="A234" s="6">
        <v>2026</v>
      </c>
      <c r="B234" s="7">
        <v>2</v>
      </c>
      <c r="C234" s="8">
        <v>46058</v>
      </c>
      <c r="D234" s="3" t="s">
        <v>1580</v>
      </c>
      <c r="E234" s="3" t="s">
        <v>1581</v>
      </c>
      <c r="F234" s="3" t="s">
        <v>288</v>
      </c>
      <c r="G234" s="3" t="s">
        <v>273</v>
      </c>
      <c r="H234" s="3" t="s">
        <v>1303</v>
      </c>
      <c r="I234" s="3" t="s">
        <v>358</v>
      </c>
      <c r="J234" s="3" t="s">
        <v>38</v>
      </c>
      <c r="K234" s="2">
        <v>10</v>
      </c>
      <c r="L234" s="1">
        <v>65000</v>
      </c>
      <c r="M234" s="1">
        <v>650000</v>
      </c>
      <c r="N234" s="1">
        <v>15</v>
      </c>
      <c r="O234" s="1">
        <v>97500</v>
      </c>
    </row>
    <row r="235" spans="1:15">
      <c r="A235" s="6">
        <v>2026</v>
      </c>
      <c r="B235" s="7">
        <v>2</v>
      </c>
      <c r="C235" s="8">
        <v>46059</v>
      </c>
      <c r="D235" s="3" t="s">
        <v>1582</v>
      </c>
      <c r="E235" s="3" t="s">
        <v>1383</v>
      </c>
      <c r="F235" s="3" t="s">
        <v>1280</v>
      </c>
      <c r="G235" s="3" t="s">
        <v>273</v>
      </c>
      <c r="H235" s="3" t="s">
        <v>1303</v>
      </c>
      <c r="I235" s="3" t="s">
        <v>1155</v>
      </c>
      <c r="J235" s="3" t="s">
        <v>38</v>
      </c>
      <c r="K235" s="2">
        <v>50</v>
      </c>
      <c r="L235" s="1">
        <v>65000</v>
      </c>
      <c r="M235" s="1">
        <v>3250000</v>
      </c>
      <c r="N235" s="1">
        <v>15</v>
      </c>
      <c r="O235" s="1">
        <v>487500</v>
      </c>
    </row>
    <row r="236" spans="1:15">
      <c r="A236" s="6">
        <v>2026</v>
      </c>
      <c r="B236" s="7">
        <v>2</v>
      </c>
      <c r="C236" s="8">
        <v>46059</v>
      </c>
      <c r="D236" s="3" t="s">
        <v>1583</v>
      </c>
      <c r="E236" s="3" t="s">
        <v>1302</v>
      </c>
      <c r="F236" s="3" t="s">
        <v>272</v>
      </c>
      <c r="G236" s="3" t="s">
        <v>273</v>
      </c>
      <c r="H236" s="3" t="s">
        <v>1303</v>
      </c>
      <c r="I236" s="3" t="s">
        <v>1316</v>
      </c>
      <c r="J236" s="3" t="s">
        <v>21</v>
      </c>
      <c r="K236" s="2">
        <v>240</v>
      </c>
      <c r="L236" s="1">
        <v>40621</v>
      </c>
      <c r="M236" s="1">
        <v>9749040</v>
      </c>
      <c r="N236" s="1">
        <v>15</v>
      </c>
      <c r="O236" s="1">
        <v>1462356</v>
      </c>
    </row>
    <row r="237" spans="1:15">
      <c r="A237" s="6">
        <v>2026</v>
      </c>
      <c r="B237" s="7">
        <v>2</v>
      </c>
      <c r="C237" s="8">
        <v>46059</v>
      </c>
      <c r="D237" s="3" t="s">
        <v>1584</v>
      </c>
      <c r="E237" s="3" t="s">
        <v>912</v>
      </c>
      <c r="F237" s="3" t="s">
        <v>871</v>
      </c>
      <c r="G237" s="3" t="s">
        <v>273</v>
      </c>
      <c r="H237" s="3" t="s">
        <v>1303</v>
      </c>
      <c r="I237" s="3" t="s">
        <v>1545</v>
      </c>
      <c r="J237" s="3" t="s">
        <v>41</v>
      </c>
      <c r="K237" s="2">
        <v>50</v>
      </c>
      <c r="L237" s="1">
        <v>90000</v>
      </c>
      <c r="M237" s="1">
        <v>4500000</v>
      </c>
      <c r="N237" s="1">
        <v>15</v>
      </c>
      <c r="O237" s="1">
        <v>675000</v>
      </c>
    </row>
    <row r="238" spans="1:15">
      <c r="A238" s="6">
        <v>2026</v>
      </c>
      <c r="B238" s="7">
        <v>2</v>
      </c>
      <c r="C238" s="8">
        <v>46059</v>
      </c>
      <c r="D238" s="3" t="s">
        <v>1585</v>
      </c>
      <c r="E238" s="3" t="s">
        <v>1578</v>
      </c>
      <c r="F238" s="3" t="s">
        <v>875</v>
      </c>
      <c r="G238" s="3" t="s">
        <v>273</v>
      </c>
      <c r="H238" s="3" t="s">
        <v>1303</v>
      </c>
      <c r="I238" s="3" t="s">
        <v>930</v>
      </c>
      <c r="J238" s="3" t="s">
        <v>38</v>
      </c>
      <c r="K238" s="2">
        <v>50</v>
      </c>
      <c r="L238" s="1">
        <v>65000</v>
      </c>
      <c r="M238" s="1">
        <v>3250000</v>
      </c>
      <c r="N238" s="1">
        <v>15</v>
      </c>
      <c r="O238" s="1">
        <v>487500</v>
      </c>
    </row>
    <row r="239" spans="1:15">
      <c r="A239" s="6">
        <v>2026</v>
      </c>
      <c r="B239" s="7">
        <v>2</v>
      </c>
      <c r="C239" s="8">
        <v>46062</v>
      </c>
      <c r="D239" s="3" t="s">
        <v>1586</v>
      </c>
      <c r="E239" s="3" t="s">
        <v>912</v>
      </c>
      <c r="F239" s="3" t="s">
        <v>871</v>
      </c>
      <c r="G239" s="3" t="s">
        <v>273</v>
      </c>
      <c r="H239" s="3" t="s">
        <v>1303</v>
      </c>
      <c r="I239" s="3" t="s">
        <v>913</v>
      </c>
      <c r="J239" s="3" t="s">
        <v>38</v>
      </c>
      <c r="K239" s="2">
        <v>100</v>
      </c>
      <c r="L239" s="1">
        <v>65000</v>
      </c>
      <c r="M239" s="1">
        <v>6500000</v>
      </c>
      <c r="N239" s="1">
        <v>15</v>
      </c>
      <c r="O239" s="1">
        <v>975000</v>
      </c>
    </row>
    <row r="240" spans="1:15">
      <c r="A240" s="6">
        <v>2026</v>
      </c>
      <c r="B240" s="7">
        <v>2</v>
      </c>
      <c r="C240" s="8">
        <v>46063</v>
      </c>
      <c r="D240" s="3" t="s">
        <v>1587</v>
      </c>
      <c r="E240" s="3" t="s">
        <v>1302</v>
      </c>
      <c r="F240" s="3" t="s">
        <v>272</v>
      </c>
      <c r="G240" s="3" t="s">
        <v>273</v>
      </c>
      <c r="H240" s="3" t="s">
        <v>1303</v>
      </c>
      <c r="I240" s="3" t="s">
        <v>1388</v>
      </c>
      <c r="J240" s="3" t="s">
        <v>466</v>
      </c>
      <c r="K240" s="2">
        <v>40</v>
      </c>
      <c r="L240" s="1">
        <v>120000</v>
      </c>
      <c r="M240" s="1">
        <v>4800000</v>
      </c>
      <c r="N240" s="1">
        <v>15</v>
      </c>
      <c r="O240" s="1">
        <v>720000</v>
      </c>
    </row>
    <row r="241" spans="1:15">
      <c r="A241" s="6">
        <v>2026</v>
      </c>
      <c r="B241" s="7">
        <v>2</v>
      </c>
      <c r="C241" s="8">
        <v>46063</v>
      </c>
      <c r="D241" s="3" t="s">
        <v>1588</v>
      </c>
      <c r="E241" s="3" t="s">
        <v>284</v>
      </c>
      <c r="F241" s="3" t="s">
        <v>281</v>
      </c>
      <c r="G241" s="3" t="s">
        <v>273</v>
      </c>
      <c r="H241" s="3" t="s">
        <v>1303</v>
      </c>
      <c r="I241" s="3" t="s">
        <v>23</v>
      </c>
      <c r="J241" s="3" t="s">
        <v>38</v>
      </c>
      <c r="K241" s="2">
        <v>20</v>
      </c>
      <c r="L241" s="1">
        <v>65000</v>
      </c>
      <c r="M241" s="1">
        <v>1300000</v>
      </c>
      <c r="N241" s="1">
        <v>15</v>
      </c>
      <c r="O241" s="1">
        <v>195000</v>
      </c>
    </row>
    <row r="242" spans="1:15">
      <c r="A242" s="6">
        <v>2026</v>
      </c>
      <c r="B242" s="7">
        <v>2</v>
      </c>
      <c r="C242" s="8">
        <v>46063</v>
      </c>
      <c r="D242" s="3" t="s">
        <v>1589</v>
      </c>
      <c r="E242" s="3" t="s">
        <v>1590</v>
      </c>
      <c r="F242" s="3" t="s">
        <v>871</v>
      </c>
      <c r="G242" s="3" t="s">
        <v>273</v>
      </c>
      <c r="H242" s="3" t="s">
        <v>1303</v>
      </c>
      <c r="I242" s="3" t="s">
        <v>1507</v>
      </c>
      <c r="J242" s="3" t="s">
        <v>41</v>
      </c>
      <c r="K242" s="2">
        <v>30</v>
      </c>
      <c r="L242" s="1">
        <v>90000</v>
      </c>
      <c r="M242" s="1">
        <v>2700000</v>
      </c>
      <c r="N242" s="1">
        <v>15</v>
      </c>
      <c r="O242" s="1">
        <v>405000</v>
      </c>
    </row>
    <row r="243" spans="1:15">
      <c r="A243" s="6">
        <v>2026</v>
      </c>
      <c r="B243" s="7">
        <v>2</v>
      </c>
      <c r="C243" s="8">
        <v>46063</v>
      </c>
      <c r="D243" s="3" t="s">
        <v>1591</v>
      </c>
      <c r="E243" s="3" t="s">
        <v>1462</v>
      </c>
      <c r="F243" s="3" t="s">
        <v>272</v>
      </c>
      <c r="G243" s="3" t="s">
        <v>273</v>
      </c>
      <c r="H243" s="3" t="s">
        <v>1303</v>
      </c>
      <c r="I243" s="3" t="s">
        <v>1445</v>
      </c>
      <c r="J243" s="3" t="s">
        <v>21</v>
      </c>
      <c r="K243" s="2">
        <v>30</v>
      </c>
      <c r="L243" s="1">
        <v>40621</v>
      </c>
      <c r="M243" s="1">
        <v>1218630</v>
      </c>
      <c r="N243" s="1">
        <v>15</v>
      </c>
      <c r="O243" s="1">
        <v>182794.5</v>
      </c>
    </row>
    <row r="244" spans="1:15">
      <c r="A244" s="6">
        <v>2026</v>
      </c>
      <c r="B244" s="7">
        <v>2</v>
      </c>
      <c r="C244" s="8">
        <v>46063</v>
      </c>
      <c r="D244" s="3" t="s">
        <v>1592</v>
      </c>
      <c r="E244" s="3" t="s">
        <v>284</v>
      </c>
      <c r="F244" s="3" t="s">
        <v>281</v>
      </c>
      <c r="G244" s="3" t="s">
        <v>273</v>
      </c>
      <c r="H244" s="3" t="s">
        <v>1303</v>
      </c>
      <c r="I244" s="3" t="s">
        <v>531</v>
      </c>
      <c r="J244" s="3" t="s">
        <v>21</v>
      </c>
      <c r="K244" s="2">
        <v>100</v>
      </c>
      <c r="L244" s="1">
        <v>40621</v>
      </c>
      <c r="M244" s="1">
        <v>4062100</v>
      </c>
      <c r="N244" s="1">
        <v>15</v>
      </c>
      <c r="O244" s="1">
        <v>609315</v>
      </c>
    </row>
    <row r="245" spans="1:15">
      <c r="A245" s="6">
        <v>2026</v>
      </c>
      <c r="B245" s="7">
        <v>2</v>
      </c>
      <c r="C245" s="8">
        <v>46063</v>
      </c>
      <c r="D245" s="3" t="s">
        <v>1593</v>
      </c>
      <c r="E245" s="3" t="s">
        <v>1302</v>
      </c>
      <c r="F245" s="3" t="s">
        <v>272</v>
      </c>
      <c r="G245" s="3" t="s">
        <v>273</v>
      </c>
      <c r="H245" s="3" t="s">
        <v>1303</v>
      </c>
      <c r="I245" s="3" t="s">
        <v>907</v>
      </c>
      <c r="J245" s="3" t="s">
        <v>41</v>
      </c>
      <c r="K245" s="2">
        <v>5</v>
      </c>
      <c r="L245" s="1">
        <v>90000</v>
      </c>
      <c r="M245" s="1">
        <v>450000</v>
      </c>
      <c r="N245" s="1">
        <v>15</v>
      </c>
      <c r="O245" s="1">
        <v>67500</v>
      </c>
    </row>
    <row r="246" spans="1:15">
      <c r="A246" s="6">
        <v>2026</v>
      </c>
      <c r="B246" s="7">
        <v>2</v>
      </c>
      <c r="C246" s="8">
        <v>46063</v>
      </c>
      <c r="D246" s="3" t="s">
        <v>1593</v>
      </c>
      <c r="E246" s="3" t="s">
        <v>1302</v>
      </c>
      <c r="F246" s="3" t="s">
        <v>272</v>
      </c>
      <c r="G246" s="3" t="s">
        <v>273</v>
      </c>
      <c r="H246" s="3" t="s">
        <v>1303</v>
      </c>
      <c r="I246" s="3" t="s">
        <v>907</v>
      </c>
      <c r="J246" s="3" t="s">
        <v>466</v>
      </c>
      <c r="K246" s="2">
        <v>5</v>
      </c>
      <c r="L246" s="1">
        <v>120000</v>
      </c>
      <c r="M246" s="1">
        <v>600000</v>
      </c>
      <c r="N246" s="1">
        <v>15</v>
      </c>
      <c r="O246" s="1">
        <v>90000</v>
      </c>
    </row>
    <row r="247" spans="1:15">
      <c r="A247" s="6">
        <v>2026</v>
      </c>
      <c r="B247" s="7">
        <v>2</v>
      </c>
      <c r="C247" s="8">
        <v>46063</v>
      </c>
      <c r="D247" s="3" t="s">
        <v>1594</v>
      </c>
      <c r="E247" s="3" t="s">
        <v>1302</v>
      </c>
      <c r="F247" s="3" t="s">
        <v>272</v>
      </c>
      <c r="G247" s="3" t="s">
        <v>273</v>
      </c>
      <c r="H247" s="3" t="s">
        <v>1303</v>
      </c>
      <c r="I247" s="3" t="s">
        <v>1595</v>
      </c>
      <c r="J247" s="3" t="s">
        <v>21</v>
      </c>
      <c r="K247" s="2">
        <v>40</v>
      </c>
      <c r="L247" s="1">
        <v>40621</v>
      </c>
      <c r="M247" s="1">
        <v>1624840</v>
      </c>
      <c r="N247" s="1">
        <v>15</v>
      </c>
      <c r="O247" s="1">
        <v>243726</v>
      </c>
    </row>
    <row r="248" spans="1:15">
      <c r="A248" s="6">
        <v>2026</v>
      </c>
      <c r="B248" s="7">
        <v>2</v>
      </c>
      <c r="C248" s="8">
        <v>46063</v>
      </c>
      <c r="D248" s="3" t="s">
        <v>1596</v>
      </c>
      <c r="E248" s="3" t="s">
        <v>1590</v>
      </c>
      <c r="F248" s="3" t="s">
        <v>871</v>
      </c>
      <c r="G248" s="3" t="s">
        <v>273</v>
      </c>
      <c r="H248" s="3" t="s">
        <v>1303</v>
      </c>
      <c r="I248" s="3" t="s">
        <v>1330</v>
      </c>
      <c r="J248" s="3" t="s">
        <v>466</v>
      </c>
      <c r="K248" s="2">
        <v>20</v>
      </c>
      <c r="L248" s="1">
        <v>120000</v>
      </c>
      <c r="M248" s="1">
        <v>2400000</v>
      </c>
      <c r="N248" s="1">
        <v>15</v>
      </c>
      <c r="O248" s="1">
        <v>360000</v>
      </c>
    </row>
    <row r="249" spans="1:15">
      <c r="A249" s="6">
        <v>2026</v>
      </c>
      <c r="B249" s="7">
        <v>2</v>
      </c>
      <c r="C249" s="8">
        <v>46064</v>
      </c>
      <c r="D249" s="3" t="s">
        <v>1597</v>
      </c>
      <c r="E249" s="3" t="s">
        <v>1302</v>
      </c>
      <c r="F249" s="3" t="s">
        <v>871</v>
      </c>
      <c r="G249" s="3" t="s">
        <v>273</v>
      </c>
      <c r="H249" s="3" t="s">
        <v>1303</v>
      </c>
      <c r="I249" s="3" t="s">
        <v>1598</v>
      </c>
      <c r="J249" s="3" t="s">
        <v>466</v>
      </c>
      <c r="K249" s="2">
        <v>20</v>
      </c>
      <c r="L249" s="1">
        <v>120000</v>
      </c>
      <c r="M249" s="1">
        <v>2400000</v>
      </c>
      <c r="N249" s="1">
        <v>15</v>
      </c>
      <c r="O249" s="1">
        <v>360000</v>
      </c>
    </row>
    <row r="250" spans="1:15">
      <c r="A250" s="6">
        <v>2026</v>
      </c>
      <c r="B250" s="7">
        <v>2</v>
      </c>
      <c r="C250" s="8">
        <v>46064</v>
      </c>
      <c r="D250" s="3" t="s">
        <v>1597</v>
      </c>
      <c r="E250" s="3" t="s">
        <v>1302</v>
      </c>
      <c r="F250" s="3" t="s">
        <v>871</v>
      </c>
      <c r="G250" s="3" t="s">
        <v>273</v>
      </c>
      <c r="H250" s="3" t="s">
        <v>1303</v>
      </c>
      <c r="I250" s="3" t="s">
        <v>1598</v>
      </c>
      <c r="J250" s="3" t="s">
        <v>41</v>
      </c>
      <c r="K250" s="2">
        <v>30</v>
      </c>
      <c r="L250" s="1">
        <v>90000</v>
      </c>
      <c r="M250" s="1">
        <v>2700000</v>
      </c>
      <c r="N250" s="1">
        <v>15</v>
      </c>
      <c r="O250" s="1">
        <v>405000</v>
      </c>
    </row>
    <row r="251" spans="1:15">
      <c r="A251" s="6">
        <v>2026</v>
      </c>
      <c r="B251" s="7">
        <v>2</v>
      </c>
      <c r="C251" s="8">
        <v>46064</v>
      </c>
      <c r="D251" s="3" t="s">
        <v>1599</v>
      </c>
      <c r="E251" s="3" t="s">
        <v>1451</v>
      </c>
      <c r="F251" s="3" t="s">
        <v>1264</v>
      </c>
      <c r="G251" s="3" t="s">
        <v>273</v>
      </c>
      <c r="H251" s="3" t="s">
        <v>1303</v>
      </c>
      <c r="I251" s="3" t="s">
        <v>1283</v>
      </c>
      <c r="J251" s="3" t="s">
        <v>38</v>
      </c>
      <c r="K251" s="2">
        <v>10</v>
      </c>
      <c r="L251" s="1">
        <v>65000</v>
      </c>
      <c r="M251" s="1">
        <v>650000</v>
      </c>
      <c r="N251" s="1">
        <v>15</v>
      </c>
      <c r="O251" s="1">
        <v>97500</v>
      </c>
    </row>
    <row r="252" spans="1:15">
      <c r="A252" s="6">
        <v>2026</v>
      </c>
      <c r="B252" s="7">
        <v>2</v>
      </c>
      <c r="C252" s="8">
        <v>46064</v>
      </c>
      <c r="D252" s="3" t="s">
        <v>1599</v>
      </c>
      <c r="E252" s="3" t="s">
        <v>1451</v>
      </c>
      <c r="F252" s="3" t="s">
        <v>1264</v>
      </c>
      <c r="G252" s="3" t="s">
        <v>273</v>
      </c>
      <c r="H252" s="3" t="s">
        <v>1303</v>
      </c>
      <c r="I252" s="3" t="s">
        <v>1283</v>
      </c>
      <c r="J252" s="3" t="s">
        <v>46</v>
      </c>
      <c r="K252" s="2">
        <v>10</v>
      </c>
      <c r="L252" s="1">
        <v>64700</v>
      </c>
      <c r="M252" s="1">
        <v>647000</v>
      </c>
      <c r="N252" s="1">
        <v>15</v>
      </c>
      <c r="O252" s="1">
        <v>97050</v>
      </c>
    </row>
    <row r="253" spans="1:15">
      <c r="A253" s="6">
        <v>2026</v>
      </c>
      <c r="B253" s="7">
        <v>2</v>
      </c>
      <c r="C253" s="8">
        <v>46065</v>
      </c>
      <c r="D253" s="3" t="s">
        <v>1600</v>
      </c>
      <c r="E253" s="3" t="s">
        <v>1590</v>
      </c>
      <c r="F253" s="3" t="s">
        <v>871</v>
      </c>
      <c r="G253" s="3" t="s">
        <v>273</v>
      </c>
      <c r="H253" s="3" t="s">
        <v>1303</v>
      </c>
      <c r="I253" s="3" t="s">
        <v>1601</v>
      </c>
      <c r="J253" s="3" t="s">
        <v>41</v>
      </c>
      <c r="K253" s="2">
        <v>26</v>
      </c>
      <c r="L253" s="1">
        <v>90000</v>
      </c>
      <c r="M253" s="1">
        <v>2340000</v>
      </c>
      <c r="N253" s="1">
        <v>15</v>
      </c>
      <c r="O253" s="1">
        <v>351000</v>
      </c>
    </row>
    <row r="254" spans="1:15">
      <c r="A254" s="6">
        <v>2026</v>
      </c>
      <c r="B254" s="7">
        <v>2</v>
      </c>
      <c r="C254" s="8">
        <v>46065</v>
      </c>
      <c r="D254" s="3" t="s">
        <v>1602</v>
      </c>
      <c r="E254" s="3" t="s">
        <v>284</v>
      </c>
      <c r="F254" s="3" t="s">
        <v>281</v>
      </c>
      <c r="G254" s="3" t="s">
        <v>273</v>
      </c>
      <c r="H254" s="3" t="s">
        <v>1303</v>
      </c>
      <c r="I254" s="3" t="s">
        <v>20</v>
      </c>
      <c r="J254" s="3" t="s">
        <v>21</v>
      </c>
      <c r="K254" s="2">
        <v>30</v>
      </c>
      <c r="L254" s="1">
        <v>40621</v>
      </c>
      <c r="M254" s="1">
        <v>1218630</v>
      </c>
      <c r="N254" s="1">
        <v>15</v>
      </c>
      <c r="O254" s="1">
        <v>182794.5</v>
      </c>
    </row>
    <row r="255" spans="1:15">
      <c r="A255" s="6">
        <v>2026</v>
      </c>
      <c r="B255" s="7">
        <v>2</v>
      </c>
      <c r="C255" s="8">
        <v>46065</v>
      </c>
      <c r="D255" s="3" t="s">
        <v>1602</v>
      </c>
      <c r="E255" s="3" t="s">
        <v>284</v>
      </c>
      <c r="F255" s="3" t="s">
        <v>281</v>
      </c>
      <c r="G255" s="3" t="s">
        <v>273</v>
      </c>
      <c r="H255" s="3" t="s">
        <v>1303</v>
      </c>
      <c r="I255" s="3" t="s">
        <v>20</v>
      </c>
      <c r="J255" s="3" t="s">
        <v>466</v>
      </c>
      <c r="K255" s="2">
        <v>15</v>
      </c>
      <c r="L255" s="1">
        <v>120000</v>
      </c>
      <c r="M255" s="1">
        <v>1800000</v>
      </c>
      <c r="N255" s="1">
        <v>15</v>
      </c>
      <c r="O255" s="1">
        <v>270000</v>
      </c>
    </row>
    <row r="256" spans="1:15">
      <c r="A256" s="6">
        <v>2026</v>
      </c>
      <c r="B256" s="7">
        <v>2</v>
      </c>
      <c r="C256" s="8">
        <v>46065</v>
      </c>
      <c r="D256" s="3" t="s">
        <v>1603</v>
      </c>
      <c r="E256" s="3" t="s">
        <v>1578</v>
      </c>
      <c r="F256" s="3" t="s">
        <v>875</v>
      </c>
      <c r="G256" s="3" t="s">
        <v>273</v>
      </c>
      <c r="H256" s="3" t="s">
        <v>1303</v>
      </c>
      <c r="I256" s="3" t="s">
        <v>1136</v>
      </c>
      <c r="J256" s="3" t="s">
        <v>38</v>
      </c>
      <c r="K256" s="2">
        <v>50</v>
      </c>
      <c r="L256" s="1">
        <v>65000</v>
      </c>
      <c r="M256" s="1">
        <v>3250000</v>
      </c>
      <c r="N256" s="1">
        <v>15</v>
      </c>
      <c r="O256" s="1">
        <v>487500</v>
      </c>
    </row>
    <row r="257" spans="1:15">
      <c r="A257" s="6">
        <v>2026</v>
      </c>
      <c r="B257" s="7">
        <v>2</v>
      </c>
      <c r="C257" s="8">
        <v>46065</v>
      </c>
      <c r="D257" s="3" t="s">
        <v>1604</v>
      </c>
      <c r="E257" s="3" t="s">
        <v>1302</v>
      </c>
      <c r="F257" s="3" t="s">
        <v>272</v>
      </c>
      <c r="G257" s="3" t="s">
        <v>273</v>
      </c>
      <c r="H257" s="3" t="s">
        <v>1303</v>
      </c>
      <c r="I257" s="3" t="s">
        <v>1075</v>
      </c>
      <c r="J257" s="3" t="s">
        <v>21</v>
      </c>
      <c r="K257" s="2">
        <v>120</v>
      </c>
      <c r="L257" s="1">
        <v>40621</v>
      </c>
      <c r="M257" s="1">
        <v>4874520</v>
      </c>
      <c r="N257" s="1">
        <v>10</v>
      </c>
      <c r="O257" s="1">
        <v>487452</v>
      </c>
    </row>
    <row r="258" spans="1:15">
      <c r="A258" s="6">
        <v>2026</v>
      </c>
      <c r="B258" s="7">
        <v>2</v>
      </c>
      <c r="C258" s="8">
        <v>46065</v>
      </c>
      <c r="D258" s="3" t="s">
        <v>1604</v>
      </c>
      <c r="E258" s="3" t="s">
        <v>1302</v>
      </c>
      <c r="F258" s="3" t="s">
        <v>272</v>
      </c>
      <c r="G258" s="3" t="s">
        <v>273</v>
      </c>
      <c r="H258" s="3" t="s">
        <v>1303</v>
      </c>
      <c r="I258" s="3" t="s">
        <v>1075</v>
      </c>
      <c r="J258" s="3" t="s">
        <v>41</v>
      </c>
      <c r="K258" s="2">
        <v>50</v>
      </c>
      <c r="L258" s="1">
        <v>90000</v>
      </c>
      <c r="M258" s="1">
        <v>4500000</v>
      </c>
      <c r="N258" s="1">
        <v>5</v>
      </c>
      <c r="O258" s="1">
        <v>225000</v>
      </c>
    </row>
    <row r="259" spans="1:15">
      <c r="A259" s="6">
        <v>2026</v>
      </c>
      <c r="B259" s="7">
        <v>2</v>
      </c>
      <c r="C259" s="8">
        <v>46065</v>
      </c>
      <c r="D259" s="3" t="s">
        <v>1605</v>
      </c>
      <c r="E259" s="3" t="s">
        <v>1590</v>
      </c>
      <c r="F259" s="3" t="s">
        <v>871</v>
      </c>
      <c r="G259" s="3" t="s">
        <v>273</v>
      </c>
      <c r="H259" s="3" t="s">
        <v>1303</v>
      </c>
      <c r="I259" s="3" t="s">
        <v>1487</v>
      </c>
      <c r="J259" s="3" t="s">
        <v>41</v>
      </c>
      <c r="K259" s="2">
        <v>30</v>
      </c>
      <c r="L259" s="1">
        <v>90000</v>
      </c>
      <c r="M259" s="1">
        <v>2700000</v>
      </c>
      <c r="N259" s="1">
        <v>15</v>
      </c>
      <c r="O259" s="1">
        <v>405000</v>
      </c>
    </row>
    <row r="260" spans="1:15">
      <c r="A260" s="6">
        <v>2026</v>
      </c>
      <c r="B260" s="7">
        <v>2</v>
      </c>
      <c r="C260" s="8">
        <v>46065</v>
      </c>
      <c r="D260" s="3" t="s">
        <v>1606</v>
      </c>
      <c r="E260" s="3" t="s">
        <v>1590</v>
      </c>
      <c r="F260" s="3" t="s">
        <v>871</v>
      </c>
      <c r="G260" s="3" t="s">
        <v>273</v>
      </c>
      <c r="H260" s="3" t="s">
        <v>1303</v>
      </c>
      <c r="I260" s="3" t="s">
        <v>1487</v>
      </c>
      <c r="J260" s="3" t="s">
        <v>41</v>
      </c>
      <c r="K260" s="2">
        <v>20</v>
      </c>
      <c r="L260" s="1">
        <v>90000</v>
      </c>
      <c r="M260" s="1">
        <v>1800000</v>
      </c>
      <c r="N260" s="1">
        <v>15</v>
      </c>
      <c r="O260" s="1">
        <v>270000</v>
      </c>
    </row>
    <row r="261" spans="1:15">
      <c r="A261" s="6">
        <v>2026</v>
      </c>
      <c r="B261" s="7">
        <v>2</v>
      </c>
      <c r="C261" s="8">
        <v>46066</v>
      </c>
      <c r="D261" s="3" t="s">
        <v>1607</v>
      </c>
      <c r="E261" s="3" t="s">
        <v>1462</v>
      </c>
      <c r="F261" s="3" t="s">
        <v>272</v>
      </c>
      <c r="G261" s="3" t="s">
        <v>273</v>
      </c>
      <c r="H261" s="3" t="s">
        <v>1303</v>
      </c>
      <c r="I261" s="3" t="s">
        <v>900</v>
      </c>
      <c r="J261" s="3" t="s">
        <v>21</v>
      </c>
      <c r="K261" s="2">
        <v>50</v>
      </c>
      <c r="L261" s="1">
        <v>40621</v>
      </c>
      <c r="M261" s="1">
        <v>2031050</v>
      </c>
      <c r="N261" s="1">
        <v>15</v>
      </c>
      <c r="O261" s="1">
        <v>304657.5</v>
      </c>
    </row>
    <row r="262" spans="1:15">
      <c r="A262" s="6">
        <v>2026</v>
      </c>
      <c r="B262" s="7">
        <v>2</v>
      </c>
      <c r="C262" s="8">
        <v>46066</v>
      </c>
      <c r="D262" s="3" t="s">
        <v>1608</v>
      </c>
      <c r="E262" s="3" t="s">
        <v>1462</v>
      </c>
      <c r="F262" s="3" t="s">
        <v>272</v>
      </c>
      <c r="G262" s="3" t="s">
        <v>273</v>
      </c>
      <c r="H262" s="3" t="s">
        <v>1303</v>
      </c>
      <c r="I262" s="3" t="s">
        <v>913</v>
      </c>
      <c r="J262" s="3" t="s">
        <v>21</v>
      </c>
      <c r="K262" s="2">
        <v>10</v>
      </c>
      <c r="L262" s="1">
        <v>40621</v>
      </c>
      <c r="M262" s="1">
        <v>406210</v>
      </c>
      <c r="N262" s="1">
        <v>15</v>
      </c>
      <c r="O262" s="1">
        <v>60931.5</v>
      </c>
    </row>
    <row r="263" spans="1:15">
      <c r="A263" s="6">
        <v>2026</v>
      </c>
      <c r="B263" s="7">
        <v>2</v>
      </c>
      <c r="C263" s="8">
        <v>46066</v>
      </c>
      <c r="D263" s="3" t="s">
        <v>1609</v>
      </c>
      <c r="E263" s="3" t="s">
        <v>284</v>
      </c>
      <c r="F263" s="3" t="s">
        <v>281</v>
      </c>
      <c r="G263" s="3" t="s">
        <v>273</v>
      </c>
      <c r="H263" s="3" t="s">
        <v>1303</v>
      </c>
      <c r="I263" s="3" t="s">
        <v>1449</v>
      </c>
      <c r="J263" s="3" t="s">
        <v>38</v>
      </c>
      <c r="K263" s="2">
        <v>30</v>
      </c>
      <c r="L263" s="1">
        <v>65000</v>
      </c>
      <c r="M263" s="1">
        <v>1950000</v>
      </c>
      <c r="N263" s="1">
        <v>15</v>
      </c>
      <c r="O263" s="1">
        <v>292500</v>
      </c>
    </row>
    <row r="264" spans="1:15">
      <c r="A264" s="6">
        <v>2026</v>
      </c>
      <c r="B264" s="7">
        <v>2</v>
      </c>
      <c r="C264" s="8">
        <v>46069</v>
      </c>
      <c r="D264" s="3" t="s">
        <v>1610</v>
      </c>
      <c r="E264" s="3" t="s">
        <v>1314</v>
      </c>
      <c r="F264" s="3" t="s">
        <v>1611</v>
      </c>
      <c r="G264" s="3" t="s">
        <v>1314</v>
      </c>
      <c r="H264" s="3" t="s">
        <v>1303</v>
      </c>
      <c r="I264" s="3" t="s">
        <v>1612</v>
      </c>
      <c r="J264" s="3" t="s">
        <v>21</v>
      </c>
      <c r="K264" s="2">
        <v>120</v>
      </c>
      <c r="L264" s="1">
        <v>40621</v>
      </c>
      <c r="M264" s="1">
        <v>4874520</v>
      </c>
      <c r="N264" s="1">
        <v>2</v>
      </c>
      <c r="O264" s="1">
        <v>97490.4</v>
      </c>
    </row>
    <row r="265" spans="1:15">
      <c r="A265" s="6">
        <v>2026</v>
      </c>
      <c r="B265" s="7">
        <v>2</v>
      </c>
      <c r="C265" s="8">
        <v>46069</v>
      </c>
      <c r="D265" s="3" t="s">
        <v>1613</v>
      </c>
      <c r="E265" s="3" t="s">
        <v>284</v>
      </c>
      <c r="F265" s="3" t="s">
        <v>281</v>
      </c>
      <c r="G265" s="3" t="s">
        <v>273</v>
      </c>
      <c r="H265" s="3" t="s">
        <v>1303</v>
      </c>
      <c r="I265" s="3" t="s">
        <v>25</v>
      </c>
      <c r="J265" s="3" t="s">
        <v>38</v>
      </c>
      <c r="K265" s="2">
        <v>50</v>
      </c>
      <c r="L265" s="1">
        <v>65000</v>
      </c>
      <c r="M265" s="1">
        <v>3250000</v>
      </c>
      <c r="N265" s="1">
        <v>15</v>
      </c>
      <c r="O265" s="1">
        <v>487500</v>
      </c>
    </row>
    <row r="266" spans="1:15">
      <c r="A266" s="6">
        <v>2026</v>
      </c>
      <c r="B266" s="7">
        <v>2</v>
      </c>
      <c r="C266" s="8">
        <v>46069</v>
      </c>
      <c r="D266" s="3" t="s">
        <v>1613</v>
      </c>
      <c r="E266" s="3" t="s">
        <v>284</v>
      </c>
      <c r="F266" s="3" t="s">
        <v>281</v>
      </c>
      <c r="G266" s="3" t="s">
        <v>273</v>
      </c>
      <c r="H266" s="3" t="s">
        <v>1303</v>
      </c>
      <c r="I266" s="3" t="s">
        <v>25</v>
      </c>
      <c r="J266" s="3" t="s">
        <v>466</v>
      </c>
      <c r="K266" s="2">
        <v>30</v>
      </c>
      <c r="L266" s="1">
        <v>120000</v>
      </c>
      <c r="M266" s="1">
        <v>3600000</v>
      </c>
      <c r="N266" s="1">
        <v>10</v>
      </c>
      <c r="O266" s="1">
        <v>360000</v>
      </c>
    </row>
    <row r="267" spans="1:15">
      <c r="A267" s="6">
        <v>2026</v>
      </c>
      <c r="B267" s="7">
        <v>2</v>
      </c>
      <c r="C267" s="8">
        <v>46069</v>
      </c>
      <c r="D267" s="3" t="s">
        <v>1614</v>
      </c>
      <c r="E267" s="3" t="s">
        <v>1462</v>
      </c>
      <c r="F267" s="3" t="s">
        <v>272</v>
      </c>
      <c r="G267" s="3" t="s">
        <v>273</v>
      </c>
      <c r="H267" s="3" t="s">
        <v>1303</v>
      </c>
      <c r="I267" s="3" t="s">
        <v>1458</v>
      </c>
      <c r="J267" s="3" t="s">
        <v>21</v>
      </c>
      <c r="K267" s="2">
        <v>90</v>
      </c>
      <c r="L267" s="1">
        <v>40621</v>
      </c>
      <c r="M267" s="1">
        <v>3655890</v>
      </c>
      <c r="N267" s="1">
        <v>15</v>
      </c>
      <c r="O267" s="1">
        <v>548383.5</v>
      </c>
    </row>
    <row r="268" spans="1:15">
      <c r="A268" s="6">
        <v>2026</v>
      </c>
      <c r="B268" s="7">
        <v>2</v>
      </c>
      <c r="C268" s="8">
        <v>46069</v>
      </c>
      <c r="D268" s="3" t="s">
        <v>1614</v>
      </c>
      <c r="E268" s="3" t="s">
        <v>1462</v>
      </c>
      <c r="F268" s="3" t="s">
        <v>272</v>
      </c>
      <c r="G268" s="3" t="s">
        <v>273</v>
      </c>
      <c r="H268" s="3" t="s">
        <v>1303</v>
      </c>
      <c r="I268" s="3" t="s">
        <v>1458</v>
      </c>
      <c r="J268" s="3" t="s">
        <v>21</v>
      </c>
      <c r="K268" s="2">
        <v>30</v>
      </c>
      <c r="L268" s="1">
        <v>40621.300000000003</v>
      </c>
      <c r="M268" s="1">
        <v>1218639</v>
      </c>
      <c r="N268" s="1">
        <v>15</v>
      </c>
      <c r="O268" s="1">
        <v>182795.85</v>
      </c>
    </row>
    <row r="269" spans="1:15">
      <c r="A269" s="6">
        <v>2026</v>
      </c>
      <c r="B269" s="7">
        <v>2</v>
      </c>
      <c r="C269" s="8">
        <v>46069</v>
      </c>
      <c r="D269" s="3" t="s">
        <v>1615</v>
      </c>
      <c r="E269" s="3" t="s">
        <v>284</v>
      </c>
      <c r="F269" s="3" t="s">
        <v>281</v>
      </c>
      <c r="G269" s="3" t="s">
        <v>273</v>
      </c>
      <c r="H269" s="3" t="s">
        <v>1303</v>
      </c>
      <c r="I269" s="3" t="s">
        <v>1492</v>
      </c>
      <c r="J269" s="3" t="s">
        <v>21</v>
      </c>
      <c r="K269" s="2">
        <v>100</v>
      </c>
      <c r="L269" s="1">
        <v>40621</v>
      </c>
      <c r="M269" s="1">
        <v>4062100</v>
      </c>
      <c r="N269" s="1">
        <v>10</v>
      </c>
      <c r="O269" s="1">
        <v>406210</v>
      </c>
    </row>
    <row r="270" spans="1:15">
      <c r="A270" s="6">
        <v>2026</v>
      </c>
      <c r="B270" s="7">
        <v>2</v>
      </c>
      <c r="C270" s="8">
        <v>46070</v>
      </c>
      <c r="D270" s="3" t="s">
        <v>1616</v>
      </c>
      <c r="E270" s="3" t="s">
        <v>284</v>
      </c>
      <c r="F270" s="3" t="s">
        <v>281</v>
      </c>
      <c r="G270" s="3" t="s">
        <v>273</v>
      </c>
      <c r="H270" s="3" t="s">
        <v>1303</v>
      </c>
      <c r="I270" s="3" t="s">
        <v>1400</v>
      </c>
      <c r="J270" s="3" t="s">
        <v>21</v>
      </c>
      <c r="K270" s="2">
        <v>50</v>
      </c>
      <c r="L270" s="1">
        <v>40621</v>
      </c>
      <c r="M270" s="1">
        <v>2031050</v>
      </c>
      <c r="N270" s="1">
        <v>15</v>
      </c>
      <c r="O270" s="1">
        <v>304657.5</v>
      </c>
    </row>
    <row r="271" spans="1:15">
      <c r="A271" s="6">
        <v>2026</v>
      </c>
      <c r="B271" s="7">
        <v>2</v>
      </c>
      <c r="C271" s="8">
        <v>46070</v>
      </c>
      <c r="D271" s="3" t="s">
        <v>1616</v>
      </c>
      <c r="E271" s="3" t="s">
        <v>284</v>
      </c>
      <c r="F271" s="3" t="s">
        <v>281</v>
      </c>
      <c r="G271" s="3" t="s">
        <v>273</v>
      </c>
      <c r="H271" s="3" t="s">
        <v>1303</v>
      </c>
      <c r="I271" s="3" t="s">
        <v>1400</v>
      </c>
      <c r="J271" s="3" t="s">
        <v>466</v>
      </c>
      <c r="K271" s="2">
        <v>50</v>
      </c>
      <c r="L271" s="1">
        <v>120000</v>
      </c>
      <c r="M271" s="1">
        <v>6000000</v>
      </c>
      <c r="N271" s="1">
        <v>15</v>
      </c>
      <c r="O271" s="1">
        <v>900000</v>
      </c>
    </row>
    <row r="272" spans="1:15">
      <c r="A272" s="6">
        <v>2026</v>
      </c>
      <c r="B272" s="7">
        <v>2</v>
      </c>
      <c r="C272" s="8">
        <v>46070</v>
      </c>
      <c r="D272" s="3" t="s">
        <v>1617</v>
      </c>
      <c r="E272" s="3" t="s">
        <v>1618</v>
      </c>
      <c r="F272" s="3" t="s">
        <v>871</v>
      </c>
      <c r="G272" s="3" t="s">
        <v>273</v>
      </c>
      <c r="H272" s="3" t="s">
        <v>1303</v>
      </c>
      <c r="I272" s="3" t="s">
        <v>1545</v>
      </c>
      <c r="J272" s="3" t="s">
        <v>38</v>
      </c>
      <c r="K272" s="2">
        <v>100</v>
      </c>
      <c r="L272" s="1">
        <v>65000</v>
      </c>
      <c r="M272" s="1">
        <v>6500000</v>
      </c>
      <c r="N272" s="1">
        <v>15</v>
      </c>
      <c r="O272" s="1">
        <v>975000</v>
      </c>
    </row>
    <row r="273" spans="1:15">
      <c r="A273" s="6">
        <v>2026</v>
      </c>
      <c r="B273" s="7">
        <v>2</v>
      </c>
      <c r="C273" s="8">
        <v>46070</v>
      </c>
      <c r="D273" s="3" t="s">
        <v>1619</v>
      </c>
      <c r="E273" s="3" t="s">
        <v>1620</v>
      </c>
      <c r="F273" s="3" t="s">
        <v>871</v>
      </c>
      <c r="G273" s="3" t="s">
        <v>273</v>
      </c>
      <c r="H273" s="3" t="s">
        <v>1303</v>
      </c>
      <c r="I273" s="3" t="s">
        <v>1388</v>
      </c>
      <c r="J273" s="3" t="s">
        <v>38</v>
      </c>
      <c r="K273" s="2">
        <v>20</v>
      </c>
      <c r="L273" s="1">
        <v>65000</v>
      </c>
      <c r="M273" s="1">
        <v>1300000</v>
      </c>
      <c r="N273" s="1">
        <v>15</v>
      </c>
      <c r="O273" s="1">
        <v>195000</v>
      </c>
    </row>
    <row r="274" spans="1:15">
      <c r="A274" s="6">
        <v>2026</v>
      </c>
      <c r="B274" s="7">
        <v>2</v>
      </c>
      <c r="C274" s="8">
        <v>46070</v>
      </c>
      <c r="D274" s="3" t="s">
        <v>1619</v>
      </c>
      <c r="E274" s="3" t="s">
        <v>1620</v>
      </c>
      <c r="F274" s="3" t="s">
        <v>871</v>
      </c>
      <c r="G274" s="3" t="s">
        <v>273</v>
      </c>
      <c r="H274" s="3" t="s">
        <v>1303</v>
      </c>
      <c r="I274" s="3" t="s">
        <v>1388</v>
      </c>
      <c r="J274" s="3" t="s">
        <v>41</v>
      </c>
      <c r="K274" s="2">
        <v>25</v>
      </c>
      <c r="L274" s="1">
        <v>90000</v>
      </c>
      <c r="M274" s="1">
        <v>2250000</v>
      </c>
      <c r="N274" s="1">
        <v>15</v>
      </c>
      <c r="O274" s="1">
        <v>337500</v>
      </c>
    </row>
    <row r="275" spans="1:15">
      <c r="A275" s="6">
        <v>2026</v>
      </c>
      <c r="B275" s="7">
        <v>2</v>
      </c>
      <c r="C275" s="8">
        <v>46071</v>
      </c>
      <c r="D275" s="3" t="s">
        <v>1621</v>
      </c>
      <c r="E275" s="3" t="s">
        <v>863</v>
      </c>
      <c r="F275" s="3" t="s">
        <v>864</v>
      </c>
      <c r="G275" s="3" t="s">
        <v>273</v>
      </c>
      <c r="H275" s="3" t="s">
        <v>1303</v>
      </c>
      <c r="I275" s="3" t="s">
        <v>865</v>
      </c>
      <c r="J275" s="3" t="s">
        <v>46</v>
      </c>
      <c r="K275" s="2">
        <v>-350</v>
      </c>
      <c r="L275" s="1">
        <v>64700</v>
      </c>
      <c r="M275" s="1">
        <v>-22645000</v>
      </c>
      <c r="N275" s="1">
        <v>15</v>
      </c>
      <c r="O275" s="1">
        <v>3396750</v>
      </c>
    </row>
    <row r="276" spans="1:15">
      <c r="A276" s="6">
        <v>2026</v>
      </c>
      <c r="B276" s="7">
        <v>2</v>
      </c>
      <c r="C276" s="8">
        <v>46071</v>
      </c>
      <c r="D276" s="3" t="s">
        <v>1622</v>
      </c>
      <c r="E276" s="3" t="s">
        <v>1618</v>
      </c>
      <c r="F276" s="3" t="s">
        <v>871</v>
      </c>
      <c r="G276" s="3" t="s">
        <v>273</v>
      </c>
      <c r="H276" s="3" t="s">
        <v>1303</v>
      </c>
      <c r="I276" s="3" t="s">
        <v>913</v>
      </c>
      <c r="J276" s="3" t="s">
        <v>41</v>
      </c>
      <c r="K276" s="2">
        <v>100</v>
      </c>
      <c r="L276" s="1">
        <v>90000</v>
      </c>
      <c r="M276" s="1">
        <v>9000000</v>
      </c>
      <c r="N276" s="1">
        <v>15</v>
      </c>
      <c r="O276" s="1">
        <v>1350000</v>
      </c>
    </row>
    <row r="277" spans="1:15">
      <c r="A277" s="6">
        <v>2026</v>
      </c>
      <c r="B277" s="7">
        <v>2</v>
      </c>
      <c r="C277" s="8">
        <v>46071</v>
      </c>
      <c r="D277" s="3" t="s">
        <v>1623</v>
      </c>
      <c r="E277" s="3" t="s">
        <v>1553</v>
      </c>
      <c r="F277" s="3" t="s">
        <v>1291</v>
      </c>
      <c r="G277" s="3" t="s">
        <v>273</v>
      </c>
      <c r="H277" s="3" t="s">
        <v>1303</v>
      </c>
      <c r="I277" s="3" t="s">
        <v>1624</v>
      </c>
      <c r="J277" s="3" t="s">
        <v>38</v>
      </c>
      <c r="K277" s="2">
        <v>100</v>
      </c>
      <c r="L277" s="1">
        <v>65000</v>
      </c>
      <c r="M277" s="1">
        <v>6500000</v>
      </c>
      <c r="N277" s="1">
        <v>15</v>
      </c>
      <c r="O277" s="1">
        <v>975000</v>
      </c>
    </row>
    <row r="278" spans="1:15">
      <c r="A278" s="6">
        <v>2026</v>
      </c>
      <c r="B278" s="7">
        <v>2</v>
      </c>
      <c r="C278" s="8">
        <v>46071</v>
      </c>
      <c r="D278" s="3" t="s">
        <v>1625</v>
      </c>
      <c r="E278" s="3" t="s">
        <v>1302</v>
      </c>
      <c r="F278" s="3" t="s">
        <v>272</v>
      </c>
      <c r="G278" s="3" t="s">
        <v>273</v>
      </c>
      <c r="H278" s="3" t="s">
        <v>1303</v>
      </c>
      <c r="I278" s="3" t="s">
        <v>989</v>
      </c>
      <c r="J278" s="3" t="s">
        <v>41</v>
      </c>
      <c r="K278" s="2">
        <v>15</v>
      </c>
      <c r="L278" s="1">
        <v>90000</v>
      </c>
      <c r="M278" s="1">
        <v>1350000</v>
      </c>
      <c r="N278" s="1">
        <v>15</v>
      </c>
      <c r="O278" s="1">
        <v>202500</v>
      </c>
    </row>
    <row r="279" spans="1:15">
      <c r="A279" s="6">
        <v>2026</v>
      </c>
      <c r="B279" s="7">
        <v>2</v>
      </c>
      <c r="C279" s="8">
        <v>46071</v>
      </c>
      <c r="D279" s="3" t="s">
        <v>1625</v>
      </c>
      <c r="E279" s="3" t="s">
        <v>1302</v>
      </c>
      <c r="F279" s="3" t="s">
        <v>272</v>
      </c>
      <c r="G279" s="3" t="s">
        <v>273</v>
      </c>
      <c r="H279" s="3" t="s">
        <v>1303</v>
      </c>
      <c r="I279" s="3" t="s">
        <v>989</v>
      </c>
      <c r="J279" s="3" t="s">
        <v>21</v>
      </c>
      <c r="K279" s="2">
        <v>30</v>
      </c>
      <c r="L279" s="1">
        <v>40621.300000000003</v>
      </c>
      <c r="M279" s="1">
        <v>1218639</v>
      </c>
      <c r="N279" s="1">
        <v>15</v>
      </c>
      <c r="O279" s="1">
        <v>182795.85</v>
      </c>
    </row>
    <row r="280" spans="1:15">
      <c r="A280" s="6">
        <v>2026</v>
      </c>
      <c r="B280" s="7">
        <v>2</v>
      </c>
      <c r="C280" s="8">
        <v>46071</v>
      </c>
      <c r="D280" s="3" t="s">
        <v>1626</v>
      </c>
      <c r="E280" s="3" t="s">
        <v>863</v>
      </c>
      <c r="F280" s="3" t="s">
        <v>864</v>
      </c>
      <c r="G280" s="3" t="s">
        <v>273</v>
      </c>
      <c r="H280" s="3" t="s">
        <v>1303</v>
      </c>
      <c r="I280" s="3" t="s">
        <v>865</v>
      </c>
      <c r="J280" s="3" t="s">
        <v>46</v>
      </c>
      <c r="K280" s="2">
        <v>350</v>
      </c>
      <c r="L280" s="1">
        <v>64700</v>
      </c>
      <c r="M280" s="1">
        <v>22645000</v>
      </c>
      <c r="N280" s="1">
        <v>6</v>
      </c>
      <c r="O280" s="1">
        <v>1358700</v>
      </c>
    </row>
    <row r="281" spans="1:15">
      <c r="A281" s="6">
        <v>2026</v>
      </c>
      <c r="B281" s="7">
        <v>2</v>
      </c>
      <c r="C281" s="8">
        <v>46072</v>
      </c>
      <c r="D281" s="3" t="s">
        <v>1627</v>
      </c>
      <c r="E281" s="3" t="s">
        <v>893</v>
      </c>
      <c r="F281" s="3" t="s">
        <v>894</v>
      </c>
      <c r="G281" s="3" t="s">
        <v>273</v>
      </c>
      <c r="H281" s="3" t="s">
        <v>1303</v>
      </c>
      <c r="I281" s="3" t="s">
        <v>1351</v>
      </c>
      <c r="J281" s="3" t="s">
        <v>41</v>
      </c>
      <c r="K281" s="2">
        <v>100</v>
      </c>
      <c r="L281" s="1">
        <v>90000</v>
      </c>
      <c r="M281" s="1">
        <v>9000000</v>
      </c>
      <c r="N281" s="1">
        <v>15</v>
      </c>
      <c r="O281" s="1">
        <v>1350000</v>
      </c>
    </row>
    <row r="282" spans="1:15">
      <c r="A282" s="6">
        <v>2026</v>
      </c>
      <c r="B282" s="7">
        <v>2</v>
      </c>
      <c r="C282" s="8">
        <v>46072</v>
      </c>
      <c r="D282" s="3" t="s">
        <v>1628</v>
      </c>
      <c r="E282" s="3" t="s">
        <v>893</v>
      </c>
      <c r="F282" s="3" t="s">
        <v>894</v>
      </c>
      <c r="G282" s="3" t="s">
        <v>273</v>
      </c>
      <c r="H282" s="3" t="s">
        <v>1303</v>
      </c>
      <c r="I282" s="3" t="s">
        <v>1629</v>
      </c>
      <c r="J282" s="3" t="s">
        <v>41</v>
      </c>
      <c r="K282" s="2">
        <v>50</v>
      </c>
      <c r="L282" s="1">
        <v>90000</v>
      </c>
      <c r="M282" s="1">
        <v>4500000</v>
      </c>
      <c r="N282" s="1">
        <v>15</v>
      </c>
      <c r="O282" s="1">
        <v>675000</v>
      </c>
    </row>
    <row r="283" spans="1:15">
      <c r="A283" s="6">
        <v>2026</v>
      </c>
      <c r="B283" s="7">
        <v>2</v>
      </c>
      <c r="C283" s="8">
        <v>46072</v>
      </c>
      <c r="D283" s="3" t="s">
        <v>1630</v>
      </c>
      <c r="E283" s="3" t="s">
        <v>1590</v>
      </c>
      <c r="F283" s="3" t="s">
        <v>871</v>
      </c>
      <c r="G283" s="3" t="s">
        <v>273</v>
      </c>
      <c r="H283" s="3" t="s">
        <v>1303</v>
      </c>
      <c r="I283" s="3" t="s">
        <v>1107</v>
      </c>
      <c r="J283" s="3" t="s">
        <v>38</v>
      </c>
      <c r="K283" s="2">
        <v>10</v>
      </c>
      <c r="L283" s="1">
        <v>65000</v>
      </c>
      <c r="M283" s="1">
        <v>650000</v>
      </c>
      <c r="N283" s="1">
        <v>15</v>
      </c>
      <c r="O283" s="1">
        <v>97500</v>
      </c>
    </row>
    <row r="284" spans="1:15">
      <c r="A284" s="6">
        <v>2026</v>
      </c>
      <c r="B284" s="7">
        <v>2</v>
      </c>
      <c r="C284" s="8">
        <v>46072</v>
      </c>
      <c r="D284" s="3" t="s">
        <v>1630</v>
      </c>
      <c r="E284" s="3" t="s">
        <v>1590</v>
      </c>
      <c r="F284" s="3" t="s">
        <v>871</v>
      </c>
      <c r="G284" s="3" t="s">
        <v>273</v>
      </c>
      <c r="H284" s="3" t="s">
        <v>1303</v>
      </c>
      <c r="I284" s="3" t="s">
        <v>1107</v>
      </c>
      <c r="J284" s="3" t="s">
        <v>466</v>
      </c>
      <c r="K284" s="2">
        <v>10</v>
      </c>
      <c r="L284" s="1">
        <v>120000</v>
      </c>
      <c r="M284" s="1">
        <v>1200000</v>
      </c>
      <c r="N284" s="1">
        <v>15</v>
      </c>
      <c r="O284" s="1">
        <v>180000</v>
      </c>
    </row>
    <row r="285" spans="1:15">
      <c r="A285" s="6">
        <v>2026</v>
      </c>
      <c r="B285" s="7">
        <v>2</v>
      </c>
      <c r="C285" s="8">
        <v>46072</v>
      </c>
      <c r="D285" s="3" t="s">
        <v>1630</v>
      </c>
      <c r="E285" s="3" t="s">
        <v>1590</v>
      </c>
      <c r="F285" s="3" t="s">
        <v>871</v>
      </c>
      <c r="G285" s="3" t="s">
        <v>273</v>
      </c>
      <c r="H285" s="3" t="s">
        <v>1303</v>
      </c>
      <c r="I285" s="3" t="s">
        <v>1107</v>
      </c>
      <c r="J285" s="3" t="s">
        <v>41</v>
      </c>
      <c r="K285" s="2">
        <v>10</v>
      </c>
      <c r="L285" s="1">
        <v>90000</v>
      </c>
      <c r="M285" s="1">
        <v>900000</v>
      </c>
      <c r="N285" s="1">
        <v>15</v>
      </c>
      <c r="O285" s="1">
        <v>135000</v>
      </c>
    </row>
    <row r="286" spans="1:15">
      <c r="A286" s="6">
        <v>2026</v>
      </c>
      <c r="B286" s="7">
        <v>2</v>
      </c>
      <c r="C286" s="8">
        <v>46072</v>
      </c>
      <c r="D286" s="3" t="s">
        <v>1631</v>
      </c>
      <c r="E286" s="3" t="s">
        <v>284</v>
      </c>
      <c r="F286" s="3" t="s">
        <v>281</v>
      </c>
      <c r="G286" s="3" t="s">
        <v>273</v>
      </c>
      <c r="H286" s="3" t="s">
        <v>1303</v>
      </c>
      <c r="I286" s="3" t="s">
        <v>1311</v>
      </c>
      <c r="J286" s="3" t="s">
        <v>21</v>
      </c>
      <c r="K286" s="2">
        <v>50</v>
      </c>
      <c r="L286" s="1">
        <v>40621</v>
      </c>
      <c r="M286" s="1">
        <v>2031050</v>
      </c>
      <c r="N286" s="1">
        <v>15</v>
      </c>
      <c r="O286" s="1">
        <v>304657.5</v>
      </c>
    </row>
    <row r="287" spans="1:15">
      <c r="A287" s="6">
        <v>2026</v>
      </c>
      <c r="B287" s="7">
        <v>2</v>
      </c>
      <c r="C287" s="8">
        <v>46073</v>
      </c>
      <c r="D287" s="3" t="s">
        <v>1632</v>
      </c>
      <c r="E287" s="3" t="s">
        <v>1383</v>
      </c>
      <c r="F287" s="3" t="s">
        <v>1280</v>
      </c>
      <c r="G287" s="3" t="s">
        <v>273</v>
      </c>
      <c r="H287" s="3" t="s">
        <v>1303</v>
      </c>
      <c r="I287" s="3" t="s">
        <v>1633</v>
      </c>
      <c r="J287" s="3" t="s">
        <v>41</v>
      </c>
      <c r="K287" s="2">
        <v>50</v>
      </c>
      <c r="L287" s="1">
        <v>90000</v>
      </c>
      <c r="M287" s="1">
        <v>4500000</v>
      </c>
      <c r="N287" s="1">
        <v>15</v>
      </c>
      <c r="O287" s="1">
        <v>675000</v>
      </c>
    </row>
    <row r="288" spans="1:15">
      <c r="A288" s="6">
        <v>2026</v>
      </c>
      <c r="B288" s="7">
        <v>2</v>
      </c>
      <c r="C288" s="8">
        <v>46073</v>
      </c>
      <c r="D288" s="3" t="s">
        <v>1634</v>
      </c>
      <c r="E288" s="3" t="s">
        <v>1618</v>
      </c>
      <c r="F288" s="3" t="s">
        <v>871</v>
      </c>
      <c r="G288" s="3" t="s">
        <v>273</v>
      </c>
      <c r="H288" s="3" t="s">
        <v>1303</v>
      </c>
      <c r="I288" s="3" t="s">
        <v>944</v>
      </c>
      <c r="J288" s="3" t="s">
        <v>41</v>
      </c>
      <c r="K288" s="2">
        <v>20</v>
      </c>
      <c r="L288" s="1">
        <v>90000</v>
      </c>
      <c r="M288" s="1">
        <v>1800000</v>
      </c>
      <c r="N288" s="1">
        <v>15</v>
      </c>
      <c r="O288" s="1">
        <v>270000</v>
      </c>
    </row>
    <row r="289" spans="1:15">
      <c r="A289" s="6">
        <v>2026</v>
      </c>
      <c r="B289" s="7">
        <v>2</v>
      </c>
      <c r="C289" s="8">
        <v>46073</v>
      </c>
      <c r="D289" s="3" t="s">
        <v>1634</v>
      </c>
      <c r="E289" s="3" t="s">
        <v>1618</v>
      </c>
      <c r="F289" s="3" t="s">
        <v>871</v>
      </c>
      <c r="G289" s="3" t="s">
        <v>273</v>
      </c>
      <c r="H289" s="3" t="s">
        <v>1303</v>
      </c>
      <c r="I289" s="3" t="s">
        <v>944</v>
      </c>
      <c r="J289" s="3" t="s">
        <v>38</v>
      </c>
      <c r="K289" s="2">
        <v>20</v>
      </c>
      <c r="L289" s="1">
        <v>65000</v>
      </c>
      <c r="M289" s="1">
        <v>1300000</v>
      </c>
      <c r="N289" s="1">
        <v>15</v>
      </c>
      <c r="O289" s="1">
        <v>195000</v>
      </c>
    </row>
    <row r="290" spans="1:15">
      <c r="A290" s="6">
        <v>2026</v>
      </c>
      <c r="B290" s="7">
        <v>2</v>
      </c>
      <c r="C290" s="8">
        <v>46073</v>
      </c>
      <c r="D290" s="3" t="s">
        <v>1635</v>
      </c>
      <c r="E290" s="3" t="s">
        <v>1302</v>
      </c>
      <c r="F290" s="3" t="s">
        <v>272</v>
      </c>
      <c r="G290" s="3" t="s">
        <v>273</v>
      </c>
      <c r="H290" s="3" t="s">
        <v>1303</v>
      </c>
      <c r="I290" s="3" t="s">
        <v>936</v>
      </c>
      <c r="J290" s="3" t="s">
        <v>466</v>
      </c>
      <c r="K290" s="2">
        <v>10</v>
      </c>
      <c r="L290" s="1">
        <v>120000</v>
      </c>
      <c r="M290" s="1">
        <v>1200000</v>
      </c>
      <c r="N290" s="1">
        <v>15</v>
      </c>
      <c r="O290" s="1">
        <v>180000</v>
      </c>
    </row>
    <row r="291" spans="1:15">
      <c r="A291" s="6">
        <v>2026</v>
      </c>
      <c r="B291" s="7">
        <v>2</v>
      </c>
      <c r="C291" s="8">
        <v>46073</v>
      </c>
      <c r="D291" s="3" t="s">
        <v>1635</v>
      </c>
      <c r="E291" s="3" t="s">
        <v>1302</v>
      </c>
      <c r="F291" s="3" t="s">
        <v>272</v>
      </c>
      <c r="G291" s="3" t="s">
        <v>273</v>
      </c>
      <c r="H291" s="3" t="s">
        <v>1303</v>
      </c>
      <c r="I291" s="3" t="s">
        <v>936</v>
      </c>
      <c r="J291" s="3" t="s">
        <v>41</v>
      </c>
      <c r="K291" s="2">
        <v>10</v>
      </c>
      <c r="L291" s="1">
        <v>90000</v>
      </c>
      <c r="M291" s="1">
        <v>900000</v>
      </c>
      <c r="N291" s="1">
        <v>15</v>
      </c>
      <c r="O291" s="1">
        <v>135000</v>
      </c>
    </row>
    <row r="292" spans="1:15">
      <c r="A292" s="6">
        <v>2026</v>
      </c>
      <c r="B292" s="7">
        <v>2</v>
      </c>
      <c r="C292" s="8">
        <v>46073</v>
      </c>
      <c r="D292" s="3" t="s">
        <v>1636</v>
      </c>
      <c r="E292" s="3" t="s">
        <v>1620</v>
      </c>
      <c r="F292" s="3" t="s">
        <v>871</v>
      </c>
      <c r="G292" s="3" t="s">
        <v>273</v>
      </c>
      <c r="H292" s="3" t="s">
        <v>1303</v>
      </c>
      <c r="I292" s="3" t="s">
        <v>1637</v>
      </c>
      <c r="J292" s="3" t="s">
        <v>41</v>
      </c>
      <c r="K292" s="2">
        <v>30</v>
      </c>
      <c r="L292" s="1">
        <v>90000</v>
      </c>
      <c r="M292" s="1">
        <v>2700000</v>
      </c>
      <c r="N292" s="1">
        <v>15</v>
      </c>
      <c r="O292" s="1">
        <v>405000</v>
      </c>
    </row>
    <row r="293" spans="1:15">
      <c r="A293" s="6">
        <v>2026</v>
      </c>
      <c r="B293" s="7">
        <v>2</v>
      </c>
      <c r="C293" s="8">
        <v>46073</v>
      </c>
      <c r="D293" s="3" t="s">
        <v>1636</v>
      </c>
      <c r="E293" s="3" t="s">
        <v>1620</v>
      </c>
      <c r="F293" s="3" t="s">
        <v>871</v>
      </c>
      <c r="G293" s="3" t="s">
        <v>273</v>
      </c>
      <c r="H293" s="3" t="s">
        <v>1303</v>
      </c>
      <c r="I293" s="3" t="s">
        <v>1637</v>
      </c>
      <c r="J293" s="3" t="s">
        <v>38</v>
      </c>
      <c r="K293" s="2">
        <v>20</v>
      </c>
      <c r="L293" s="1">
        <v>65000</v>
      </c>
      <c r="M293" s="1">
        <v>1300000</v>
      </c>
      <c r="N293" s="1">
        <v>15</v>
      </c>
      <c r="O293" s="1">
        <v>195000</v>
      </c>
    </row>
    <row r="294" spans="1:15">
      <c r="A294" s="6">
        <v>2026</v>
      </c>
      <c r="B294" s="7">
        <v>2</v>
      </c>
      <c r="C294" s="8">
        <v>46073</v>
      </c>
      <c r="D294" s="3" t="s">
        <v>1638</v>
      </c>
      <c r="E294" s="3" t="s">
        <v>1302</v>
      </c>
      <c r="F294" s="3" t="s">
        <v>272</v>
      </c>
      <c r="G294" s="3" t="s">
        <v>273</v>
      </c>
      <c r="H294" s="3" t="s">
        <v>1303</v>
      </c>
      <c r="I294" s="3" t="s">
        <v>923</v>
      </c>
      <c r="J294" s="3" t="s">
        <v>21</v>
      </c>
      <c r="K294" s="2">
        <v>10</v>
      </c>
      <c r="L294" s="1">
        <v>40621.300000000003</v>
      </c>
      <c r="M294" s="1">
        <v>406213</v>
      </c>
      <c r="N294" s="1">
        <v>15</v>
      </c>
      <c r="O294" s="1">
        <v>60931.95</v>
      </c>
    </row>
    <row r="295" spans="1:15">
      <c r="A295" s="6">
        <v>2026</v>
      </c>
      <c r="B295" s="7">
        <v>2</v>
      </c>
      <c r="C295" s="8">
        <v>46073</v>
      </c>
      <c r="D295" s="3" t="s">
        <v>1638</v>
      </c>
      <c r="E295" s="3" t="s">
        <v>1302</v>
      </c>
      <c r="F295" s="3" t="s">
        <v>272</v>
      </c>
      <c r="G295" s="3" t="s">
        <v>273</v>
      </c>
      <c r="H295" s="3" t="s">
        <v>1303</v>
      </c>
      <c r="I295" s="3" t="s">
        <v>923</v>
      </c>
      <c r="J295" s="3" t="s">
        <v>21</v>
      </c>
      <c r="K295" s="2">
        <v>30</v>
      </c>
      <c r="L295" s="1">
        <v>40621</v>
      </c>
      <c r="M295" s="1">
        <v>1218630</v>
      </c>
      <c r="N295" s="1">
        <v>15</v>
      </c>
      <c r="O295" s="1">
        <v>182794.5</v>
      </c>
    </row>
    <row r="296" spans="1:15">
      <c r="A296" s="6">
        <v>2026</v>
      </c>
      <c r="B296" s="7">
        <v>2</v>
      </c>
      <c r="C296" s="8">
        <v>46073</v>
      </c>
      <c r="D296" s="3" t="s">
        <v>1638</v>
      </c>
      <c r="E296" s="3" t="s">
        <v>1302</v>
      </c>
      <c r="F296" s="3" t="s">
        <v>272</v>
      </c>
      <c r="G296" s="3" t="s">
        <v>273</v>
      </c>
      <c r="H296" s="3" t="s">
        <v>1303</v>
      </c>
      <c r="I296" s="3" t="s">
        <v>923</v>
      </c>
      <c r="J296" s="3" t="s">
        <v>41</v>
      </c>
      <c r="K296" s="2">
        <v>50</v>
      </c>
      <c r="L296" s="1">
        <v>90000</v>
      </c>
      <c r="M296" s="1">
        <v>4500000</v>
      </c>
      <c r="N296" s="1">
        <v>15</v>
      </c>
      <c r="O296" s="1">
        <v>675000</v>
      </c>
    </row>
    <row r="297" spans="1:15">
      <c r="A297" s="6">
        <v>2026</v>
      </c>
      <c r="B297" s="7">
        <v>2</v>
      </c>
      <c r="C297" s="8">
        <v>46073</v>
      </c>
      <c r="D297" s="3" t="s">
        <v>1639</v>
      </c>
      <c r="E297" s="3" t="s">
        <v>284</v>
      </c>
      <c r="F297" s="3" t="s">
        <v>281</v>
      </c>
      <c r="G297" s="3" t="s">
        <v>273</v>
      </c>
      <c r="H297" s="3" t="s">
        <v>1303</v>
      </c>
      <c r="I297" s="3" t="s">
        <v>867</v>
      </c>
      <c r="J297" s="3" t="s">
        <v>21</v>
      </c>
      <c r="K297" s="2">
        <v>30</v>
      </c>
      <c r="L297" s="1">
        <v>40621</v>
      </c>
      <c r="M297" s="1">
        <v>1218630</v>
      </c>
      <c r="N297" s="1">
        <v>15</v>
      </c>
      <c r="O297" s="1">
        <v>182794.5</v>
      </c>
    </row>
    <row r="298" spans="1:15">
      <c r="A298" s="6">
        <v>2026</v>
      </c>
      <c r="B298" s="7">
        <v>2</v>
      </c>
      <c r="C298" s="8">
        <v>46073</v>
      </c>
      <c r="D298" s="3" t="s">
        <v>1640</v>
      </c>
      <c r="E298" s="3" t="s">
        <v>1578</v>
      </c>
      <c r="F298" s="3" t="s">
        <v>875</v>
      </c>
      <c r="G298" s="3" t="s">
        <v>273</v>
      </c>
      <c r="H298" s="3" t="s">
        <v>1303</v>
      </c>
      <c r="I298" s="3" t="s">
        <v>1641</v>
      </c>
      <c r="J298" s="3" t="s">
        <v>38</v>
      </c>
      <c r="K298" s="2">
        <v>50</v>
      </c>
      <c r="L298" s="1">
        <v>65000</v>
      </c>
      <c r="M298" s="1">
        <v>3250000</v>
      </c>
      <c r="N298" s="1">
        <v>15</v>
      </c>
      <c r="O298" s="1">
        <v>487500</v>
      </c>
    </row>
    <row r="299" spans="1:15">
      <c r="A299" s="6">
        <v>2026</v>
      </c>
      <c r="B299" s="7">
        <v>2</v>
      </c>
      <c r="C299" s="8">
        <v>46076</v>
      </c>
      <c r="D299" s="3" t="s">
        <v>1642</v>
      </c>
      <c r="E299" s="3" t="s">
        <v>1578</v>
      </c>
      <c r="F299" s="3" t="s">
        <v>875</v>
      </c>
      <c r="G299" s="3" t="s">
        <v>273</v>
      </c>
      <c r="H299" s="3" t="s">
        <v>1303</v>
      </c>
      <c r="I299" s="3" t="s">
        <v>1643</v>
      </c>
      <c r="J299" s="3" t="s">
        <v>38</v>
      </c>
      <c r="K299" s="2">
        <v>20</v>
      </c>
      <c r="L299" s="1">
        <v>65000</v>
      </c>
      <c r="M299" s="1">
        <v>1300000</v>
      </c>
      <c r="N299" s="1">
        <v>15</v>
      </c>
      <c r="O299" s="1">
        <v>195000</v>
      </c>
    </row>
    <row r="300" spans="1:15">
      <c r="A300" s="6">
        <v>2026</v>
      </c>
      <c r="B300" s="7">
        <v>2</v>
      </c>
      <c r="C300" s="8">
        <v>46076</v>
      </c>
      <c r="D300" s="3" t="s">
        <v>1644</v>
      </c>
      <c r="E300" s="3" t="s">
        <v>1553</v>
      </c>
      <c r="F300" s="3" t="s">
        <v>1291</v>
      </c>
      <c r="G300" s="3" t="s">
        <v>273</v>
      </c>
      <c r="H300" s="3" t="s">
        <v>1303</v>
      </c>
      <c r="I300" s="3" t="s">
        <v>1490</v>
      </c>
      <c r="J300" s="3" t="s">
        <v>38</v>
      </c>
      <c r="K300" s="2">
        <v>100</v>
      </c>
      <c r="L300" s="1">
        <v>65000</v>
      </c>
      <c r="M300" s="1">
        <v>6500000</v>
      </c>
      <c r="N300" s="1">
        <v>15</v>
      </c>
      <c r="O300" s="1">
        <v>975000</v>
      </c>
    </row>
    <row r="301" spans="1:15">
      <c r="A301" s="6">
        <v>2026</v>
      </c>
      <c r="B301" s="7">
        <v>2</v>
      </c>
      <c r="C301" s="8">
        <v>46076</v>
      </c>
      <c r="D301" s="3" t="s">
        <v>1645</v>
      </c>
      <c r="E301" s="3" t="s">
        <v>1302</v>
      </c>
      <c r="F301" s="3" t="s">
        <v>272</v>
      </c>
      <c r="G301" s="3" t="s">
        <v>273</v>
      </c>
      <c r="H301" s="3" t="s">
        <v>1303</v>
      </c>
      <c r="I301" s="3" t="s">
        <v>925</v>
      </c>
      <c r="J301" s="3" t="s">
        <v>41</v>
      </c>
      <c r="K301" s="2">
        <v>40</v>
      </c>
      <c r="L301" s="1">
        <v>90000</v>
      </c>
      <c r="M301" s="1">
        <v>3600000</v>
      </c>
      <c r="N301" s="1">
        <v>5</v>
      </c>
      <c r="O301" s="1">
        <v>180000</v>
      </c>
    </row>
    <row r="302" spans="1:15">
      <c r="A302" s="6">
        <v>2026</v>
      </c>
      <c r="B302" s="7">
        <v>2</v>
      </c>
      <c r="C302" s="8">
        <v>46076</v>
      </c>
      <c r="D302" s="3" t="s">
        <v>1645</v>
      </c>
      <c r="E302" s="3" t="s">
        <v>1302</v>
      </c>
      <c r="F302" s="3" t="s">
        <v>272</v>
      </c>
      <c r="G302" s="3" t="s">
        <v>273</v>
      </c>
      <c r="H302" s="3" t="s">
        <v>1303</v>
      </c>
      <c r="I302" s="3" t="s">
        <v>925</v>
      </c>
      <c r="J302" s="3" t="s">
        <v>466</v>
      </c>
      <c r="K302" s="2">
        <v>40</v>
      </c>
      <c r="L302" s="1">
        <v>120000</v>
      </c>
      <c r="M302" s="1">
        <v>4800000</v>
      </c>
      <c r="N302" s="1">
        <v>5</v>
      </c>
      <c r="O302" s="1">
        <v>240000</v>
      </c>
    </row>
    <row r="303" spans="1:15">
      <c r="A303" s="6">
        <v>2026</v>
      </c>
      <c r="B303" s="7">
        <v>2</v>
      </c>
      <c r="C303" s="8">
        <v>46076</v>
      </c>
      <c r="D303" s="3" t="s">
        <v>1646</v>
      </c>
      <c r="E303" s="3" t="s">
        <v>1590</v>
      </c>
      <c r="F303" s="3" t="s">
        <v>871</v>
      </c>
      <c r="G303" s="3" t="s">
        <v>273</v>
      </c>
      <c r="H303" s="3" t="s">
        <v>1303</v>
      </c>
      <c r="I303" s="3" t="s">
        <v>1330</v>
      </c>
      <c r="J303" s="3" t="s">
        <v>41</v>
      </c>
      <c r="K303" s="2">
        <v>40</v>
      </c>
      <c r="L303" s="1">
        <v>90000</v>
      </c>
      <c r="M303" s="1">
        <v>3600000</v>
      </c>
      <c r="N303" s="1">
        <v>15</v>
      </c>
      <c r="O303" s="1">
        <v>540000</v>
      </c>
    </row>
    <row r="304" spans="1:15">
      <c r="A304" s="6">
        <v>2026</v>
      </c>
      <c r="B304" s="7">
        <v>2</v>
      </c>
      <c r="C304" s="8">
        <v>46077</v>
      </c>
      <c r="D304" s="3" t="s">
        <v>1647</v>
      </c>
      <c r="E304" s="3" t="s">
        <v>1648</v>
      </c>
      <c r="F304" s="3" t="s">
        <v>272</v>
      </c>
      <c r="G304" s="3" t="s">
        <v>273</v>
      </c>
      <c r="H304" s="3" t="s">
        <v>1303</v>
      </c>
      <c r="I304" s="3" t="s">
        <v>925</v>
      </c>
      <c r="J304" s="3" t="s">
        <v>21</v>
      </c>
      <c r="K304" s="2">
        <v>240</v>
      </c>
      <c r="L304" s="1">
        <v>40621</v>
      </c>
      <c r="M304" s="1">
        <v>9749040</v>
      </c>
      <c r="N304" s="1">
        <v>7</v>
      </c>
      <c r="O304" s="1">
        <v>682432.8</v>
      </c>
    </row>
    <row r="305" spans="1:15">
      <c r="A305" s="6">
        <v>2026</v>
      </c>
      <c r="B305" s="7">
        <v>2</v>
      </c>
      <c r="C305" s="8">
        <v>46077</v>
      </c>
      <c r="D305" s="3" t="s">
        <v>1649</v>
      </c>
      <c r="E305" s="3" t="s">
        <v>1590</v>
      </c>
      <c r="F305" s="3" t="s">
        <v>871</v>
      </c>
      <c r="G305" s="3" t="s">
        <v>273</v>
      </c>
      <c r="H305" s="3" t="s">
        <v>1303</v>
      </c>
      <c r="I305" s="3" t="s">
        <v>942</v>
      </c>
      <c r="J305" s="3" t="s">
        <v>38</v>
      </c>
      <c r="K305" s="2">
        <v>30</v>
      </c>
      <c r="L305" s="1">
        <v>65000</v>
      </c>
      <c r="M305" s="1">
        <v>1950000</v>
      </c>
      <c r="N305" s="1">
        <v>15</v>
      </c>
      <c r="O305" s="1">
        <v>292500</v>
      </c>
    </row>
    <row r="306" spans="1:15">
      <c r="A306" s="6">
        <v>2026</v>
      </c>
      <c r="B306" s="7">
        <v>2</v>
      </c>
      <c r="C306" s="8">
        <v>46078</v>
      </c>
      <c r="D306" s="3" t="s">
        <v>1650</v>
      </c>
      <c r="E306" s="3" t="s">
        <v>1026</v>
      </c>
      <c r="F306" s="3" t="s">
        <v>1027</v>
      </c>
      <c r="G306" s="3" t="s">
        <v>273</v>
      </c>
      <c r="H306" s="3" t="s">
        <v>1303</v>
      </c>
      <c r="I306" s="3" t="s">
        <v>651</v>
      </c>
      <c r="J306" s="3" t="s">
        <v>41</v>
      </c>
      <c r="K306" s="2">
        <v>50</v>
      </c>
      <c r="L306" s="1">
        <v>90000</v>
      </c>
      <c r="M306" s="1">
        <v>4500000</v>
      </c>
      <c r="N306" s="1">
        <v>15</v>
      </c>
      <c r="O306" s="1">
        <v>675000</v>
      </c>
    </row>
    <row r="307" spans="1:15">
      <c r="A307" s="6">
        <v>2026</v>
      </c>
      <c r="B307" s="7">
        <v>2</v>
      </c>
      <c r="C307" s="8">
        <v>46078</v>
      </c>
      <c r="D307" s="3" t="s">
        <v>1651</v>
      </c>
      <c r="E307" s="3" t="s">
        <v>1414</v>
      </c>
      <c r="F307" s="3" t="s">
        <v>1101</v>
      </c>
      <c r="G307" s="3" t="s">
        <v>273</v>
      </c>
      <c r="H307" s="3" t="s">
        <v>1303</v>
      </c>
      <c r="I307" s="3" t="s">
        <v>1652</v>
      </c>
      <c r="J307" s="3" t="s">
        <v>38</v>
      </c>
      <c r="K307" s="2">
        <v>20</v>
      </c>
      <c r="L307" s="1">
        <v>65000</v>
      </c>
      <c r="M307" s="1">
        <v>1300000</v>
      </c>
      <c r="N307" s="1">
        <v>15</v>
      </c>
      <c r="O307" s="1">
        <v>195000</v>
      </c>
    </row>
    <row r="308" spans="1:15">
      <c r="A308" s="6">
        <v>2026</v>
      </c>
      <c r="B308" s="7">
        <v>2</v>
      </c>
      <c r="C308" s="8">
        <v>46078</v>
      </c>
      <c r="D308" s="3" t="s">
        <v>1653</v>
      </c>
      <c r="E308" s="3" t="s">
        <v>1318</v>
      </c>
      <c r="F308" s="3" t="s">
        <v>1319</v>
      </c>
      <c r="G308" s="3" t="s">
        <v>273</v>
      </c>
      <c r="H308" s="3" t="s">
        <v>1303</v>
      </c>
      <c r="I308" s="3" t="s">
        <v>1337</v>
      </c>
      <c r="J308" s="3" t="s">
        <v>41</v>
      </c>
      <c r="K308" s="2">
        <v>150</v>
      </c>
      <c r="L308" s="1">
        <v>90000</v>
      </c>
      <c r="M308" s="1">
        <v>13500000</v>
      </c>
      <c r="N308" s="1">
        <v>15</v>
      </c>
      <c r="O308" s="1">
        <v>2025000</v>
      </c>
    </row>
    <row r="309" spans="1:15">
      <c r="A309" s="6">
        <v>2026</v>
      </c>
      <c r="B309" s="7">
        <v>2</v>
      </c>
      <c r="C309" s="8">
        <v>46078</v>
      </c>
      <c r="D309" s="3" t="s">
        <v>1654</v>
      </c>
      <c r="E309" s="3" t="s">
        <v>1590</v>
      </c>
      <c r="F309" s="3" t="s">
        <v>871</v>
      </c>
      <c r="G309" s="3" t="s">
        <v>273</v>
      </c>
      <c r="H309" s="3" t="s">
        <v>1303</v>
      </c>
      <c r="I309" s="3" t="s">
        <v>983</v>
      </c>
      <c r="J309" s="3" t="s">
        <v>41</v>
      </c>
      <c r="K309" s="2">
        <v>50</v>
      </c>
      <c r="L309" s="1">
        <v>90000</v>
      </c>
      <c r="M309" s="1">
        <v>4500000</v>
      </c>
      <c r="N309" s="1">
        <v>15</v>
      </c>
      <c r="O309" s="1">
        <v>675000</v>
      </c>
    </row>
    <row r="310" spans="1:15">
      <c r="A310" s="6">
        <v>2026</v>
      </c>
      <c r="B310" s="7">
        <v>2</v>
      </c>
      <c r="C310" s="8">
        <v>46078</v>
      </c>
      <c r="D310" s="3" t="s">
        <v>1655</v>
      </c>
      <c r="E310" s="3" t="s">
        <v>1590</v>
      </c>
      <c r="F310" s="3" t="s">
        <v>871</v>
      </c>
      <c r="G310" s="3" t="s">
        <v>273</v>
      </c>
      <c r="H310" s="3" t="s">
        <v>1303</v>
      </c>
      <c r="I310" s="3" t="s">
        <v>989</v>
      </c>
      <c r="J310" s="3" t="s">
        <v>41</v>
      </c>
      <c r="K310" s="2">
        <v>40</v>
      </c>
      <c r="L310" s="1">
        <v>90000</v>
      </c>
      <c r="M310" s="1">
        <v>3600000</v>
      </c>
      <c r="N310" s="1">
        <v>15</v>
      </c>
      <c r="O310" s="1">
        <v>540000</v>
      </c>
    </row>
    <row r="311" spans="1:15">
      <c r="A311" s="6">
        <v>2026</v>
      </c>
      <c r="B311" s="7">
        <v>2</v>
      </c>
      <c r="C311" s="8">
        <v>46079</v>
      </c>
      <c r="D311" s="3" t="s">
        <v>1656</v>
      </c>
      <c r="E311" s="3" t="s">
        <v>1553</v>
      </c>
      <c r="F311" s="3" t="s">
        <v>1291</v>
      </c>
      <c r="G311" s="3" t="s">
        <v>273</v>
      </c>
      <c r="H311" s="3" t="s">
        <v>1303</v>
      </c>
      <c r="I311" s="3" t="s">
        <v>1624</v>
      </c>
      <c r="J311" s="3" t="s">
        <v>38</v>
      </c>
      <c r="K311" s="2">
        <v>-100</v>
      </c>
      <c r="L311" s="1">
        <v>65000</v>
      </c>
      <c r="M311" s="1">
        <v>-6500000</v>
      </c>
      <c r="N311" s="1">
        <v>15</v>
      </c>
      <c r="O311" s="1">
        <v>975000</v>
      </c>
    </row>
    <row r="312" spans="1:15">
      <c r="A312" s="6">
        <v>2026</v>
      </c>
      <c r="B312" s="7">
        <v>2</v>
      </c>
      <c r="C312" s="8">
        <v>46079</v>
      </c>
      <c r="D312" s="3" t="s">
        <v>1657</v>
      </c>
      <c r="E312" s="3" t="s">
        <v>1618</v>
      </c>
      <c r="F312" s="3" t="s">
        <v>871</v>
      </c>
      <c r="G312" s="3" t="s">
        <v>273</v>
      </c>
      <c r="H312" s="3" t="s">
        <v>1303</v>
      </c>
      <c r="I312" s="3" t="s">
        <v>1658</v>
      </c>
      <c r="J312" s="3" t="s">
        <v>41</v>
      </c>
      <c r="K312" s="2">
        <v>20</v>
      </c>
      <c r="L312" s="1">
        <v>90000</v>
      </c>
      <c r="M312" s="1">
        <v>1800000</v>
      </c>
      <c r="N312" s="1">
        <v>15</v>
      </c>
      <c r="O312" s="1">
        <v>270000</v>
      </c>
    </row>
    <row r="313" spans="1:15">
      <c r="A313" s="6">
        <v>2026</v>
      </c>
      <c r="B313" s="7">
        <v>2</v>
      </c>
      <c r="C313" s="8">
        <v>46079</v>
      </c>
      <c r="D313" s="3" t="s">
        <v>1657</v>
      </c>
      <c r="E313" s="3" t="s">
        <v>1618</v>
      </c>
      <c r="F313" s="3" t="s">
        <v>871</v>
      </c>
      <c r="G313" s="3" t="s">
        <v>273</v>
      </c>
      <c r="H313" s="3" t="s">
        <v>1303</v>
      </c>
      <c r="I313" s="3" t="s">
        <v>1658</v>
      </c>
      <c r="J313" s="3" t="s">
        <v>38</v>
      </c>
      <c r="K313" s="2">
        <v>15</v>
      </c>
      <c r="L313" s="1">
        <v>65000</v>
      </c>
      <c r="M313" s="1">
        <v>975000</v>
      </c>
      <c r="N313" s="1">
        <v>15</v>
      </c>
      <c r="O313" s="1">
        <v>146250</v>
      </c>
    </row>
    <row r="314" spans="1:15">
      <c r="A314" s="6">
        <v>2026</v>
      </c>
      <c r="B314" s="7">
        <v>2</v>
      </c>
      <c r="C314" s="8">
        <v>46079</v>
      </c>
      <c r="D314" s="3" t="s">
        <v>1657</v>
      </c>
      <c r="E314" s="3" t="s">
        <v>1618</v>
      </c>
      <c r="F314" s="3" t="s">
        <v>871</v>
      </c>
      <c r="G314" s="3" t="s">
        <v>273</v>
      </c>
      <c r="H314" s="3" t="s">
        <v>1303</v>
      </c>
      <c r="I314" s="3" t="s">
        <v>1658</v>
      </c>
      <c r="J314" s="3" t="s">
        <v>21</v>
      </c>
      <c r="K314" s="2">
        <v>10</v>
      </c>
      <c r="L314" s="1">
        <v>40621</v>
      </c>
      <c r="M314" s="1">
        <v>406210</v>
      </c>
      <c r="N314" s="1">
        <v>15</v>
      </c>
      <c r="O314" s="1">
        <v>60931.5</v>
      </c>
    </row>
    <row r="315" spans="1:15">
      <c r="A315" s="6">
        <v>2026</v>
      </c>
      <c r="B315" s="7">
        <v>2</v>
      </c>
      <c r="C315" s="8">
        <v>46079</v>
      </c>
      <c r="D315" s="3" t="s">
        <v>1659</v>
      </c>
      <c r="E315" s="3" t="s">
        <v>1590</v>
      </c>
      <c r="F315" s="3" t="s">
        <v>871</v>
      </c>
      <c r="G315" s="3" t="s">
        <v>273</v>
      </c>
      <c r="H315" s="3" t="s">
        <v>1303</v>
      </c>
      <c r="I315" s="3" t="s">
        <v>986</v>
      </c>
      <c r="J315" s="3" t="s">
        <v>41</v>
      </c>
      <c r="K315" s="2">
        <v>20</v>
      </c>
      <c r="L315" s="1">
        <v>90000</v>
      </c>
      <c r="M315" s="1">
        <v>1800000</v>
      </c>
      <c r="N315" s="1">
        <v>15</v>
      </c>
      <c r="O315" s="1">
        <v>270000</v>
      </c>
    </row>
    <row r="316" spans="1:15">
      <c r="A316" s="6">
        <v>2026</v>
      </c>
      <c r="B316" s="7">
        <v>2</v>
      </c>
      <c r="C316" s="8">
        <v>46079</v>
      </c>
      <c r="D316" s="3" t="s">
        <v>1660</v>
      </c>
      <c r="E316" s="3" t="s">
        <v>284</v>
      </c>
      <c r="F316" s="3" t="s">
        <v>281</v>
      </c>
      <c r="G316" s="3" t="s">
        <v>273</v>
      </c>
      <c r="H316" s="3" t="s">
        <v>1303</v>
      </c>
      <c r="I316" s="3" t="s">
        <v>25</v>
      </c>
      <c r="J316" s="3" t="s">
        <v>21</v>
      </c>
      <c r="K316" s="2">
        <v>200</v>
      </c>
      <c r="L316" s="1">
        <v>40621</v>
      </c>
      <c r="M316" s="1">
        <v>8124200</v>
      </c>
      <c r="N316" s="1">
        <v>10</v>
      </c>
      <c r="O316" s="1">
        <v>812420</v>
      </c>
    </row>
    <row r="317" spans="1:15">
      <c r="A317" s="6">
        <v>2026</v>
      </c>
      <c r="B317" s="7">
        <v>2</v>
      </c>
      <c r="C317" s="8">
        <v>46079</v>
      </c>
      <c r="D317" s="3" t="s">
        <v>1661</v>
      </c>
      <c r="E317" s="3" t="s">
        <v>265</v>
      </c>
      <c r="F317" s="3" t="s">
        <v>1499</v>
      </c>
      <c r="G317" s="3" t="s">
        <v>273</v>
      </c>
      <c r="H317" s="3" t="s">
        <v>1303</v>
      </c>
      <c r="I317" s="3" t="s">
        <v>1662</v>
      </c>
      <c r="J317" s="3" t="s">
        <v>21</v>
      </c>
      <c r="K317" s="2">
        <v>10</v>
      </c>
      <c r="L317" s="1">
        <v>40621</v>
      </c>
      <c r="M317" s="1">
        <v>406210</v>
      </c>
      <c r="N317" s="1">
        <v>15</v>
      </c>
      <c r="O317" s="1">
        <v>60931.5</v>
      </c>
    </row>
    <row r="318" spans="1:15">
      <c r="A318" s="6">
        <v>2026</v>
      </c>
      <c r="B318" s="7">
        <v>2</v>
      </c>
      <c r="C318" s="8">
        <v>46079</v>
      </c>
      <c r="D318" s="3" t="s">
        <v>1661</v>
      </c>
      <c r="E318" s="3" t="s">
        <v>265</v>
      </c>
      <c r="F318" s="3" t="s">
        <v>1499</v>
      </c>
      <c r="G318" s="3" t="s">
        <v>273</v>
      </c>
      <c r="H318" s="3" t="s">
        <v>1303</v>
      </c>
      <c r="I318" s="3" t="s">
        <v>1662</v>
      </c>
      <c r="J318" s="3" t="s">
        <v>41</v>
      </c>
      <c r="K318" s="2">
        <v>10</v>
      </c>
      <c r="L318" s="1">
        <v>90000</v>
      </c>
      <c r="M318" s="1">
        <v>900000</v>
      </c>
      <c r="N318" s="1">
        <v>15</v>
      </c>
      <c r="O318" s="1">
        <v>135000</v>
      </c>
    </row>
    <row r="319" spans="1:15">
      <c r="A319" s="6">
        <v>2026</v>
      </c>
      <c r="B319" s="7">
        <v>2</v>
      </c>
      <c r="C319" s="8">
        <v>46080</v>
      </c>
      <c r="D319" s="3" t="s">
        <v>1663</v>
      </c>
      <c r="E319" s="3" t="s">
        <v>284</v>
      </c>
      <c r="F319" s="3" t="s">
        <v>281</v>
      </c>
      <c r="G319" s="3" t="s">
        <v>273</v>
      </c>
      <c r="H319" s="3" t="s">
        <v>1303</v>
      </c>
      <c r="I319" s="3" t="s">
        <v>443</v>
      </c>
      <c r="J319" s="3" t="s">
        <v>466</v>
      </c>
      <c r="K319" s="2">
        <v>20</v>
      </c>
      <c r="L319" s="1">
        <v>120000</v>
      </c>
      <c r="M319" s="1">
        <v>2400000</v>
      </c>
      <c r="N319" s="1">
        <v>10</v>
      </c>
      <c r="O319" s="1">
        <v>240000</v>
      </c>
    </row>
    <row r="320" spans="1:15">
      <c r="A320" s="6">
        <v>2026</v>
      </c>
      <c r="B320" s="7">
        <v>2</v>
      </c>
      <c r="C320" s="8">
        <v>46080</v>
      </c>
      <c r="D320" s="3" t="s">
        <v>1664</v>
      </c>
      <c r="E320" s="3" t="s">
        <v>1451</v>
      </c>
      <c r="F320" s="3" t="s">
        <v>1264</v>
      </c>
      <c r="G320" s="3" t="s">
        <v>273</v>
      </c>
      <c r="H320" s="3" t="s">
        <v>1303</v>
      </c>
      <c r="I320" s="3" t="s">
        <v>1265</v>
      </c>
      <c r="J320" s="3" t="s">
        <v>46</v>
      </c>
      <c r="K320" s="2">
        <v>40</v>
      </c>
      <c r="L320" s="1">
        <v>64700</v>
      </c>
      <c r="M320" s="1">
        <v>2588000</v>
      </c>
      <c r="N320" s="1">
        <v>15</v>
      </c>
      <c r="O320" s="1">
        <v>388200</v>
      </c>
    </row>
    <row r="321" spans="1:15">
      <c r="A321" s="6">
        <v>2026</v>
      </c>
      <c r="B321" s="7">
        <v>2</v>
      </c>
      <c r="C321" s="8">
        <v>46080</v>
      </c>
      <c r="D321" s="3" t="s">
        <v>1665</v>
      </c>
      <c r="E321" s="3" t="s">
        <v>1648</v>
      </c>
      <c r="F321" s="3" t="s">
        <v>272</v>
      </c>
      <c r="G321" s="3" t="s">
        <v>273</v>
      </c>
      <c r="H321" s="3" t="s">
        <v>1303</v>
      </c>
      <c r="I321" s="3" t="s">
        <v>1316</v>
      </c>
      <c r="J321" s="3" t="s">
        <v>21</v>
      </c>
      <c r="K321" s="2">
        <v>30</v>
      </c>
      <c r="L321" s="1">
        <v>40621</v>
      </c>
      <c r="M321" s="1">
        <v>1218630</v>
      </c>
      <c r="N321" s="1">
        <v>15</v>
      </c>
      <c r="O321" s="1">
        <v>182794.5</v>
      </c>
    </row>
    <row r="322" spans="1:15">
      <c r="A322" s="6">
        <v>2026</v>
      </c>
      <c r="B322" s="7">
        <v>2</v>
      </c>
      <c r="C322" s="8">
        <v>46080</v>
      </c>
      <c r="D322" s="3" t="s">
        <v>1665</v>
      </c>
      <c r="E322" s="3" t="s">
        <v>1648</v>
      </c>
      <c r="F322" s="3" t="s">
        <v>272</v>
      </c>
      <c r="G322" s="3" t="s">
        <v>273</v>
      </c>
      <c r="H322" s="3" t="s">
        <v>1303</v>
      </c>
      <c r="I322" s="3" t="s">
        <v>1316</v>
      </c>
      <c r="J322" s="3" t="s">
        <v>21</v>
      </c>
      <c r="K322" s="2">
        <v>10</v>
      </c>
      <c r="L322" s="1">
        <v>40621</v>
      </c>
      <c r="M322" s="1">
        <v>406210</v>
      </c>
      <c r="N322" s="1">
        <v>15</v>
      </c>
      <c r="O322" s="1">
        <v>60931.5</v>
      </c>
    </row>
    <row r="323" spans="1:15">
      <c r="A323" s="6">
        <v>2026</v>
      </c>
      <c r="B323" s="7">
        <v>2</v>
      </c>
      <c r="C323" s="8">
        <v>46080</v>
      </c>
      <c r="D323" s="3" t="s">
        <v>1665</v>
      </c>
      <c r="E323" s="3" t="s">
        <v>1648</v>
      </c>
      <c r="F323" s="3" t="s">
        <v>272</v>
      </c>
      <c r="G323" s="3" t="s">
        <v>273</v>
      </c>
      <c r="H323" s="3" t="s">
        <v>1303</v>
      </c>
      <c r="I323" s="3" t="s">
        <v>1316</v>
      </c>
      <c r="J323" s="3" t="s">
        <v>21</v>
      </c>
      <c r="K323" s="2">
        <v>200</v>
      </c>
      <c r="L323" s="1">
        <v>40621</v>
      </c>
      <c r="M323" s="1">
        <v>8124200</v>
      </c>
      <c r="N323" s="1">
        <v>15</v>
      </c>
      <c r="O323" s="1">
        <v>1218630</v>
      </c>
    </row>
    <row r="324" spans="1:15">
      <c r="A324" s="6">
        <v>2026</v>
      </c>
      <c r="B324" s="7">
        <v>2</v>
      </c>
      <c r="C324" s="8">
        <v>46080</v>
      </c>
      <c r="D324" s="3" t="s">
        <v>1666</v>
      </c>
      <c r="E324" s="3" t="s">
        <v>284</v>
      </c>
      <c r="F324" s="3" t="s">
        <v>281</v>
      </c>
      <c r="G324" s="3" t="s">
        <v>273</v>
      </c>
      <c r="H324" s="3" t="s">
        <v>1303</v>
      </c>
      <c r="I324" s="3" t="s">
        <v>1492</v>
      </c>
      <c r="J324" s="3" t="s">
        <v>21</v>
      </c>
      <c r="K324" s="2">
        <v>100</v>
      </c>
      <c r="L324" s="1">
        <v>40621</v>
      </c>
      <c r="M324" s="1">
        <v>4062100</v>
      </c>
      <c r="N324" s="1">
        <v>10</v>
      </c>
      <c r="O324" s="1">
        <v>406210</v>
      </c>
    </row>
    <row r="325" spans="1:15">
      <c r="A325" s="6">
        <v>2026</v>
      </c>
      <c r="B325" s="7">
        <v>2</v>
      </c>
      <c r="C325" s="8">
        <v>46080</v>
      </c>
      <c r="D325" s="3" t="s">
        <v>1667</v>
      </c>
      <c r="E325" s="3" t="s">
        <v>1618</v>
      </c>
      <c r="F325" s="3" t="s">
        <v>871</v>
      </c>
      <c r="G325" s="3" t="s">
        <v>273</v>
      </c>
      <c r="H325" s="3" t="s">
        <v>1303</v>
      </c>
      <c r="I325" s="3" t="s">
        <v>1545</v>
      </c>
      <c r="J325" s="3" t="s">
        <v>21</v>
      </c>
      <c r="K325" s="2">
        <v>50</v>
      </c>
      <c r="L325" s="1">
        <v>40621</v>
      </c>
      <c r="M325" s="1">
        <v>2031050</v>
      </c>
      <c r="N325" s="1">
        <v>15</v>
      </c>
      <c r="O325" s="1">
        <v>304657.5</v>
      </c>
    </row>
    <row r="326" spans="1:15">
      <c r="A326" s="6">
        <v>2026</v>
      </c>
      <c r="B326" s="7">
        <v>2</v>
      </c>
      <c r="C326" s="8">
        <v>46080</v>
      </c>
      <c r="D326" s="3" t="s">
        <v>1668</v>
      </c>
      <c r="E326" s="3" t="s">
        <v>1302</v>
      </c>
      <c r="F326" s="3" t="s">
        <v>272</v>
      </c>
      <c r="G326" s="3" t="s">
        <v>273</v>
      </c>
      <c r="H326" s="3" t="s">
        <v>1303</v>
      </c>
      <c r="I326" s="3" t="s">
        <v>1669</v>
      </c>
      <c r="J326" s="3" t="s">
        <v>38</v>
      </c>
      <c r="K326" s="2">
        <v>30</v>
      </c>
      <c r="L326" s="1">
        <v>65000</v>
      </c>
      <c r="M326" s="1">
        <v>1950000</v>
      </c>
      <c r="N326" s="1">
        <v>5</v>
      </c>
      <c r="O326" s="1">
        <v>97500</v>
      </c>
    </row>
    <row r="327" spans="1:15">
      <c r="A327" s="6">
        <v>2026</v>
      </c>
      <c r="B327" s="7">
        <v>2</v>
      </c>
      <c r="C327" s="8">
        <v>46080</v>
      </c>
      <c r="D327" s="3" t="s">
        <v>1668</v>
      </c>
      <c r="E327" s="3" t="s">
        <v>1302</v>
      </c>
      <c r="F327" s="3" t="s">
        <v>272</v>
      </c>
      <c r="G327" s="3" t="s">
        <v>273</v>
      </c>
      <c r="H327" s="3" t="s">
        <v>1303</v>
      </c>
      <c r="I327" s="3" t="s">
        <v>1669</v>
      </c>
      <c r="J327" s="3" t="s">
        <v>466</v>
      </c>
      <c r="K327" s="2">
        <v>50</v>
      </c>
      <c r="L327" s="1">
        <v>120000</v>
      </c>
      <c r="M327" s="1">
        <v>6000000</v>
      </c>
      <c r="N327" s="1">
        <v>5</v>
      </c>
      <c r="O327" s="1">
        <v>300000</v>
      </c>
    </row>
    <row r="328" spans="1:15">
      <c r="A328" s="6">
        <v>2026</v>
      </c>
      <c r="B328" s="7">
        <v>2</v>
      </c>
      <c r="C328" s="8">
        <v>46080</v>
      </c>
      <c r="D328" s="3" t="s">
        <v>1668</v>
      </c>
      <c r="E328" s="3" t="s">
        <v>1302</v>
      </c>
      <c r="F328" s="3" t="s">
        <v>272</v>
      </c>
      <c r="G328" s="3" t="s">
        <v>273</v>
      </c>
      <c r="H328" s="3" t="s">
        <v>1303</v>
      </c>
      <c r="I328" s="3" t="s">
        <v>1669</v>
      </c>
      <c r="J328" s="3" t="s">
        <v>41</v>
      </c>
      <c r="K328" s="2">
        <v>50</v>
      </c>
      <c r="L328" s="1">
        <v>90000</v>
      </c>
      <c r="M328" s="1">
        <v>4500000</v>
      </c>
      <c r="N328" s="1">
        <v>5</v>
      </c>
      <c r="O328" s="1">
        <v>225000</v>
      </c>
    </row>
    <row r="329" spans="1:15">
      <c r="A329" s="6">
        <v>2026</v>
      </c>
      <c r="B329" s="7">
        <v>2</v>
      </c>
      <c r="C329" s="8">
        <v>46080</v>
      </c>
      <c r="D329" s="3" t="s">
        <v>1668</v>
      </c>
      <c r="E329" s="3" t="s">
        <v>1302</v>
      </c>
      <c r="F329" s="3" t="s">
        <v>272</v>
      </c>
      <c r="G329" s="3" t="s">
        <v>273</v>
      </c>
      <c r="H329" s="3" t="s">
        <v>1303</v>
      </c>
      <c r="I329" s="3" t="s">
        <v>1669</v>
      </c>
      <c r="J329" s="3" t="s">
        <v>46</v>
      </c>
      <c r="K329" s="2">
        <v>40</v>
      </c>
      <c r="L329" s="1">
        <v>64700</v>
      </c>
      <c r="M329" s="1">
        <v>2588000</v>
      </c>
      <c r="N329" s="1">
        <v>5</v>
      </c>
      <c r="O329" s="1">
        <v>129400</v>
      </c>
    </row>
    <row r="330" spans="1:15">
      <c r="A330" s="6">
        <v>2026</v>
      </c>
      <c r="B330" s="7">
        <v>3</v>
      </c>
      <c r="C330" s="8">
        <v>46083</v>
      </c>
      <c r="D330" s="3" t="s">
        <v>1670</v>
      </c>
      <c r="E330" s="3" t="s">
        <v>1648</v>
      </c>
      <c r="F330" s="3" t="s">
        <v>272</v>
      </c>
      <c r="G330" s="3" t="s">
        <v>273</v>
      </c>
      <c r="H330" s="3" t="s">
        <v>1303</v>
      </c>
      <c r="I330" s="3" t="s">
        <v>1325</v>
      </c>
      <c r="J330" s="3" t="s">
        <v>21</v>
      </c>
      <c r="K330" s="2">
        <v>87</v>
      </c>
      <c r="L330" s="1">
        <v>40621</v>
      </c>
      <c r="M330" s="1">
        <v>3534027</v>
      </c>
      <c r="N330" s="1">
        <v>15</v>
      </c>
      <c r="O330" s="1">
        <v>530104.05000000005</v>
      </c>
    </row>
    <row r="331" spans="1:15">
      <c r="A331" s="6">
        <v>2026</v>
      </c>
      <c r="B331" s="7">
        <v>3</v>
      </c>
      <c r="C331" s="8">
        <v>46084</v>
      </c>
      <c r="D331" s="3" t="s">
        <v>1671</v>
      </c>
      <c r="E331" s="3" t="s">
        <v>1590</v>
      </c>
      <c r="F331" s="3" t="s">
        <v>871</v>
      </c>
      <c r="G331" s="3" t="s">
        <v>273</v>
      </c>
      <c r="H331" s="3" t="s">
        <v>1303</v>
      </c>
      <c r="I331" s="3" t="s">
        <v>986</v>
      </c>
      <c r="J331" s="3" t="s">
        <v>38</v>
      </c>
      <c r="K331" s="2">
        <v>50</v>
      </c>
      <c r="L331" s="1">
        <v>65000</v>
      </c>
      <c r="M331" s="1">
        <v>3250000</v>
      </c>
      <c r="N331" s="1">
        <v>15</v>
      </c>
      <c r="O331" s="1">
        <v>487500</v>
      </c>
    </row>
    <row r="332" spans="1:15">
      <c r="A332" s="6">
        <v>2026</v>
      </c>
      <c r="B332" s="7">
        <v>3</v>
      </c>
      <c r="C332" s="8">
        <v>46084</v>
      </c>
      <c r="D332" s="3" t="s">
        <v>1672</v>
      </c>
      <c r="E332" s="3" t="s">
        <v>1578</v>
      </c>
      <c r="F332" s="3" t="s">
        <v>875</v>
      </c>
      <c r="G332" s="3" t="s">
        <v>273</v>
      </c>
      <c r="H332" s="3" t="s">
        <v>1303</v>
      </c>
      <c r="I332" s="3" t="s">
        <v>1673</v>
      </c>
      <c r="J332" s="3" t="s">
        <v>38</v>
      </c>
      <c r="K332" s="2">
        <v>10</v>
      </c>
      <c r="L332" s="1">
        <v>65000</v>
      </c>
      <c r="M332" s="1">
        <v>650000</v>
      </c>
      <c r="N332" s="1">
        <v>15</v>
      </c>
      <c r="O332" s="1">
        <v>97500</v>
      </c>
    </row>
    <row r="333" spans="1:15">
      <c r="A333" s="6">
        <v>2026</v>
      </c>
      <c r="B333" s="7">
        <v>3</v>
      </c>
      <c r="C333" s="8">
        <v>46084</v>
      </c>
      <c r="D333" s="3" t="s">
        <v>1674</v>
      </c>
      <c r="E333" s="3" t="s">
        <v>886</v>
      </c>
      <c r="F333" s="3" t="s">
        <v>887</v>
      </c>
      <c r="G333" s="3" t="s">
        <v>273</v>
      </c>
      <c r="H333" s="3" t="s">
        <v>1303</v>
      </c>
      <c r="I333" s="3" t="s">
        <v>1675</v>
      </c>
      <c r="J333" s="3" t="s">
        <v>46</v>
      </c>
      <c r="K333" s="2">
        <v>20</v>
      </c>
      <c r="L333" s="1">
        <v>64700</v>
      </c>
      <c r="M333" s="1">
        <v>1294000</v>
      </c>
      <c r="N333" s="1">
        <v>15</v>
      </c>
      <c r="O333" s="1">
        <v>194100</v>
      </c>
    </row>
    <row r="334" spans="1:15">
      <c r="A334" s="6">
        <v>2026</v>
      </c>
      <c r="B334" s="7">
        <v>3</v>
      </c>
      <c r="C334" s="8">
        <v>46084</v>
      </c>
      <c r="D334" s="3" t="s">
        <v>1676</v>
      </c>
      <c r="E334" s="3" t="s">
        <v>1618</v>
      </c>
      <c r="F334" s="3" t="s">
        <v>871</v>
      </c>
      <c r="G334" s="3" t="s">
        <v>273</v>
      </c>
      <c r="H334" s="3" t="s">
        <v>1303</v>
      </c>
      <c r="I334" s="3" t="s">
        <v>913</v>
      </c>
      <c r="J334" s="3" t="s">
        <v>38</v>
      </c>
      <c r="K334" s="2">
        <v>100</v>
      </c>
      <c r="L334" s="1">
        <v>65000</v>
      </c>
      <c r="M334" s="1">
        <v>6500000</v>
      </c>
      <c r="N334" s="1">
        <v>15</v>
      </c>
      <c r="O334" s="1">
        <v>975000</v>
      </c>
    </row>
    <row r="335" spans="1:15">
      <c r="A335" s="6">
        <v>2026</v>
      </c>
      <c r="B335" s="7">
        <v>3</v>
      </c>
      <c r="C335" s="8">
        <v>46085</v>
      </c>
      <c r="D335" s="3" t="s">
        <v>1677</v>
      </c>
      <c r="E335" s="3" t="s">
        <v>1314</v>
      </c>
      <c r="F335" s="3" t="s">
        <v>1314</v>
      </c>
      <c r="G335" s="3" t="s">
        <v>1314</v>
      </c>
      <c r="H335" s="3" t="s">
        <v>1303</v>
      </c>
      <c r="I335" s="3" t="s">
        <v>957</v>
      </c>
      <c r="J335" s="3" t="s">
        <v>38</v>
      </c>
      <c r="K335" s="2">
        <v>100</v>
      </c>
      <c r="L335" s="1">
        <v>65000</v>
      </c>
      <c r="M335" s="1">
        <v>6500000</v>
      </c>
      <c r="N335" s="1">
        <v>2</v>
      </c>
      <c r="O335" s="1">
        <v>130000</v>
      </c>
    </row>
    <row r="336" spans="1:15">
      <c r="A336" s="6">
        <v>2026</v>
      </c>
      <c r="B336" s="7">
        <v>3</v>
      </c>
      <c r="C336" s="8">
        <v>46085</v>
      </c>
      <c r="D336" s="3" t="s">
        <v>1677</v>
      </c>
      <c r="E336" s="3" t="s">
        <v>1314</v>
      </c>
      <c r="F336" s="3" t="s">
        <v>1314</v>
      </c>
      <c r="G336" s="3" t="s">
        <v>1314</v>
      </c>
      <c r="H336" s="3" t="s">
        <v>1303</v>
      </c>
      <c r="I336" s="3" t="s">
        <v>957</v>
      </c>
      <c r="J336" s="3" t="s">
        <v>46</v>
      </c>
      <c r="K336" s="2">
        <v>230</v>
      </c>
      <c r="L336" s="1">
        <v>64700</v>
      </c>
      <c r="M336" s="1">
        <v>14881000</v>
      </c>
      <c r="N336" s="1">
        <v>2</v>
      </c>
      <c r="O336" s="1">
        <v>297620</v>
      </c>
    </row>
    <row r="337" spans="1:15">
      <c r="A337" s="6">
        <v>2026</v>
      </c>
      <c r="B337" s="7">
        <v>3</v>
      </c>
      <c r="C337" s="8">
        <v>46085</v>
      </c>
      <c r="D337" s="3" t="s">
        <v>1677</v>
      </c>
      <c r="E337" s="3" t="s">
        <v>1314</v>
      </c>
      <c r="F337" s="3" t="s">
        <v>1314</v>
      </c>
      <c r="G337" s="3" t="s">
        <v>1314</v>
      </c>
      <c r="H337" s="3" t="s">
        <v>1303</v>
      </c>
      <c r="I337" s="3" t="s">
        <v>957</v>
      </c>
      <c r="J337" s="3" t="s">
        <v>46</v>
      </c>
      <c r="K337" s="2">
        <v>70</v>
      </c>
      <c r="L337" s="1">
        <v>64700</v>
      </c>
      <c r="M337" s="1">
        <v>4529000</v>
      </c>
      <c r="N337" s="1">
        <v>2</v>
      </c>
      <c r="O337" s="1">
        <v>90580</v>
      </c>
    </row>
    <row r="338" spans="1:15">
      <c r="A338" s="6">
        <v>2026</v>
      </c>
      <c r="B338" s="7">
        <v>3</v>
      </c>
      <c r="C338" s="8">
        <v>46085</v>
      </c>
      <c r="D338" s="3" t="s">
        <v>1677</v>
      </c>
      <c r="E338" s="3" t="s">
        <v>1314</v>
      </c>
      <c r="F338" s="3" t="s">
        <v>1314</v>
      </c>
      <c r="G338" s="3" t="s">
        <v>1314</v>
      </c>
      <c r="H338" s="3" t="s">
        <v>1303</v>
      </c>
      <c r="I338" s="3" t="s">
        <v>957</v>
      </c>
      <c r="J338" s="3" t="s">
        <v>38</v>
      </c>
      <c r="K338" s="2">
        <v>200</v>
      </c>
      <c r="L338" s="1">
        <v>65000</v>
      </c>
      <c r="M338" s="1">
        <v>13000000</v>
      </c>
      <c r="N338" s="1">
        <v>2</v>
      </c>
      <c r="O338" s="1">
        <v>260000</v>
      </c>
    </row>
    <row r="339" spans="1:15">
      <c r="A339" s="6">
        <v>2026</v>
      </c>
      <c r="B339" s="7">
        <v>3</v>
      </c>
      <c r="C339" s="8">
        <v>46085</v>
      </c>
      <c r="D339" s="3" t="s">
        <v>1677</v>
      </c>
      <c r="E339" s="3" t="s">
        <v>1314</v>
      </c>
      <c r="F339" s="3" t="s">
        <v>1314</v>
      </c>
      <c r="G339" s="3" t="s">
        <v>1314</v>
      </c>
      <c r="H339" s="3" t="s">
        <v>1303</v>
      </c>
      <c r="I339" s="3" t="s">
        <v>957</v>
      </c>
      <c r="J339" s="3" t="s">
        <v>41</v>
      </c>
      <c r="K339" s="2">
        <v>200</v>
      </c>
      <c r="L339" s="1">
        <v>90000</v>
      </c>
      <c r="M339" s="1">
        <v>18000000</v>
      </c>
      <c r="N339" s="1">
        <v>2</v>
      </c>
      <c r="O339" s="1">
        <v>360000</v>
      </c>
    </row>
    <row r="340" spans="1:15">
      <c r="A340" s="6">
        <v>2026</v>
      </c>
      <c r="B340" s="7">
        <v>3</v>
      </c>
      <c r="C340" s="8">
        <v>46085</v>
      </c>
      <c r="D340" s="3" t="s">
        <v>1678</v>
      </c>
      <c r="E340" s="3" t="s">
        <v>1578</v>
      </c>
      <c r="F340" s="3" t="s">
        <v>875</v>
      </c>
      <c r="G340" s="3" t="s">
        <v>273</v>
      </c>
      <c r="H340" s="3" t="s">
        <v>1303</v>
      </c>
      <c r="I340" s="3" t="s">
        <v>930</v>
      </c>
      <c r="J340" s="3" t="s">
        <v>38</v>
      </c>
      <c r="K340" s="2">
        <v>20</v>
      </c>
      <c r="L340" s="1">
        <v>65000</v>
      </c>
      <c r="M340" s="1">
        <v>1300000</v>
      </c>
      <c r="N340" s="1">
        <v>15</v>
      </c>
      <c r="O340" s="1">
        <v>195000</v>
      </c>
    </row>
    <row r="341" spans="1:15">
      <c r="A341" s="6">
        <v>2026</v>
      </c>
      <c r="B341" s="7">
        <v>3</v>
      </c>
      <c r="C341" s="8">
        <v>46086</v>
      </c>
      <c r="D341" s="3" t="s">
        <v>1679</v>
      </c>
      <c r="E341" s="3" t="s">
        <v>1462</v>
      </c>
      <c r="F341" s="3" t="s">
        <v>272</v>
      </c>
      <c r="G341" s="3" t="s">
        <v>273</v>
      </c>
      <c r="H341" s="3" t="s">
        <v>1303</v>
      </c>
      <c r="I341" s="3" t="s">
        <v>1445</v>
      </c>
      <c r="J341" s="3" t="s">
        <v>21</v>
      </c>
      <c r="K341" s="2">
        <v>40</v>
      </c>
      <c r="L341" s="1">
        <v>40621</v>
      </c>
      <c r="M341" s="1">
        <v>1624840</v>
      </c>
      <c r="N341" s="1">
        <v>15</v>
      </c>
      <c r="O341" s="1">
        <v>243726</v>
      </c>
    </row>
    <row r="342" spans="1:15">
      <c r="A342" s="6">
        <v>2026</v>
      </c>
      <c r="B342" s="7">
        <v>3</v>
      </c>
      <c r="C342" s="8">
        <v>46087</v>
      </c>
      <c r="D342" s="3" t="s">
        <v>1680</v>
      </c>
      <c r="E342" s="3" t="s">
        <v>1590</v>
      </c>
      <c r="F342" s="3" t="s">
        <v>871</v>
      </c>
      <c r="G342" s="3" t="s">
        <v>273</v>
      </c>
      <c r="H342" s="3" t="s">
        <v>1303</v>
      </c>
      <c r="I342" s="3" t="s">
        <v>1330</v>
      </c>
      <c r="J342" s="3" t="s">
        <v>41</v>
      </c>
      <c r="K342" s="2">
        <v>87</v>
      </c>
      <c r="L342" s="1">
        <v>90000</v>
      </c>
      <c r="M342" s="1">
        <v>7830000</v>
      </c>
      <c r="N342" s="1">
        <v>15</v>
      </c>
      <c r="O342" s="1">
        <v>1174500</v>
      </c>
    </row>
    <row r="343" spans="1:15">
      <c r="A343" s="6">
        <v>2026</v>
      </c>
      <c r="B343" s="7">
        <v>3</v>
      </c>
      <c r="C343" s="8">
        <v>46087</v>
      </c>
      <c r="D343" s="3" t="s">
        <v>1681</v>
      </c>
      <c r="E343" s="3" t="s">
        <v>265</v>
      </c>
      <c r="F343" s="3" t="s">
        <v>1499</v>
      </c>
      <c r="G343" s="3" t="s">
        <v>273</v>
      </c>
      <c r="H343" s="3" t="s">
        <v>1303</v>
      </c>
      <c r="I343" s="3" t="s">
        <v>1682</v>
      </c>
      <c r="J343" s="3" t="s">
        <v>41</v>
      </c>
      <c r="K343" s="2">
        <v>40</v>
      </c>
      <c r="L343" s="1">
        <v>90000</v>
      </c>
      <c r="M343" s="1">
        <v>3600000</v>
      </c>
      <c r="N343" s="1">
        <v>15</v>
      </c>
      <c r="O343" s="1">
        <v>540000</v>
      </c>
    </row>
    <row r="344" spans="1:15">
      <c r="A344" s="6">
        <v>2026</v>
      </c>
      <c r="B344" s="7">
        <v>3</v>
      </c>
      <c r="C344" s="8">
        <v>46087</v>
      </c>
      <c r="D344" s="3" t="s">
        <v>1683</v>
      </c>
      <c r="E344" s="3" t="s">
        <v>1590</v>
      </c>
      <c r="F344" s="3" t="s">
        <v>871</v>
      </c>
      <c r="G344" s="3" t="s">
        <v>273</v>
      </c>
      <c r="H344" s="3" t="s">
        <v>1303</v>
      </c>
      <c r="I344" s="3" t="s">
        <v>973</v>
      </c>
      <c r="J344" s="3" t="s">
        <v>41</v>
      </c>
      <c r="K344" s="2">
        <v>50</v>
      </c>
      <c r="L344" s="1">
        <v>90000</v>
      </c>
      <c r="M344" s="1">
        <v>4500000</v>
      </c>
      <c r="N344" s="1">
        <v>15</v>
      </c>
      <c r="O344" s="1">
        <v>675000</v>
      </c>
    </row>
    <row r="345" spans="1:15">
      <c r="A345" s="6">
        <v>2026</v>
      </c>
      <c r="B345" s="7">
        <v>3</v>
      </c>
      <c r="C345" s="8">
        <v>46091</v>
      </c>
      <c r="D345" s="3" t="s">
        <v>1684</v>
      </c>
      <c r="E345" s="3" t="s">
        <v>1462</v>
      </c>
      <c r="F345" s="3" t="s">
        <v>272</v>
      </c>
      <c r="G345" s="3" t="s">
        <v>273</v>
      </c>
      <c r="H345" s="3" t="s">
        <v>1303</v>
      </c>
      <c r="I345" s="3" t="s">
        <v>1445</v>
      </c>
      <c r="J345" s="3" t="s">
        <v>21</v>
      </c>
      <c r="K345" s="2">
        <v>30</v>
      </c>
      <c r="L345" s="1">
        <v>40621</v>
      </c>
      <c r="M345" s="1">
        <v>1218630</v>
      </c>
      <c r="N345" s="1">
        <v>15</v>
      </c>
      <c r="O345" s="1">
        <v>182794.5</v>
      </c>
    </row>
    <row r="346" spans="1:15">
      <c r="A346" s="6">
        <v>2026</v>
      </c>
      <c r="B346" s="7">
        <v>3</v>
      </c>
      <c r="C346" s="8">
        <v>46091</v>
      </c>
      <c r="D346" s="3" t="s">
        <v>1685</v>
      </c>
      <c r="E346" s="3" t="s">
        <v>1618</v>
      </c>
      <c r="F346" s="3" t="s">
        <v>871</v>
      </c>
      <c r="G346" s="3" t="s">
        <v>273</v>
      </c>
      <c r="H346" s="3" t="s">
        <v>1303</v>
      </c>
      <c r="I346" s="3" t="s">
        <v>1545</v>
      </c>
      <c r="J346" s="3" t="s">
        <v>38</v>
      </c>
      <c r="K346" s="2">
        <v>100</v>
      </c>
      <c r="L346" s="1">
        <v>65000</v>
      </c>
      <c r="M346" s="1">
        <v>6500000</v>
      </c>
      <c r="N346" s="1">
        <v>15</v>
      </c>
      <c r="O346" s="1">
        <v>975000</v>
      </c>
    </row>
    <row r="347" spans="1:15">
      <c r="A347" s="6">
        <v>2026</v>
      </c>
      <c r="B347" s="7">
        <v>3</v>
      </c>
      <c r="C347" s="8">
        <v>46091</v>
      </c>
      <c r="D347" s="3" t="s">
        <v>1686</v>
      </c>
      <c r="E347" s="3" t="s">
        <v>1383</v>
      </c>
      <c r="F347" s="3" t="s">
        <v>1280</v>
      </c>
      <c r="G347" s="3" t="s">
        <v>273</v>
      </c>
      <c r="H347" s="3" t="s">
        <v>1303</v>
      </c>
      <c r="I347" s="3" t="s">
        <v>1410</v>
      </c>
      <c r="J347" s="3" t="s">
        <v>38</v>
      </c>
      <c r="K347" s="2">
        <v>100</v>
      </c>
      <c r="L347" s="1">
        <v>65000</v>
      </c>
      <c r="M347" s="1">
        <v>6500000</v>
      </c>
      <c r="N347" s="1">
        <v>15</v>
      </c>
      <c r="O347" s="1">
        <v>975000</v>
      </c>
    </row>
    <row r="348" spans="1:15">
      <c r="A348" s="6">
        <v>2026</v>
      </c>
      <c r="B348" s="7">
        <v>3</v>
      </c>
      <c r="C348" s="8">
        <v>46092</v>
      </c>
      <c r="D348" s="3" t="s">
        <v>1687</v>
      </c>
      <c r="E348" s="3" t="s">
        <v>886</v>
      </c>
      <c r="F348" s="3" t="s">
        <v>887</v>
      </c>
      <c r="G348" s="3" t="s">
        <v>273</v>
      </c>
      <c r="H348" s="3" t="s">
        <v>1303</v>
      </c>
      <c r="I348" s="3" t="s">
        <v>995</v>
      </c>
      <c r="J348" s="3" t="s">
        <v>46</v>
      </c>
      <c r="K348" s="2">
        <v>30</v>
      </c>
      <c r="L348" s="1">
        <v>64700</v>
      </c>
      <c r="M348" s="1">
        <v>1941000</v>
      </c>
      <c r="N348" s="1">
        <v>15</v>
      </c>
      <c r="O348" s="1">
        <v>291150</v>
      </c>
    </row>
    <row r="349" spans="1:15">
      <c r="A349" s="6">
        <v>2026</v>
      </c>
      <c r="B349" s="7">
        <v>3</v>
      </c>
      <c r="C349" s="8">
        <v>46092</v>
      </c>
      <c r="D349" s="3" t="s">
        <v>1688</v>
      </c>
      <c r="E349" s="3" t="s">
        <v>1314</v>
      </c>
      <c r="F349" s="3" t="s">
        <v>1314</v>
      </c>
      <c r="G349" s="3" t="s">
        <v>1314</v>
      </c>
      <c r="H349" s="3" t="s">
        <v>1303</v>
      </c>
      <c r="I349" s="3" t="s">
        <v>957</v>
      </c>
      <c r="J349" s="3" t="s">
        <v>41</v>
      </c>
      <c r="K349" s="2">
        <v>200</v>
      </c>
      <c r="L349" s="1">
        <v>90000</v>
      </c>
      <c r="M349" s="1">
        <v>18000000</v>
      </c>
      <c r="N349" s="1">
        <v>2</v>
      </c>
      <c r="O349" s="1">
        <v>360000</v>
      </c>
    </row>
    <row r="350" spans="1:15">
      <c r="A350" s="6">
        <v>2026</v>
      </c>
      <c r="B350" s="7">
        <v>3</v>
      </c>
      <c r="C350" s="8">
        <v>46092</v>
      </c>
      <c r="D350" s="3" t="s">
        <v>1689</v>
      </c>
      <c r="E350" s="3" t="s">
        <v>1690</v>
      </c>
      <c r="F350" s="3" t="s">
        <v>1264</v>
      </c>
      <c r="G350" s="3" t="s">
        <v>273</v>
      </c>
      <c r="H350" s="3" t="s">
        <v>1303</v>
      </c>
      <c r="I350" s="3" t="s">
        <v>1265</v>
      </c>
      <c r="J350" s="3" t="s">
        <v>38</v>
      </c>
      <c r="K350" s="2">
        <v>15</v>
      </c>
      <c r="L350" s="1">
        <v>65000</v>
      </c>
      <c r="M350" s="1">
        <v>975000</v>
      </c>
      <c r="N350" s="1">
        <v>15</v>
      </c>
      <c r="O350" s="1">
        <v>146250</v>
      </c>
    </row>
    <row r="351" spans="1:15">
      <c r="A351" s="6">
        <v>2026</v>
      </c>
      <c r="B351" s="7">
        <v>3</v>
      </c>
      <c r="C351" s="8">
        <v>46093</v>
      </c>
      <c r="D351" s="3" t="s">
        <v>1691</v>
      </c>
      <c r="E351" s="3" t="s">
        <v>287</v>
      </c>
      <c r="F351" s="3" t="s">
        <v>288</v>
      </c>
      <c r="G351" s="3" t="s">
        <v>273</v>
      </c>
      <c r="H351" s="3" t="s">
        <v>1303</v>
      </c>
      <c r="I351" s="3" t="s">
        <v>686</v>
      </c>
      <c r="J351" s="3" t="s">
        <v>466</v>
      </c>
      <c r="K351" s="2">
        <v>10</v>
      </c>
      <c r="L351" s="1">
        <v>120000</v>
      </c>
      <c r="M351" s="1">
        <v>1200000</v>
      </c>
      <c r="N351" s="1">
        <v>15</v>
      </c>
      <c r="O351" s="1">
        <v>180000</v>
      </c>
    </row>
    <row r="352" spans="1:15">
      <c r="A352" s="6">
        <v>2026</v>
      </c>
      <c r="B352" s="7">
        <v>3</v>
      </c>
      <c r="C352" s="8">
        <v>46093</v>
      </c>
      <c r="D352" s="3" t="s">
        <v>1691</v>
      </c>
      <c r="E352" s="3" t="s">
        <v>287</v>
      </c>
      <c r="F352" s="3" t="s">
        <v>288</v>
      </c>
      <c r="G352" s="3" t="s">
        <v>273</v>
      </c>
      <c r="H352" s="3" t="s">
        <v>1303</v>
      </c>
      <c r="I352" s="3" t="s">
        <v>686</v>
      </c>
      <c r="J352" s="3" t="s">
        <v>38</v>
      </c>
      <c r="K352" s="2">
        <v>10</v>
      </c>
      <c r="L352" s="1">
        <v>65000</v>
      </c>
      <c r="M352" s="1">
        <v>650000</v>
      </c>
      <c r="N352" s="1">
        <v>15</v>
      </c>
      <c r="O352" s="1">
        <v>97500</v>
      </c>
    </row>
    <row r="353" spans="1:15">
      <c r="A353" s="6">
        <v>2026</v>
      </c>
      <c r="B353" s="7">
        <v>3</v>
      </c>
      <c r="C353" s="8">
        <v>46093</v>
      </c>
      <c r="D353" s="3" t="s">
        <v>1692</v>
      </c>
      <c r="E353" s="3" t="s">
        <v>1302</v>
      </c>
      <c r="F353" s="3" t="s">
        <v>272</v>
      </c>
      <c r="G353" s="3" t="s">
        <v>273</v>
      </c>
      <c r="H353" s="3" t="s">
        <v>1303</v>
      </c>
      <c r="I353" s="3" t="s">
        <v>1693</v>
      </c>
      <c r="J353" s="3" t="s">
        <v>21</v>
      </c>
      <c r="K353" s="2">
        <v>83</v>
      </c>
      <c r="L353" s="1">
        <v>40621</v>
      </c>
      <c r="M353" s="1">
        <v>3371543</v>
      </c>
      <c r="N353" s="1">
        <v>15</v>
      </c>
      <c r="O353" s="1">
        <v>505731.45</v>
      </c>
    </row>
    <row r="354" spans="1:15">
      <c r="A354" s="6">
        <v>2026</v>
      </c>
      <c r="B354" s="7">
        <v>3</v>
      </c>
      <c r="C354" s="8">
        <v>46093</v>
      </c>
      <c r="D354" s="3" t="s">
        <v>1692</v>
      </c>
      <c r="E354" s="3" t="s">
        <v>1302</v>
      </c>
      <c r="F354" s="3" t="s">
        <v>272</v>
      </c>
      <c r="G354" s="3" t="s">
        <v>273</v>
      </c>
      <c r="H354" s="3" t="s">
        <v>1303</v>
      </c>
      <c r="I354" s="3" t="s">
        <v>1693</v>
      </c>
      <c r="J354" s="3" t="s">
        <v>21</v>
      </c>
      <c r="K354" s="2">
        <v>117</v>
      </c>
      <c r="L354" s="1">
        <v>40621</v>
      </c>
      <c r="M354" s="1">
        <v>4752657</v>
      </c>
      <c r="N354" s="1">
        <v>15</v>
      </c>
      <c r="O354" s="1">
        <v>712898.55</v>
      </c>
    </row>
    <row r="355" spans="1:15">
      <c r="A355" s="6">
        <v>2026</v>
      </c>
      <c r="B355" s="7">
        <v>3</v>
      </c>
      <c r="C355" s="8">
        <v>46093</v>
      </c>
      <c r="D355" s="3" t="s">
        <v>1694</v>
      </c>
      <c r="E355" s="3" t="s">
        <v>1302</v>
      </c>
      <c r="F355" s="3" t="s">
        <v>272</v>
      </c>
      <c r="G355" s="3" t="s">
        <v>273</v>
      </c>
      <c r="H355" s="3" t="s">
        <v>1303</v>
      </c>
      <c r="I355" s="3" t="s">
        <v>417</v>
      </c>
      <c r="J355" s="3" t="s">
        <v>21</v>
      </c>
      <c r="K355" s="2">
        <v>227</v>
      </c>
      <c r="L355" s="1">
        <v>40621</v>
      </c>
      <c r="M355" s="1">
        <v>9220967</v>
      </c>
      <c r="N355" s="1">
        <v>15</v>
      </c>
      <c r="O355" s="1">
        <v>1383145.05</v>
      </c>
    </row>
    <row r="356" spans="1:15">
      <c r="A356" s="6">
        <v>2026</v>
      </c>
      <c r="B356" s="7">
        <v>3</v>
      </c>
      <c r="C356" s="8">
        <v>46093</v>
      </c>
      <c r="D356" s="3" t="s">
        <v>1694</v>
      </c>
      <c r="E356" s="3" t="s">
        <v>1302</v>
      </c>
      <c r="F356" s="3" t="s">
        <v>272</v>
      </c>
      <c r="G356" s="3" t="s">
        <v>273</v>
      </c>
      <c r="H356" s="3" t="s">
        <v>1303</v>
      </c>
      <c r="I356" s="3" t="s">
        <v>417</v>
      </c>
      <c r="J356" s="3" t="s">
        <v>21</v>
      </c>
      <c r="K356" s="2">
        <v>73</v>
      </c>
      <c r="L356" s="1">
        <v>40621</v>
      </c>
      <c r="M356" s="1">
        <v>2965333</v>
      </c>
      <c r="N356" s="1">
        <v>15</v>
      </c>
      <c r="O356" s="1">
        <v>444799.95</v>
      </c>
    </row>
    <row r="357" spans="1:15">
      <c r="A357" s="6">
        <v>2026</v>
      </c>
      <c r="B357" s="7">
        <v>3</v>
      </c>
      <c r="C357" s="8">
        <v>46093</v>
      </c>
      <c r="D357" s="3" t="s">
        <v>1695</v>
      </c>
      <c r="E357" s="3" t="s">
        <v>287</v>
      </c>
      <c r="F357" s="3" t="s">
        <v>288</v>
      </c>
      <c r="G357" s="3" t="s">
        <v>273</v>
      </c>
      <c r="H357" s="3" t="s">
        <v>1303</v>
      </c>
      <c r="I357" s="3" t="s">
        <v>358</v>
      </c>
      <c r="J357" s="3" t="s">
        <v>38</v>
      </c>
      <c r="K357" s="2">
        <v>10</v>
      </c>
      <c r="L357" s="1">
        <v>65000</v>
      </c>
      <c r="M357" s="1">
        <v>650000</v>
      </c>
      <c r="N357" s="1">
        <v>15</v>
      </c>
      <c r="O357" s="1">
        <v>97500</v>
      </c>
    </row>
    <row r="358" spans="1:15">
      <c r="A358" s="6">
        <v>2026</v>
      </c>
      <c r="B358" s="7">
        <v>3</v>
      </c>
      <c r="C358" s="8">
        <v>46093</v>
      </c>
      <c r="D358" s="3" t="s">
        <v>1695</v>
      </c>
      <c r="E358" s="3" t="s">
        <v>287</v>
      </c>
      <c r="F358" s="3" t="s">
        <v>288</v>
      </c>
      <c r="G358" s="3" t="s">
        <v>273</v>
      </c>
      <c r="H358" s="3" t="s">
        <v>1303</v>
      </c>
      <c r="I358" s="3" t="s">
        <v>358</v>
      </c>
      <c r="J358" s="3" t="s">
        <v>466</v>
      </c>
      <c r="K358" s="2">
        <v>10</v>
      </c>
      <c r="L358" s="1">
        <v>120000</v>
      </c>
      <c r="M358" s="1">
        <v>1200000</v>
      </c>
      <c r="N358" s="1">
        <v>15</v>
      </c>
      <c r="O358" s="1">
        <v>180000</v>
      </c>
    </row>
    <row r="359" spans="1:15">
      <c r="A359" s="6">
        <v>2026</v>
      </c>
      <c r="B359" s="7">
        <v>3</v>
      </c>
      <c r="C359" s="8">
        <v>46094</v>
      </c>
      <c r="D359" s="3" t="s">
        <v>1696</v>
      </c>
      <c r="E359" s="3" t="s">
        <v>1618</v>
      </c>
      <c r="F359" s="3" t="s">
        <v>871</v>
      </c>
      <c r="G359" s="3" t="s">
        <v>273</v>
      </c>
      <c r="H359" s="3" t="s">
        <v>1303</v>
      </c>
      <c r="I359" s="3" t="s">
        <v>944</v>
      </c>
      <c r="J359" s="3" t="s">
        <v>41</v>
      </c>
      <c r="K359" s="2">
        <v>20</v>
      </c>
      <c r="L359" s="1">
        <v>90000</v>
      </c>
      <c r="M359" s="1">
        <v>1800000</v>
      </c>
      <c r="N359" s="1">
        <v>15</v>
      </c>
      <c r="O359" s="1">
        <v>270000</v>
      </c>
    </row>
    <row r="360" spans="1:15">
      <c r="A360" s="6">
        <v>2026</v>
      </c>
      <c r="B360" s="7">
        <v>3</v>
      </c>
      <c r="C360" s="8">
        <v>46094</v>
      </c>
      <c r="D360" s="3" t="s">
        <v>1696</v>
      </c>
      <c r="E360" s="3" t="s">
        <v>1618</v>
      </c>
      <c r="F360" s="3" t="s">
        <v>871</v>
      </c>
      <c r="G360" s="3" t="s">
        <v>273</v>
      </c>
      <c r="H360" s="3" t="s">
        <v>1303</v>
      </c>
      <c r="I360" s="3" t="s">
        <v>944</v>
      </c>
      <c r="J360" s="3" t="s">
        <v>38</v>
      </c>
      <c r="K360" s="2">
        <v>30</v>
      </c>
      <c r="L360" s="1">
        <v>65000</v>
      </c>
      <c r="M360" s="1">
        <v>1950000</v>
      </c>
      <c r="N360" s="1">
        <v>15</v>
      </c>
      <c r="O360" s="1">
        <v>292500</v>
      </c>
    </row>
    <row r="361" spans="1:15">
      <c r="A361" s="6">
        <v>2026</v>
      </c>
      <c r="B361" s="7">
        <v>3</v>
      </c>
      <c r="C361" s="8">
        <v>46094</v>
      </c>
      <c r="D361" s="3" t="s">
        <v>1697</v>
      </c>
      <c r="E361" s="3" t="s">
        <v>1618</v>
      </c>
      <c r="F361" s="3" t="s">
        <v>871</v>
      </c>
      <c r="G361" s="3" t="s">
        <v>273</v>
      </c>
      <c r="H361" s="3" t="s">
        <v>1303</v>
      </c>
      <c r="I361" s="3" t="s">
        <v>1545</v>
      </c>
      <c r="J361" s="3" t="s">
        <v>21</v>
      </c>
      <c r="K361" s="2">
        <v>50</v>
      </c>
      <c r="L361" s="1">
        <v>40621</v>
      </c>
      <c r="M361" s="1">
        <v>2031050</v>
      </c>
      <c r="N361" s="1">
        <v>15</v>
      </c>
      <c r="O361" s="1">
        <v>304657.5</v>
      </c>
    </row>
    <row r="362" spans="1:15">
      <c r="A362" s="6">
        <v>2026</v>
      </c>
      <c r="B362" s="7">
        <v>3</v>
      </c>
      <c r="C362" s="8">
        <v>46094</v>
      </c>
      <c r="D362" s="3" t="s">
        <v>1698</v>
      </c>
      <c r="E362" s="3" t="s">
        <v>1618</v>
      </c>
      <c r="F362" s="3" t="s">
        <v>871</v>
      </c>
      <c r="G362" s="3" t="s">
        <v>273</v>
      </c>
      <c r="H362" s="3" t="s">
        <v>1303</v>
      </c>
      <c r="I362" s="3" t="s">
        <v>981</v>
      </c>
      <c r="J362" s="3" t="s">
        <v>38</v>
      </c>
      <c r="K362" s="2">
        <v>15</v>
      </c>
      <c r="L362" s="1">
        <v>65000</v>
      </c>
      <c r="M362" s="1">
        <v>975000</v>
      </c>
      <c r="N362" s="1">
        <v>15</v>
      </c>
      <c r="O362" s="1">
        <v>146250</v>
      </c>
    </row>
    <row r="363" spans="1:15">
      <c r="A363" s="6">
        <v>2026</v>
      </c>
      <c r="B363" s="7">
        <v>3</v>
      </c>
      <c r="C363" s="8">
        <v>46094</v>
      </c>
      <c r="D363" s="3" t="s">
        <v>1698</v>
      </c>
      <c r="E363" s="3" t="s">
        <v>1618</v>
      </c>
      <c r="F363" s="3" t="s">
        <v>871</v>
      </c>
      <c r="G363" s="3" t="s">
        <v>273</v>
      </c>
      <c r="H363" s="3" t="s">
        <v>1303</v>
      </c>
      <c r="I363" s="3" t="s">
        <v>981</v>
      </c>
      <c r="J363" s="3" t="s">
        <v>41</v>
      </c>
      <c r="K363" s="2">
        <v>10</v>
      </c>
      <c r="L363" s="1">
        <v>90000</v>
      </c>
      <c r="M363" s="1">
        <v>900000</v>
      </c>
      <c r="N363" s="1">
        <v>15</v>
      </c>
      <c r="O363" s="1">
        <v>135000</v>
      </c>
    </row>
    <row r="364" spans="1:15">
      <c r="A364" s="6">
        <v>2026</v>
      </c>
      <c r="B364" s="7">
        <v>3</v>
      </c>
      <c r="C364" s="8">
        <v>46094</v>
      </c>
      <c r="D364" s="3" t="s">
        <v>1699</v>
      </c>
      <c r="E364" s="3" t="s">
        <v>1318</v>
      </c>
      <c r="F364" s="3" t="s">
        <v>1319</v>
      </c>
      <c r="G364" s="3" t="s">
        <v>273</v>
      </c>
      <c r="H364" s="3" t="s">
        <v>1303</v>
      </c>
      <c r="I364" s="3" t="s">
        <v>1339</v>
      </c>
      <c r="J364" s="3" t="s">
        <v>41</v>
      </c>
      <c r="K364" s="2">
        <v>100</v>
      </c>
      <c r="L364" s="1">
        <v>90000</v>
      </c>
      <c r="M364" s="1">
        <v>9000000</v>
      </c>
      <c r="N364" s="1">
        <v>15</v>
      </c>
      <c r="O364" s="1">
        <v>1350000</v>
      </c>
    </row>
    <row r="365" spans="1:15">
      <c r="A365" s="6">
        <v>2026</v>
      </c>
      <c r="B365" s="7">
        <v>3</v>
      </c>
      <c r="C365" s="8">
        <v>46094</v>
      </c>
      <c r="D365" s="3" t="s">
        <v>1700</v>
      </c>
      <c r="E365" s="3" t="s">
        <v>1618</v>
      </c>
      <c r="F365" s="3" t="s">
        <v>871</v>
      </c>
      <c r="G365" s="3" t="s">
        <v>273</v>
      </c>
      <c r="H365" s="3" t="s">
        <v>1303</v>
      </c>
      <c r="I365" s="3" t="s">
        <v>1701</v>
      </c>
      <c r="J365" s="3" t="s">
        <v>38</v>
      </c>
      <c r="K365" s="2">
        <v>60</v>
      </c>
      <c r="L365" s="1">
        <v>65000</v>
      </c>
      <c r="M365" s="1">
        <v>3900000</v>
      </c>
      <c r="N365" s="1">
        <v>15</v>
      </c>
      <c r="O365" s="1">
        <v>585000</v>
      </c>
    </row>
    <row r="366" spans="1:15">
      <c r="A366" s="6">
        <v>2026</v>
      </c>
      <c r="B366" s="7">
        <v>3</v>
      </c>
      <c r="C366" s="8">
        <v>46094</v>
      </c>
      <c r="D366" s="3" t="s">
        <v>1700</v>
      </c>
      <c r="E366" s="3" t="s">
        <v>1618</v>
      </c>
      <c r="F366" s="3" t="s">
        <v>871</v>
      </c>
      <c r="G366" s="3" t="s">
        <v>273</v>
      </c>
      <c r="H366" s="3" t="s">
        <v>1303</v>
      </c>
      <c r="I366" s="3" t="s">
        <v>1701</v>
      </c>
      <c r="J366" s="3" t="s">
        <v>41</v>
      </c>
      <c r="K366" s="2">
        <v>30</v>
      </c>
      <c r="L366" s="1">
        <v>90000</v>
      </c>
      <c r="M366" s="1">
        <v>2700000</v>
      </c>
      <c r="N366" s="1">
        <v>15</v>
      </c>
      <c r="O366" s="1">
        <v>405000</v>
      </c>
    </row>
    <row r="367" spans="1:15">
      <c r="A367" s="6">
        <v>2026</v>
      </c>
      <c r="B367" s="7">
        <v>3</v>
      </c>
      <c r="C367" s="8">
        <v>46094</v>
      </c>
      <c r="D367" s="3" t="s">
        <v>1700</v>
      </c>
      <c r="E367" s="3" t="s">
        <v>1618</v>
      </c>
      <c r="F367" s="3" t="s">
        <v>871</v>
      </c>
      <c r="G367" s="3" t="s">
        <v>273</v>
      </c>
      <c r="H367" s="3" t="s">
        <v>1303</v>
      </c>
      <c r="I367" s="3" t="s">
        <v>1701</v>
      </c>
      <c r="J367" s="3" t="s">
        <v>38</v>
      </c>
      <c r="K367" s="2">
        <v>18</v>
      </c>
      <c r="L367" s="1">
        <v>65000</v>
      </c>
      <c r="M367" s="1">
        <v>1170000</v>
      </c>
      <c r="N367" s="1">
        <v>15</v>
      </c>
      <c r="O367" s="1">
        <v>175500</v>
      </c>
    </row>
    <row r="368" spans="1:15">
      <c r="A368" s="6">
        <v>2026</v>
      </c>
      <c r="B368" s="7">
        <v>3</v>
      </c>
      <c r="C368" s="8">
        <v>46097</v>
      </c>
      <c r="D368" s="3" t="s">
        <v>1702</v>
      </c>
      <c r="E368" s="3" t="s">
        <v>1462</v>
      </c>
      <c r="F368" s="3" t="s">
        <v>272</v>
      </c>
      <c r="G368" s="3" t="s">
        <v>273</v>
      </c>
      <c r="H368" s="3" t="s">
        <v>1303</v>
      </c>
      <c r="I368" s="3" t="s">
        <v>1445</v>
      </c>
      <c r="J368" s="3" t="s">
        <v>21</v>
      </c>
      <c r="K368" s="2">
        <v>35</v>
      </c>
      <c r="L368" s="1">
        <v>40621</v>
      </c>
      <c r="M368" s="1">
        <v>1421735</v>
      </c>
      <c r="N368" s="1">
        <v>15</v>
      </c>
      <c r="O368" s="1">
        <v>213260.25</v>
      </c>
    </row>
    <row r="369" spans="1:15">
      <c r="A369" s="6">
        <v>2026</v>
      </c>
      <c r="B369" s="7">
        <v>3</v>
      </c>
      <c r="C369" s="8">
        <v>46097</v>
      </c>
      <c r="D369" s="3" t="s">
        <v>1703</v>
      </c>
      <c r="E369" s="3" t="s">
        <v>1590</v>
      </c>
      <c r="F369" s="3" t="s">
        <v>871</v>
      </c>
      <c r="G369" s="3" t="s">
        <v>273</v>
      </c>
      <c r="H369" s="3" t="s">
        <v>1303</v>
      </c>
      <c r="I369" s="3" t="s">
        <v>942</v>
      </c>
      <c r="J369" s="3" t="s">
        <v>38</v>
      </c>
      <c r="K369" s="2">
        <v>50</v>
      </c>
      <c r="L369" s="1">
        <v>65000</v>
      </c>
      <c r="M369" s="1">
        <v>3250000</v>
      </c>
      <c r="N369" s="1">
        <v>15</v>
      </c>
      <c r="O369" s="1">
        <v>487500</v>
      </c>
    </row>
    <row r="370" spans="1:15">
      <c r="A370" s="6">
        <v>2026</v>
      </c>
      <c r="B370" s="7">
        <v>3</v>
      </c>
      <c r="C370" s="8">
        <v>46097</v>
      </c>
      <c r="D370" s="3" t="s">
        <v>1703</v>
      </c>
      <c r="E370" s="3" t="s">
        <v>1590</v>
      </c>
      <c r="F370" s="3" t="s">
        <v>871</v>
      </c>
      <c r="G370" s="3" t="s">
        <v>273</v>
      </c>
      <c r="H370" s="3" t="s">
        <v>1303</v>
      </c>
      <c r="I370" s="3" t="s">
        <v>942</v>
      </c>
      <c r="J370" s="3" t="s">
        <v>41</v>
      </c>
      <c r="K370" s="2">
        <v>20</v>
      </c>
      <c r="L370" s="1">
        <v>90000</v>
      </c>
      <c r="M370" s="1">
        <v>1800000</v>
      </c>
      <c r="N370" s="1">
        <v>15</v>
      </c>
      <c r="O370" s="1">
        <v>270000</v>
      </c>
    </row>
    <row r="371" spans="1:15">
      <c r="A371" s="6">
        <v>2026</v>
      </c>
      <c r="B371" s="7">
        <v>3</v>
      </c>
      <c r="C371" s="8">
        <v>46097</v>
      </c>
      <c r="D371" s="3" t="s">
        <v>1704</v>
      </c>
      <c r="E371" s="3" t="s">
        <v>886</v>
      </c>
      <c r="F371" s="3" t="s">
        <v>887</v>
      </c>
      <c r="G371" s="3" t="s">
        <v>273</v>
      </c>
      <c r="H371" s="3" t="s">
        <v>1303</v>
      </c>
      <c r="I371" s="3" t="s">
        <v>1705</v>
      </c>
      <c r="J371" s="3" t="s">
        <v>46</v>
      </c>
      <c r="K371" s="2">
        <v>50</v>
      </c>
      <c r="L371" s="1">
        <v>64700</v>
      </c>
      <c r="M371" s="1">
        <v>3235000</v>
      </c>
      <c r="N371" s="1">
        <v>15</v>
      </c>
      <c r="O371" s="1">
        <v>485250</v>
      </c>
    </row>
    <row r="372" spans="1:15">
      <c r="A372" s="6">
        <v>2026</v>
      </c>
      <c r="B372" s="7">
        <v>3</v>
      </c>
      <c r="C372" s="8">
        <v>46097</v>
      </c>
      <c r="D372" s="3" t="s">
        <v>1706</v>
      </c>
      <c r="E372" s="3" t="s">
        <v>1578</v>
      </c>
      <c r="F372" s="3" t="s">
        <v>875</v>
      </c>
      <c r="G372" s="3" t="s">
        <v>273</v>
      </c>
      <c r="H372" s="3" t="s">
        <v>1303</v>
      </c>
      <c r="I372" s="3" t="s">
        <v>1579</v>
      </c>
      <c r="J372" s="3" t="s">
        <v>38</v>
      </c>
      <c r="K372" s="2">
        <v>20</v>
      </c>
      <c r="L372" s="1">
        <v>65000</v>
      </c>
      <c r="M372" s="1">
        <v>1300000</v>
      </c>
      <c r="N372" s="1">
        <v>15</v>
      </c>
      <c r="O372" s="1">
        <v>195000</v>
      </c>
    </row>
    <row r="373" spans="1:15">
      <c r="A373" s="6">
        <v>2026</v>
      </c>
      <c r="B373" s="7">
        <v>3</v>
      </c>
      <c r="C373" s="8">
        <v>46097</v>
      </c>
      <c r="D373" s="3" t="s">
        <v>1707</v>
      </c>
      <c r="E373" s="3" t="s">
        <v>1618</v>
      </c>
      <c r="F373" s="3" t="s">
        <v>871</v>
      </c>
      <c r="G373" s="3" t="s">
        <v>273</v>
      </c>
      <c r="H373" s="3" t="s">
        <v>1303</v>
      </c>
      <c r="I373" s="3" t="s">
        <v>1658</v>
      </c>
      <c r="J373" s="3" t="s">
        <v>41</v>
      </c>
      <c r="K373" s="2">
        <v>20</v>
      </c>
      <c r="L373" s="1">
        <v>90000</v>
      </c>
      <c r="M373" s="1">
        <v>1800000</v>
      </c>
      <c r="N373" s="1">
        <v>15</v>
      </c>
      <c r="O373" s="1">
        <v>270000</v>
      </c>
    </row>
    <row r="374" spans="1:15">
      <c r="A374" s="6">
        <v>2026</v>
      </c>
      <c r="B374" s="7">
        <v>3</v>
      </c>
      <c r="C374" s="8">
        <v>46097</v>
      </c>
      <c r="D374" s="3" t="s">
        <v>1707</v>
      </c>
      <c r="E374" s="3" t="s">
        <v>1618</v>
      </c>
      <c r="F374" s="3" t="s">
        <v>871</v>
      </c>
      <c r="G374" s="3" t="s">
        <v>273</v>
      </c>
      <c r="H374" s="3" t="s">
        <v>1303</v>
      </c>
      <c r="I374" s="3" t="s">
        <v>1658</v>
      </c>
      <c r="J374" s="3" t="s">
        <v>38</v>
      </c>
      <c r="K374" s="2">
        <v>22</v>
      </c>
      <c r="L374" s="1">
        <v>65000</v>
      </c>
      <c r="M374" s="1">
        <v>1430000</v>
      </c>
      <c r="N374" s="1">
        <v>15</v>
      </c>
      <c r="O374" s="1">
        <v>214500</v>
      </c>
    </row>
    <row r="375" spans="1:15">
      <c r="A375" s="6">
        <v>2026</v>
      </c>
      <c r="B375" s="7">
        <v>3</v>
      </c>
      <c r="C375" s="8">
        <v>46097</v>
      </c>
      <c r="D375" s="3" t="s">
        <v>1707</v>
      </c>
      <c r="E375" s="3" t="s">
        <v>1618</v>
      </c>
      <c r="F375" s="3" t="s">
        <v>871</v>
      </c>
      <c r="G375" s="3" t="s">
        <v>273</v>
      </c>
      <c r="H375" s="3" t="s">
        <v>1303</v>
      </c>
      <c r="I375" s="3" t="s">
        <v>1658</v>
      </c>
      <c r="J375" s="3" t="s">
        <v>38</v>
      </c>
      <c r="K375" s="2">
        <v>8</v>
      </c>
      <c r="L375" s="1">
        <v>65000</v>
      </c>
      <c r="M375" s="1">
        <v>520000</v>
      </c>
      <c r="N375" s="1">
        <v>15</v>
      </c>
      <c r="O375" s="1">
        <v>78000</v>
      </c>
    </row>
    <row r="376" spans="1:15">
      <c r="A376" s="6">
        <v>2026</v>
      </c>
      <c r="B376" s="7">
        <v>3</v>
      </c>
      <c r="C376" s="8">
        <v>46097</v>
      </c>
      <c r="D376" s="3" t="s">
        <v>1708</v>
      </c>
      <c r="E376" s="3" t="s">
        <v>1302</v>
      </c>
      <c r="F376" s="3" t="s">
        <v>272</v>
      </c>
      <c r="G376" s="3" t="s">
        <v>273</v>
      </c>
      <c r="H376" s="3" t="s">
        <v>1303</v>
      </c>
      <c r="I376" s="3" t="s">
        <v>1709</v>
      </c>
      <c r="J376" s="3" t="s">
        <v>41</v>
      </c>
      <c r="K376" s="2">
        <v>20</v>
      </c>
      <c r="L376" s="1">
        <v>90000</v>
      </c>
      <c r="M376" s="1">
        <v>1800000</v>
      </c>
      <c r="N376" s="1">
        <v>15</v>
      </c>
      <c r="O376" s="1">
        <v>270000</v>
      </c>
    </row>
    <row r="377" spans="1:15">
      <c r="A377" s="6">
        <v>2026</v>
      </c>
      <c r="B377" s="7">
        <v>3</v>
      </c>
      <c r="C377" s="8">
        <v>46097</v>
      </c>
      <c r="D377" s="3" t="s">
        <v>1710</v>
      </c>
      <c r="E377" s="3" t="s">
        <v>1578</v>
      </c>
      <c r="F377" s="3" t="s">
        <v>875</v>
      </c>
      <c r="G377" s="3" t="s">
        <v>273</v>
      </c>
      <c r="H377" s="3" t="s">
        <v>1303</v>
      </c>
      <c r="I377" s="3" t="s">
        <v>930</v>
      </c>
      <c r="J377" s="3" t="s">
        <v>38</v>
      </c>
      <c r="K377" s="2">
        <v>20</v>
      </c>
      <c r="L377" s="1">
        <v>65000</v>
      </c>
      <c r="M377" s="1">
        <v>1300000</v>
      </c>
      <c r="N377" s="1">
        <v>15</v>
      </c>
      <c r="O377" s="1">
        <v>195000</v>
      </c>
    </row>
    <row r="378" spans="1:15">
      <c r="A378" s="6">
        <v>2026</v>
      </c>
      <c r="B378" s="7">
        <v>3</v>
      </c>
      <c r="C378" s="8">
        <v>46098</v>
      </c>
      <c r="D378" s="3" t="s">
        <v>1711</v>
      </c>
      <c r="E378" s="3" t="s">
        <v>893</v>
      </c>
      <c r="F378" s="3" t="s">
        <v>894</v>
      </c>
      <c r="G378" s="3" t="s">
        <v>273</v>
      </c>
      <c r="H378" s="3" t="s">
        <v>1303</v>
      </c>
      <c r="I378" s="3" t="s">
        <v>1351</v>
      </c>
      <c r="J378" s="3" t="s">
        <v>41</v>
      </c>
      <c r="K378" s="2">
        <v>50</v>
      </c>
      <c r="L378" s="1">
        <v>90000</v>
      </c>
      <c r="M378" s="1">
        <v>4500000</v>
      </c>
      <c r="N378" s="1">
        <v>15</v>
      </c>
      <c r="O378" s="1">
        <v>675000</v>
      </c>
    </row>
    <row r="379" spans="1:15">
      <c r="A379" s="6">
        <v>2026</v>
      </c>
      <c r="B379" s="7">
        <v>3</v>
      </c>
      <c r="C379" s="8">
        <v>46098</v>
      </c>
      <c r="D379" s="3" t="s">
        <v>1712</v>
      </c>
      <c r="E379" s="3" t="s">
        <v>284</v>
      </c>
      <c r="F379" s="3" t="s">
        <v>281</v>
      </c>
      <c r="G379" s="3" t="s">
        <v>273</v>
      </c>
      <c r="H379" s="3" t="s">
        <v>1303</v>
      </c>
      <c r="I379" s="3" t="s">
        <v>443</v>
      </c>
      <c r="J379" s="3" t="s">
        <v>21</v>
      </c>
      <c r="K379" s="2">
        <v>50</v>
      </c>
      <c r="L379" s="1">
        <v>40621</v>
      </c>
      <c r="M379" s="1">
        <v>2031050</v>
      </c>
      <c r="N379" s="1">
        <v>10</v>
      </c>
      <c r="O379" s="1">
        <v>203105</v>
      </c>
    </row>
    <row r="380" spans="1:15">
      <c r="A380" s="6">
        <v>2026</v>
      </c>
      <c r="B380" s="7">
        <v>3</v>
      </c>
      <c r="C380" s="8">
        <v>46098</v>
      </c>
      <c r="D380" s="3" t="s">
        <v>1713</v>
      </c>
      <c r="E380" s="3" t="s">
        <v>1468</v>
      </c>
      <c r="F380" s="3" t="s">
        <v>1359</v>
      </c>
      <c r="G380" s="3" t="s">
        <v>273</v>
      </c>
      <c r="H380" s="3" t="s">
        <v>1303</v>
      </c>
      <c r="I380" s="3" t="s">
        <v>1714</v>
      </c>
      <c r="J380" s="3" t="s">
        <v>41</v>
      </c>
      <c r="K380" s="2">
        <v>30</v>
      </c>
      <c r="L380" s="1">
        <v>90000</v>
      </c>
      <c r="M380" s="1">
        <v>2700000</v>
      </c>
      <c r="N380" s="1">
        <v>15</v>
      </c>
      <c r="O380" s="1">
        <v>405000</v>
      </c>
    </row>
    <row r="381" spans="1:15">
      <c r="A381" s="6">
        <v>2026</v>
      </c>
      <c r="B381" s="7">
        <v>3</v>
      </c>
      <c r="C381" s="8">
        <v>46098</v>
      </c>
      <c r="D381" s="3" t="s">
        <v>1715</v>
      </c>
      <c r="E381" s="3" t="s">
        <v>284</v>
      </c>
      <c r="F381" s="3" t="s">
        <v>281</v>
      </c>
      <c r="G381" s="3" t="s">
        <v>273</v>
      </c>
      <c r="H381" s="3" t="s">
        <v>1303</v>
      </c>
      <c r="I381" s="3" t="s">
        <v>317</v>
      </c>
      <c r="J381" s="3" t="s">
        <v>38</v>
      </c>
      <c r="K381" s="2">
        <v>20</v>
      </c>
      <c r="L381" s="1">
        <v>65000</v>
      </c>
      <c r="M381" s="1">
        <v>1300000</v>
      </c>
      <c r="N381" s="1">
        <v>15</v>
      </c>
      <c r="O381" s="1">
        <v>195000</v>
      </c>
    </row>
    <row r="382" spans="1:15">
      <c r="A382" s="6">
        <v>2026</v>
      </c>
      <c r="B382" s="7">
        <v>3</v>
      </c>
      <c r="C382" s="8">
        <v>46098</v>
      </c>
      <c r="D382" s="3" t="s">
        <v>1716</v>
      </c>
      <c r="E382" s="3" t="s">
        <v>1717</v>
      </c>
      <c r="F382" s="3" t="s">
        <v>864</v>
      </c>
      <c r="G382" s="3" t="s">
        <v>273</v>
      </c>
      <c r="H382" s="3" t="s">
        <v>1303</v>
      </c>
      <c r="I382" s="3" t="s">
        <v>865</v>
      </c>
      <c r="J382" s="3" t="s">
        <v>41</v>
      </c>
      <c r="K382" s="2">
        <v>200</v>
      </c>
      <c r="L382" s="1">
        <v>90000</v>
      </c>
      <c r="M382" s="1">
        <v>18000000</v>
      </c>
      <c r="N382" s="1">
        <v>5</v>
      </c>
      <c r="O382" s="1">
        <v>900000</v>
      </c>
    </row>
    <row r="383" spans="1:15">
      <c r="A383" s="6">
        <v>2026</v>
      </c>
      <c r="B383" s="7">
        <v>3</v>
      </c>
      <c r="C383" s="8">
        <v>46098</v>
      </c>
      <c r="D383" s="3" t="s">
        <v>1718</v>
      </c>
      <c r="E383" s="3" t="s">
        <v>265</v>
      </c>
      <c r="F383" s="3" t="s">
        <v>1499</v>
      </c>
      <c r="G383" s="3" t="s">
        <v>273</v>
      </c>
      <c r="H383" s="3" t="s">
        <v>1303</v>
      </c>
      <c r="I383" s="3" t="s">
        <v>1662</v>
      </c>
      <c r="J383" s="3" t="s">
        <v>38</v>
      </c>
      <c r="K383" s="2">
        <v>10</v>
      </c>
      <c r="L383" s="1">
        <v>65000</v>
      </c>
      <c r="M383" s="1">
        <v>650000</v>
      </c>
      <c r="N383" s="1">
        <v>15</v>
      </c>
      <c r="O383" s="1">
        <v>97500</v>
      </c>
    </row>
    <row r="384" spans="1:15">
      <c r="A384" s="6">
        <v>2026</v>
      </c>
      <c r="B384" s="7">
        <v>3</v>
      </c>
      <c r="C384" s="8">
        <v>46099</v>
      </c>
      <c r="D384" s="3" t="s">
        <v>1719</v>
      </c>
      <c r="E384" s="3" t="s">
        <v>284</v>
      </c>
      <c r="F384" s="3" t="s">
        <v>281</v>
      </c>
      <c r="G384" s="3" t="s">
        <v>273</v>
      </c>
      <c r="H384" s="3" t="s">
        <v>1303</v>
      </c>
      <c r="I384" s="3" t="s">
        <v>25</v>
      </c>
      <c r="J384" s="3" t="s">
        <v>38</v>
      </c>
      <c r="K384" s="2">
        <v>50</v>
      </c>
      <c r="L384" s="1">
        <v>65000</v>
      </c>
      <c r="M384" s="1">
        <v>3250000</v>
      </c>
      <c r="N384" s="1">
        <v>15</v>
      </c>
      <c r="O384" s="1">
        <v>487500</v>
      </c>
    </row>
    <row r="385" spans="1:15">
      <c r="A385" s="6">
        <v>2026</v>
      </c>
      <c r="B385" s="7">
        <v>3</v>
      </c>
      <c r="C385" s="8">
        <v>46099</v>
      </c>
      <c r="D385" s="3" t="s">
        <v>1720</v>
      </c>
      <c r="E385" s="3" t="s">
        <v>1690</v>
      </c>
      <c r="F385" s="3" t="s">
        <v>1264</v>
      </c>
      <c r="G385" s="3" t="s">
        <v>273</v>
      </c>
      <c r="H385" s="3" t="s">
        <v>1303</v>
      </c>
      <c r="I385" s="3" t="s">
        <v>1283</v>
      </c>
      <c r="J385" s="3" t="s">
        <v>38</v>
      </c>
      <c r="K385" s="2">
        <v>10</v>
      </c>
      <c r="L385" s="1">
        <v>65000</v>
      </c>
      <c r="M385" s="1">
        <v>650000</v>
      </c>
      <c r="N385" s="1">
        <v>15</v>
      </c>
      <c r="O385" s="1">
        <v>97500</v>
      </c>
    </row>
    <row r="386" spans="1:15">
      <c r="A386" s="6">
        <v>2026</v>
      </c>
      <c r="B386" s="7">
        <v>3</v>
      </c>
      <c r="C386" s="8">
        <v>46099</v>
      </c>
      <c r="D386" s="3" t="s">
        <v>1721</v>
      </c>
      <c r="E386" s="3" t="s">
        <v>1314</v>
      </c>
      <c r="F386" s="3" t="s">
        <v>1314</v>
      </c>
      <c r="G386" s="3" t="s">
        <v>1314</v>
      </c>
      <c r="H386" s="3" t="s">
        <v>1303</v>
      </c>
      <c r="I386" s="3" t="s">
        <v>957</v>
      </c>
      <c r="J386" s="3" t="s">
        <v>41</v>
      </c>
      <c r="K386" s="2">
        <v>500</v>
      </c>
      <c r="L386" s="1">
        <v>90000</v>
      </c>
      <c r="M386" s="1">
        <v>45000000</v>
      </c>
      <c r="N386" s="1">
        <v>2</v>
      </c>
      <c r="O386" s="1">
        <v>900000</v>
      </c>
    </row>
    <row r="387" spans="1:15">
      <c r="A387" s="6">
        <v>2026</v>
      </c>
      <c r="B387" s="7">
        <v>3</v>
      </c>
      <c r="C387" s="8">
        <v>46099</v>
      </c>
      <c r="D387" s="3" t="s">
        <v>1722</v>
      </c>
      <c r="E387" s="3" t="s">
        <v>1314</v>
      </c>
      <c r="F387" s="3" t="s">
        <v>1314</v>
      </c>
      <c r="G387" s="3" t="s">
        <v>1314</v>
      </c>
      <c r="H387" s="3" t="s">
        <v>1303</v>
      </c>
      <c r="I387" s="3" t="s">
        <v>957</v>
      </c>
      <c r="J387" s="3" t="s">
        <v>46</v>
      </c>
      <c r="K387" s="1">
        <v>1000</v>
      </c>
      <c r="L387" s="1">
        <v>64700</v>
      </c>
      <c r="M387" s="1">
        <v>64700000</v>
      </c>
      <c r="N387" s="1">
        <v>2</v>
      </c>
      <c r="O387" s="1">
        <v>1294000</v>
      </c>
    </row>
    <row r="388" spans="1:15">
      <c r="A388" s="6">
        <v>2026</v>
      </c>
      <c r="B388" s="7">
        <v>3</v>
      </c>
      <c r="C388" s="8">
        <v>46099</v>
      </c>
      <c r="D388" s="3" t="s">
        <v>1722</v>
      </c>
      <c r="E388" s="3" t="s">
        <v>1314</v>
      </c>
      <c r="F388" s="3" t="s">
        <v>1314</v>
      </c>
      <c r="G388" s="3" t="s">
        <v>1314</v>
      </c>
      <c r="H388" s="3" t="s">
        <v>1303</v>
      </c>
      <c r="I388" s="3" t="s">
        <v>957</v>
      </c>
      <c r="J388" s="3" t="s">
        <v>38</v>
      </c>
      <c r="K388" s="1">
        <v>1000</v>
      </c>
      <c r="L388" s="1">
        <v>65000</v>
      </c>
      <c r="M388" s="1">
        <v>65000000</v>
      </c>
      <c r="N388" s="1">
        <v>2</v>
      </c>
      <c r="O388" s="1">
        <v>1300000</v>
      </c>
    </row>
    <row r="389" spans="1:15">
      <c r="A389" s="6">
        <v>2026</v>
      </c>
      <c r="B389" s="7">
        <v>3</v>
      </c>
      <c r="C389" s="8">
        <v>46099</v>
      </c>
      <c r="D389" s="3" t="s">
        <v>1723</v>
      </c>
      <c r="E389" s="3" t="s">
        <v>886</v>
      </c>
      <c r="F389" s="3" t="s">
        <v>887</v>
      </c>
      <c r="G389" s="3" t="s">
        <v>273</v>
      </c>
      <c r="H389" s="3" t="s">
        <v>1303</v>
      </c>
      <c r="I389" s="3" t="s">
        <v>995</v>
      </c>
      <c r="J389" s="3" t="s">
        <v>46</v>
      </c>
      <c r="K389" s="2">
        <v>100</v>
      </c>
      <c r="L389" s="1">
        <v>64700</v>
      </c>
      <c r="M389" s="1">
        <v>6470000</v>
      </c>
      <c r="N389" s="1">
        <v>15</v>
      </c>
      <c r="O389" s="1">
        <v>970500</v>
      </c>
    </row>
    <row r="390" spans="1:15">
      <c r="A390" s="6">
        <v>2026</v>
      </c>
      <c r="B390" s="7">
        <v>3</v>
      </c>
      <c r="C390" s="8">
        <v>46099</v>
      </c>
      <c r="D390" s="3" t="s">
        <v>1724</v>
      </c>
      <c r="E390" s="3" t="s">
        <v>1468</v>
      </c>
      <c r="F390" s="3" t="s">
        <v>1359</v>
      </c>
      <c r="G390" s="3" t="s">
        <v>273</v>
      </c>
      <c r="H390" s="3" t="s">
        <v>1303</v>
      </c>
      <c r="I390" s="3" t="s">
        <v>1362</v>
      </c>
      <c r="J390" s="3" t="s">
        <v>41</v>
      </c>
      <c r="K390" s="2">
        <v>5</v>
      </c>
      <c r="L390" s="1">
        <v>90000</v>
      </c>
      <c r="M390" s="1">
        <v>450000</v>
      </c>
      <c r="N390" s="1">
        <v>15</v>
      </c>
      <c r="O390" s="1">
        <v>67500</v>
      </c>
    </row>
    <row r="391" spans="1:15">
      <c r="A391" s="6">
        <v>2026</v>
      </c>
      <c r="B391" s="7">
        <v>3</v>
      </c>
      <c r="C391" s="8">
        <v>46099</v>
      </c>
      <c r="D391" s="3" t="s">
        <v>1725</v>
      </c>
      <c r="E391" s="3" t="s">
        <v>1648</v>
      </c>
      <c r="F391" s="3" t="s">
        <v>272</v>
      </c>
      <c r="G391" s="3" t="s">
        <v>273</v>
      </c>
      <c r="H391" s="3" t="s">
        <v>1303</v>
      </c>
      <c r="I391" s="3" t="s">
        <v>900</v>
      </c>
      <c r="J391" s="3" t="s">
        <v>21</v>
      </c>
      <c r="K391" s="2">
        <v>118</v>
      </c>
      <c r="L391" s="1">
        <v>40621</v>
      </c>
      <c r="M391" s="1">
        <v>4793278</v>
      </c>
      <c r="N391" s="1">
        <v>15</v>
      </c>
      <c r="O391" s="1">
        <v>718991.7</v>
      </c>
    </row>
    <row r="392" spans="1:15">
      <c r="A392" s="6">
        <v>2026</v>
      </c>
      <c r="B392" s="7">
        <v>3</v>
      </c>
      <c r="C392" s="8">
        <v>46099</v>
      </c>
      <c r="D392" s="3" t="s">
        <v>1726</v>
      </c>
      <c r="E392" s="3" t="s">
        <v>1302</v>
      </c>
      <c r="F392" s="3" t="s">
        <v>272</v>
      </c>
      <c r="G392" s="3" t="s">
        <v>273</v>
      </c>
      <c r="H392" s="3" t="s">
        <v>1303</v>
      </c>
      <c r="I392" s="3" t="s">
        <v>1727</v>
      </c>
      <c r="J392" s="3" t="s">
        <v>21</v>
      </c>
      <c r="K392" s="2">
        <v>100</v>
      </c>
      <c r="L392" s="1">
        <v>40621</v>
      </c>
      <c r="M392" s="1">
        <v>4062100</v>
      </c>
      <c r="N392" s="1">
        <v>15</v>
      </c>
      <c r="O392" s="1">
        <v>609315</v>
      </c>
    </row>
    <row r="393" spans="1:15">
      <c r="A393" s="6">
        <v>2026</v>
      </c>
      <c r="B393" s="7">
        <v>3</v>
      </c>
      <c r="C393" s="8">
        <v>46100</v>
      </c>
      <c r="D393" s="3" t="s">
        <v>1728</v>
      </c>
      <c r="E393" s="3" t="s">
        <v>912</v>
      </c>
      <c r="F393" s="3" t="s">
        <v>871</v>
      </c>
      <c r="G393" s="3" t="s">
        <v>273</v>
      </c>
      <c r="H393" s="3" t="s">
        <v>1303</v>
      </c>
      <c r="I393" s="3" t="s">
        <v>1729</v>
      </c>
      <c r="J393" s="3" t="s">
        <v>21</v>
      </c>
      <c r="K393" s="2">
        <v>30</v>
      </c>
      <c r="L393" s="1">
        <v>40621</v>
      </c>
      <c r="M393" s="1">
        <v>1218630</v>
      </c>
      <c r="N393" s="1">
        <v>15</v>
      </c>
      <c r="O393" s="1">
        <v>182794.5</v>
      </c>
    </row>
    <row r="394" spans="1:15">
      <c r="A394" s="6">
        <v>2026</v>
      </c>
      <c r="B394" s="7">
        <v>3</v>
      </c>
      <c r="C394" s="8">
        <v>46100</v>
      </c>
      <c r="D394" s="3" t="s">
        <v>1730</v>
      </c>
      <c r="E394" s="3" t="s">
        <v>1023</v>
      </c>
      <c r="F394" s="3" t="s">
        <v>871</v>
      </c>
      <c r="G394" s="3" t="s">
        <v>273</v>
      </c>
      <c r="H394" s="3" t="s">
        <v>1303</v>
      </c>
      <c r="I394" s="3" t="s">
        <v>1304</v>
      </c>
      <c r="J394" s="3" t="s">
        <v>41</v>
      </c>
      <c r="K394" s="2">
        <v>20</v>
      </c>
      <c r="L394" s="1">
        <v>90000</v>
      </c>
      <c r="M394" s="1">
        <v>1800000</v>
      </c>
      <c r="N394" s="1">
        <v>15</v>
      </c>
      <c r="O394" s="1">
        <v>270000</v>
      </c>
    </row>
    <row r="395" spans="1:15">
      <c r="A395" s="6">
        <v>2026</v>
      </c>
      <c r="B395" s="7">
        <v>3</v>
      </c>
      <c r="C395" s="8">
        <v>46100</v>
      </c>
      <c r="D395" s="3" t="s">
        <v>1730</v>
      </c>
      <c r="E395" s="3" t="s">
        <v>1023</v>
      </c>
      <c r="F395" s="3" t="s">
        <v>871</v>
      </c>
      <c r="G395" s="3" t="s">
        <v>273</v>
      </c>
      <c r="H395" s="3" t="s">
        <v>1303</v>
      </c>
      <c r="I395" s="3" t="s">
        <v>1304</v>
      </c>
      <c r="J395" s="3" t="s">
        <v>21</v>
      </c>
      <c r="K395" s="2">
        <v>20</v>
      </c>
      <c r="L395" s="1">
        <v>40621</v>
      </c>
      <c r="M395" s="1">
        <v>812420</v>
      </c>
      <c r="N395" s="1">
        <v>15</v>
      </c>
      <c r="O395" s="1">
        <v>121863</v>
      </c>
    </row>
    <row r="396" spans="1:15">
      <c r="A396" s="6">
        <v>2026</v>
      </c>
      <c r="B396" s="7">
        <v>3</v>
      </c>
      <c r="C396" s="8">
        <v>46105</v>
      </c>
      <c r="D396" s="3" t="s">
        <v>1731</v>
      </c>
      <c r="E396" s="3" t="s">
        <v>1302</v>
      </c>
      <c r="F396" s="3" t="s">
        <v>272</v>
      </c>
      <c r="G396" s="3" t="s">
        <v>273</v>
      </c>
      <c r="H396" s="3" t="s">
        <v>1303</v>
      </c>
      <c r="I396" s="3" t="s">
        <v>925</v>
      </c>
      <c r="J396" s="3" t="s">
        <v>41</v>
      </c>
      <c r="K396" s="2">
        <v>50</v>
      </c>
      <c r="L396" s="1">
        <v>90000</v>
      </c>
      <c r="M396" s="1">
        <v>4500000</v>
      </c>
      <c r="N396" s="1">
        <v>5</v>
      </c>
      <c r="O396" s="1">
        <v>225000</v>
      </c>
    </row>
    <row r="397" spans="1:15">
      <c r="A397" s="6">
        <v>2026</v>
      </c>
      <c r="B397" s="7">
        <v>3</v>
      </c>
      <c r="C397" s="8">
        <v>46105</v>
      </c>
      <c r="D397" s="3" t="s">
        <v>1732</v>
      </c>
      <c r="E397" s="3" t="s">
        <v>1462</v>
      </c>
      <c r="F397" s="3" t="s">
        <v>272</v>
      </c>
      <c r="G397" s="3" t="s">
        <v>273</v>
      </c>
      <c r="H397" s="3" t="s">
        <v>1303</v>
      </c>
      <c r="I397" s="3" t="s">
        <v>1445</v>
      </c>
      <c r="J397" s="3" t="s">
        <v>21</v>
      </c>
      <c r="K397" s="2">
        <v>20</v>
      </c>
      <c r="L397" s="1">
        <v>40621</v>
      </c>
      <c r="M397" s="1">
        <v>812420</v>
      </c>
      <c r="N397" s="1">
        <v>15</v>
      </c>
      <c r="O397" s="1">
        <v>121863</v>
      </c>
    </row>
    <row r="398" spans="1:15">
      <c r="A398" s="6">
        <v>2026</v>
      </c>
      <c r="B398" s="7">
        <v>3</v>
      </c>
      <c r="C398" s="8">
        <v>46105</v>
      </c>
      <c r="D398" s="3" t="s">
        <v>1733</v>
      </c>
      <c r="E398" s="3" t="s">
        <v>1590</v>
      </c>
      <c r="F398" s="3" t="s">
        <v>871</v>
      </c>
      <c r="G398" s="3" t="s">
        <v>273</v>
      </c>
      <c r="H398" s="3" t="s">
        <v>1303</v>
      </c>
      <c r="I398" s="3" t="s">
        <v>1330</v>
      </c>
      <c r="J398" s="3" t="s">
        <v>41</v>
      </c>
      <c r="K398" s="2">
        <v>50</v>
      </c>
      <c r="L398" s="1">
        <v>90000</v>
      </c>
      <c r="M398" s="1">
        <v>4500000</v>
      </c>
      <c r="N398" s="1">
        <v>15</v>
      </c>
      <c r="O398" s="1">
        <v>675000</v>
      </c>
    </row>
    <row r="399" spans="1:15">
      <c r="A399" s="6">
        <v>2026</v>
      </c>
      <c r="B399" s="7">
        <v>3</v>
      </c>
      <c r="C399" s="8">
        <v>46105</v>
      </c>
      <c r="D399" s="3" t="s">
        <v>1734</v>
      </c>
      <c r="E399" s="3" t="s">
        <v>284</v>
      </c>
      <c r="F399" s="3" t="s">
        <v>281</v>
      </c>
      <c r="G399" s="3" t="s">
        <v>273</v>
      </c>
      <c r="H399" s="3" t="s">
        <v>1303</v>
      </c>
      <c r="I399" s="3" t="s">
        <v>1449</v>
      </c>
      <c r="J399" s="3" t="s">
        <v>38</v>
      </c>
      <c r="K399" s="2">
        <v>10</v>
      </c>
      <c r="L399" s="1">
        <v>65000</v>
      </c>
      <c r="M399" s="1">
        <v>650000</v>
      </c>
      <c r="N399" s="1">
        <v>15</v>
      </c>
      <c r="O399" s="1">
        <v>97500</v>
      </c>
    </row>
    <row r="400" spans="1:15">
      <c r="A400" s="6">
        <v>2026</v>
      </c>
      <c r="B400" s="7">
        <v>3</v>
      </c>
      <c r="C400" s="8">
        <v>46105</v>
      </c>
      <c r="D400" s="3" t="s">
        <v>1734</v>
      </c>
      <c r="E400" s="3" t="s">
        <v>284</v>
      </c>
      <c r="F400" s="3" t="s">
        <v>281</v>
      </c>
      <c r="G400" s="3" t="s">
        <v>273</v>
      </c>
      <c r="H400" s="3" t="s">
        <v>1303</v>
      </c>
      <c r="I400" s="3" t="s">
        <v>1449</v>
      </c>
      <c r="J400" s="3" t="s">
        <v>38</v>
      </c>
      <c r="K400" s="2">
        <v>20</v>
      </c>
      <c r="L400" s="1">
        <v>65000</v>
      </c>
      <c r="M400" s="1">
        <v>1300000</v>
      </c>
      <c r="N400" s="1">
        <v>15</v>
      </c>
      <c r="O400" s="1">
        <v>195000</v>
      </c>
    </row>
    <row r="401" spans="1:15">
      <c r="A401" s="6">
        <v>2026</v>
      </c>
      <c r="B401" s="7">
        <v>3</v>
      </c>
      <c r="C401" s="8">
        <v>46106</v>
      </c>
      <c r="D401" s="3" t="s">
        <v>1735</v>
      </c>
      <c r="E401" s="3" t="s">
        <v>893</v>
      </c>
      <c r="F401" s="3" t="s">
        <v>894</v>
      </c>
      <c r="G401" s="3" t="s">
        <v>273</v>
      </c>
      <c r="H401" s="3" t="s">
        <v>1303</v>
      </c>
      <c r="I401" s="3" t="s">
        <v>665</v>
      </c>
      <c r="J401" s="3" t="s">
        <v>41</v>
      </c>
      <c r="K401" s="2">
        <v>50</v>
      </c>
      <c r="L401" s="1">
        <v>90000</v>
      </c>
      <c r="M401" s="1">
        <v>4500000</v>
      </c>
      <c r="N401" s="1">
        <v>8</v>
      </c>
      <c r="O401" s="1">
        <v>360000</v>
      </c>
    </row>
    <row r="402" spans="1:15">
      <c r="A402" s="6">
        <v>2026</v>
      </c>
      <c r="B402" s="7">
        <v>3</v>
      </c>
      <c r="C402" s="8">
        <v>46106</v>
      </c>
      <c r="D402" s="3" t="s">
        <v>1736</v>
      </c>
      <c r="E402" s="3" t="s">
        <v>1618</v>
      </c>
      <c r="F402" s="3" t="s">
        <v>871</v>
      </c>
      <c r="G402" s="3" t="s">
        <v>273</v>
      </c>
      <c r="H402" s="3" t="s">
        <v>1303</v>
      </c>
      <c r="I402" s="3" t="s">
        <v>986</v>
      </c>
      <c r="J402" s="3" t="s">
        <v>41</v>
      </c>
      <c r="K402" s="2">
        <v>30</v>
      </c>
      <c r="L402" s="1">
        <v>90000</v>
      </c>
      <c r="M402" s="1">
        <v>2700000</v>
      </c>
      <c r="N402" s="1">
        <v>15</v>
      </c>
      <c r="O402" s="1">
        <v>405000</v>
      </c>
    </row>
    <row r="403" spans="1:15">
      <c r="A403" s="6">
        <v>2026</v>
      </c>
      <c r="B403" s="7">
        <v>3</v>
      </c>
      <c r="C403" s="8">
        <v>46106</v>
      </c>
      <c r="D403" s="3" t="s">
        <v>1737</v>
      </c>
      <c r="E403" s="3" t="s">
        <v>1383</v>
      </c>
      <c r="F403" s="3" t="s">
        <v>1280</v>
      </c>
      <c r="G403" s="3" t="s">
        <v>273</v>
      </c>
      <c r="H403" s="3" t="s">
        <v>1303</v>
      </c>
      <c r="I403" s="3" t="s">
        <v>1738</v>
      </c>
      <c r="J403" s="3" t="s">
        <v>46</v>
      </c>
      <c r="K403" s="2">
        <v>10</v>
      </c>
      <c r="L403" s="1">
        <v>64700</v>
      </c>
      <c r="M403" s="1">
        <v>647000</v>
      </c>
      <c r="N403" s="1">
        <v>15</v>
      </c>
      <c r="O403" s="1">
        <v>97050</v>
      </c>
    </row>
    <row r="404" spans="1:15">
      <c r="A404" s="6">
        <v>2026</v>
      </c>
      <c r="B404" s="7">
        <v>3</v>
      </c>
      <c r="C404" s="8">
        <v>46106</v>
      </c>
      <c r="D404" s="3" t="s">
        <v>1739</v>
      </c>
      <c r="E404" s="3" t="s">
        <v>1578</v>
      </c>
      <c r="F404" s="3" t="s">
        <v>875</v>
      </c>
      <c r="G404" s="3" t="s">
        <v>273</v>
      </c>
      <c r="H404" s="3" t="s">
        <v>1303</v>
      </c>
      <c r="I404" s="3" t="s">
        <v>1740</v>
      </c>
      <c r="J404" s="3" t="s">
        <v>466</v>
      </c>
      <c r="K404" s="2">
        <v>40</v>
      </c>
      <c r="L404" s="1">
        <v>120000</v>
      </c>
      <c r="M404" s="1">
        <v>4800000</v>
      </c>
      <c r="N404" s="1">
        <v>15</v>
      </c>
      <c r="O404" s="1">
        <v>720000</v>
      </c>
    </row>
    <row r="405" spans="1:15">
      <c r="A405" s="6">
        <v>2026</v>
      </c>
      <c r="B405" s="7">
        <v>3</v>
      </c>
      <c r="C405" s="8">
        <v>46106</v>
      </c>
      <c r="D405" s="3" t="s">
        <v>1741</v>
      </c>
      <c r="E405" s="3" t="s">
        <v>1302</v>
      </c>
      <c r="F405" s="3" t="s">
        <v>272</v>
      </c>
      <c r="G405" s="3" t="s">
        <v>273</v>
      </c>
      <c r="H405" s="3" t="s">
        <v>1303</v>
      </c>
      <c r="I405" s="3" t="s">
        <v>907</v>
      </c>
      <c r="J405" s="3" t="s">
        <v>38</v>
      </c>
      <c r="K405" s="2">
        <v>20</v>
      </c>
      <c r="L405" s="1">
        <v>65000</v>
      </c>
      <c r="M405" s="1">
        <v>1300000</v>
      </c>
      <c r="N405" s="1">
        <v>15</v>
      </c>
      <c r="O405" s="1">
        <v>195000</v>
      </c>
    </row>
    <row r="406" spans="1:15">
      <c r="A406" s="6">
        <v>2026</v>
      </c>
      <c r="B406" s="7">
        <v>3</v>
      </c>
      <c r="C406" s="8">
        <v>46106</v>
      </c>
      <c r="D406" s="3" t="s">
        <v>1741</v>
      </c>
      <c r="E406" s="3" t="s">
        <v>1302</v>
      </c>
      <c r="F406" s="3" t="s">
        <v>272</v>
      </c>
      <c r="G406" s="3" t="s">
        <v>273</v>
      </c>
      <c r="H406" s="3" t="s">
        <v>1303</v>
      </c>
      <c r="I406" s="3" t="s">
        <v>907</v>
      </c>
      <c r="J406" s="3" t="s">
        <v>41</v>
      </c>
      <c r="K406" s="2">
        <v>12</v>
      </c>
      <c r="L406" s="1">
        <v>90000</v>
      </c>
      <c r="M406" s="1">
        <v>1080000</v>
      </c>
      <c r="N406" s="1">
        <v>15</v>
      </c>
      <c r="O406" s="1">
        <v>162000</v>
      </c>
    </row>
    <row r="407" spans="1:15">
      <c r="A407" s="6">
        <v>2026</v>
      </c>
      <c r="B407" s="7">
        <v>3</v>
      </c>
      <c r="C407" s="8">
        <v>46106</v>
      </c>
      <c r="D407" s="3" t="s">
        <v>1742</v>
      </c>
      <c r="E407" s="3" t="s">
        <v>284</v>
      </c>
      <c r="F407" s="3" t="s">
        <v>281</v>
      </c>
      <c r="G407" s="3" t="s">
        <v>273</v>
      </c>
      <c r="H407" s="3" t="s">
        <v>1303</v>
      </c>
      <c r="I407" s="3" t="s">
        <v>20</v>
      </c>
      <c r="J407" s="3" t="s">
        <v>38</v>
      </c>
      <c r="K407" s="2">
        <v>30</v>
      </c>
      <c r="L407" s="1">
        <v>65000</v>
      </c>
      <c r="M407" s="1">
        <v>1950000</v>
      </c>
      <c r="N407" s="1">
        <v>15</v>
      </c>
      <c r="O407" s="1">
        <v>292500</v>
      </c>
    </row>
    <row r="408" spans="1:15">
      <c r="A408" s="6">
        <v>2026</v>
      </c>
      <c r="B408" s="7">
        <v>3</v>
      </c>
      <c r="C408" s="8">
        <v>46106</v>
      </c>
      <c r="D408" s="3" t="s">
        <v>1743</v>
      </c>
      <c r="E408" s="3" t="s">
        <v>1744</v>
      </c>
      <c r="F408" s="3" t="s">
        <v>1291</v>
      </c>
      <c r="G408" s="3" t="s">
        <v>273</v>
      </c>
      <c r="H408" s="3" t="s">
        <v>1303</v>
      </c>
      <c r="I408" s="3" t="s">
        <v>1490</v>
      </c>
      <c r="J408" s="3" t="s">
        <v>38</v>
      </c>
      <c r="K408" s="2">
        <v>100</v>
      </c>
      <c r="L408" s="1">
        <v>65000</v>
      </c>
      <c r="M408" s="1">
        <v>6500000</v>
      </c>
      <c r="N408" s="1">
        <v>15</v>
      </c>
      <c r="O408" s="1">
        <v>975000</v>
      </c>
    </row>
    <row r="409" spans="1:15">
      <c r="A409" s="6">
        <v>2026</v>
      </c>
      <c r="B409" s="7">
        <v>3</v>
      </c>
      <c r="C409" s="8">
        <v>46107</v>
      </c>
      <c r="D409" s="3" t="s">
        <v>1745</v>
      </c>
      <c r="E409" s="3" t="s">
        <v>912</v>
      </c>
      <c r="F409" s="3" t="s">
        <v>871</v>
      </c>
      <c r="G409" s="3" t="s">
        <v>273</v>
      </c>
      <c r="H409" s="3" t="s">
        <v>1303</v>
      </c>
      <c r="I409" s="3" t="s">
        <v>913</v>
      </c>
      <c r="J409" s="3" t="s">
        <v>41</v>
      </c>
      <c r="K409" s="2">
        <v>98</v>
      </c>
      <c r="L409" s="1">
        <v>90000</v>
      </c>
      <c r="M409" s="1">
        <v>8820000</v>
      </c>
      <c r="N409" s="1">
        <v>15</v>
      </c>
      <c r="O409" s="1">
        <v>1323000</v>
      </c>
    </row>
    <row r="410" spans="1:15">
      <c r="A410" s="6">
        <v>2026</v>
      </c>
      <c r="B410" s="7">
        <v>3</v>
      </c>
      <c r="C410" s="8">
        <v>46107</v>
      </c>
      <c r="D410" s="3" t="s">
        <v>1745</v>
      </c>
      <c r="E410" s="3" t="s">
        <v>912</v>
      </c>
      <c r="F410" s="3" t="s">
        <v>871</v>
      </c>
      <c r="G410" s="3" t="s">
        <v>273</v>
      </c>
      <c r="H410" s="3" t="s">
        <v>1303</v>
      </c>
      <c r="I410" s="3" t="s">
        <v>913</v>
      </c>
      <c r="J410" s="3" t="s">
        <v>466</v>
      </c>
      <c r="K410" s="2">
        <v>10</v>
      </c>
      <c r="L410" s="1">
        <v>120000</v>
      </c>
      <c r="M410" s="1">
        <v>1200000</v>
      </c>
      <c r="N410" s="1">
        <v>15</v>
      </c>
      <c r="O410" s="1">
        <v>180000</v>
      </c>
    </row>
    <row r="411" spans="1:15">
      <c r="A411" s="6">
        <v>2026</v>
      </c>
      <c r="B411" s="7">
        <v>3</v>
      </c>
      <c r="C411" s="8">
        <v>46107</v>
      </c>
      <c r="D411" s="3" t="s">
        <v>1745</v>
      </c>
      <c r="E411" s="3" t="s">
        <v>912</v>
      </c>
      <c r="F411" s="3" t="s">
        <v>871</v>
      </c>
      <c r="G411" s="3" t="s">
        <v>273</v>
      </c>
      <c r="H411" s="3" t="s">
        <v>1303</v>
      </c>
      <c r="I411" s="3" t="s">
        <v>913</v>
      </c>
      <c r="J411" s="3" t="s">
        <v>41</v>
      </c>
      <c r="K411" s="2">
        <v>2</v>
      </c>
      <c r="L411" s="1">
        <v>90000</v>
      </c>
      <c r="M411" s="1">
        <v>180000</v>
      </c>
      <c r="N411" s="1">
        <v>15</v>
      </c>
      <c r="O411" s="1">
        <v>27000</v>
      </c>
    </row>
    <row r="412" spans="1:15">
      <c r="A412" s="6">
        <v>2026</v>
      </c>
      <c r="B412" s="7">
        <v>3</v>
      </c>
      <c r="C412" s="8">
        <v>46107</v>
      </c>
      <c r="D412" s="3" t="s">
        <v>1746</v>
      </c>
      <c r="E412" s="3" t="s">
        <v>874</v>
      </c>
      <c r="F412" s="3" t="s">
        <v>875</v>
      </c>
      <c r="G412" s="3" t="s">
        <v>273</v>
      </c>
      <c r="H412" s="3" t="s">
        <v>1303</v>
      </c>
      <c r="I412" s="3" t="s">
        <v>1579</v>
      </c>
      <c r="J412" s="3" t="s">
        <v>38</v>
      </c>
      <c r="K412" s="2">
        <v>30</v>
      </c>
      <c r="L412" s="1">
        <v>65000</v>
      </c>
      <c r="M412" s="1">
        <v>1950000</v>
      </c>
      <c r="N412" s="1">
        <v>15</v>
      </c>
      <c r="O412" s="1">
        <v>292500</v>
      </c>
    </row>
    <row r="413" spans="1:15">
      <c r="A413" s="6">
        <v>2026</v>
      </c>
      <c r="B413" s="7">
        <v>3</v>
      </c>
      <c r="C413" s="8">
        <v>46107</v>
      </c>
      <c r="D413" s="3" t="s">
        <v>1747</v>
      </c>
      <c r="E413" s="3" t="s">
        <v>1026</v>
      </c>
      <c r="F413" s="3" t="s">
        <v>1027</v>
      </c>
      <c r="G413" s="3" t="s">
        <v>273</v>
      </c>
      <c r="H413" s="3" t="s">
        <v>1303</v>
      </c>
      <c r="I413" s="3" t="s">
        <v>1568</v>
      </c>
      <c r="J413" s="3" t="s">
        <v>41</v>
      </c>
      <c r="K413" s="2">
        <v>40</v>
      </c>
      <c r="L413" s="1">
        <v>90000</v>
      </c>
      <c r="M413" s="1">
        <v>3600000</v>
      </c>
      <c r="N413" s="1">
        <v>15</v>
      </c>
      <c r="O413" s="1">
        <v>540000</v>
      </c>
    </row>
    <row r="414" spans="1:15">
      <c r="A414" s="6">
        <v>2026</v>
      </c>
      <c r="B414" s="7">
        <v>3</v>
      </c>
      <c r="C414" s="8">
        <v>46107</v>
      </c>
      <c r="D414" s="3" t="s">
        <v>1748</v>
      </c>
      <c r="E414" s="3" t="s">
        <v>893</v>
      </c>
      <c r="F414" s="3" t="s">
        <v>894</v>
      </c>
      <c r="G414" s="3" t="s">
        <v>273</v>
      </c>
      <c r="H414" s="3" t="s">
        <v>1303</v>
      </c>
      <c r="I414" s="3" t="s">
        <v>1351</v>
      </c>
      <c r="J414" s="3" t="s">
        <v>41</v>
      </c>
      <c r="K414" s="2">
        <v>100</v>
      </c>
      <c r="L414" s="1">
        <v>90000</v>
      </c>
      <c r="M414" s="1">
        <v>9000000</v>
      </c>
      <c r="N414" s="1">
        <v>15</v>
      </c>
      <c r="O414" s="1">
        <v>1350000</v>
      </c>
    </row>
    <row r="415" spans="1:15">
      <c r="A415" s="6">
        <v>2026</v>
      </c>
      <c r="B415" s="7">
        <v>3</v>
      </c>
      <c r="C415" s="8">
        <v>46108</v>
      </c>
      <c r="D415" s="3" t="s">
        <v>1749</v>
      </c>
      <c r="E415" s="3" t="s">
        <v>1590</v>
      </c>
      <c r="F415" s="3" t="s">
        <v>871</v>
      </c>
      <c r="G415" s="3" t="s">
        <v>273</v>
      </c>
      <c r="H415" s="3" t="s">
        <v>1303</v>
      </c>
      <c r="I415" s="3" t="s">
        <v>1705</v>
      </c>
      <c r="J415" s="3" t="s">
        <v>466</v>
      </c>
      <c r="K415" s="2">
        <v>30</v>
      </c>
      <c r="L415" s="1">
        <v>120000</v>
      </c>
      <c r="M415" s="1">
        <v>3600000</v>
      </c>
      <c r="N415" s="1">
        <v>15</v>
      </c>
      <c r="O415" s="1">
        <v>540000</v>
      </c>
    </row>
    <row r="416" spans="1:15">
      <c r="A416" s="6">
        <v>2026</v>
      </c>
      <c r="B416" s="7">
        <v>3</v>
      </c>
      <c r="C416" s="8">
        <v>46108</v>
      </c>
      <c r="D416" s="3" t="s">
        <v>1749</v>
      </c>
      <c r="E416" s="3" t="s">
        <v>1590</v>
      </c>
      <c r="F416" s="3" t="s">
        <v>871</v>
      </c>
      <c r="G416" s="3" t="s">
        <v>273</v>
      </c>
      <c r="H416" s="3" t="s">
        <v>1303</v>
      </c>
      <c r="I416" s="3" t="s">
        <v>1705</v>
      </c>
      <c r="J416" s="3" t="s">
        <v>41</v>
      </c>
      <c r="K416" s="2">
        <v>20</v>
      </c>
      <c r="L416" s="1">
        <v>90000</v>
      </c>
      <c r="M416" s="1">
        <v>1800000</v>
      </c>
      <c r="N416" s="1">
        <v>15</v>
      </c>
      <c r="O416" s="1">
        <v>270000</v>
      </c>
    </row>
    <row r="417" spans="1:15">
      <c r="A417" s="6">
        <v>2026</v>
      </c>
      <c r="B417" s="7">
        <v>3</v>
      </c>
      <c r="C417" s="8">
        <v>46108</v>
      </c>
      <c r="D417" s="3" t="s">
        <v>1750</v>
      </c>
      <c r="E417" s="3" t="s">
        <v>284</v>
      </c>
      <c r="F417" s="3" t="s">
        <v>281</v>
      </c>
      <c r="G417" s="3" t="s">
        <v>273</v>
      </c>
      <c r="H417" s="3" t="s">
        <v>1303</v>
      </c>
      <c r="I417" s="3" t="s">
        <v>1492</v>
      </c>
      <c r="J417" s="3" t="s">
        <v>21</v>
      </c>
      <c r="K417" s="2">
        <v>20</v>
      </c>
      <c r="L417" s="1">
        <v>40621</v>
      </c>
      <c r="M417" s="1">
        <v>812420</v>
      </c>
      <c r="N417" s="1">
        <v>10</v>
      </c>
      <c r="O417" s="1">
        <v>81242</v>
      </c>
    </row>
    <row r="418" spans="1:15">
      <c r="A418" s="6">
        <v>2026</v>
      </c>
      <c r="B418" s="7">
        <v>3</v>
      </c>
      <c r="C418" s="8">
        <v>46108</v>
      </c>
      <c r="D418" s="3" t="s">
        <v>1751</v>
      </c>
      <c r="E418" s="3" t="s">
        <v>1271</v>
      </c>
      <c r="F418" s="3" t="s">
        <v>1272</v>
      </c>
      <c r="G418" s="3" t="s">
        <v>273</v>
      </c>
      <c r="H418" s="3" t="s">
        <v>1303</v>
      </c>
      <c r="I418" s="3" t="s">
        <v>1309</v>
      </c>
      <c r="J418" s="3" t="s">
        <v>41</v>
      </c>
      <c r="K418" s="2">
        <v>15</v>
      </c>
      <c r="L418" s="1">
        <v>90000</v>
      </c>
      <c r="M418" s="1">
        <v>1350000</v>
      </c>
      <c r="N418" s="1">
        <v>15</v>
      </c>
      <c r="O418" s="1">
        <v>202500</v>
      </c>
    </row>
    <row r="419" spans="1:15">
      <c r="A419" s="6">
        <v>2026</v>
      </c>
      <c r="B419" s="7">
        <v>3</v>
      </c>
      <c r="C419" s="8">
        <v>46111</v>
      </c>
      <c r="D419" s="3" t="s">
        <v>1752</v>
      </c>
      <c r="E419" s="3" t="s">
        <v>886</v>
      </c>
      <c r="F419" s="3" t="s">
        <v>887</v>
      </c>
      <c r="G419" s="3" t="s">
        <v>273</v>
      </c>
      <c r="H419" s="3" t="s">
        <v>1303</v>
      </c>
      <c r="I419" s="3" t="s">
        <v>1753</v>
      </c>
      <c r="J419" s="3" t="s">
        <v>46</v>
      </c>
      <c r="K419" s="2">
        <v>15</v>
      </c>
      <c r="L419" s="1">
        <v>64700</v>
      </c>
      <c r="M419" s="1">
        <v>970500</v>
      </c>
      <c r="N419" s="1">
        <v>15</v>
      </c>
      <c r="O419" s="1">
        <v>145575</v>
      </c>
    </row>
    <row r="420" spans="1:15">
      <c r="A420" s="6">
        <v>2026</v>
      </c>
      <c r="B420" s="7">
        <v>3</v>
      </c>
      <c r="C420" s="8">
        <v>46112</v>
      </c>
      <c r="D420" s="3" t="s">
        <v>1754</v>
      </c>
      <c r="E420" s="3" t="s">
        <v>1302</v>
      </c>
      <c r="F420" s="3" t="s">
        <v>272</v>
      </c>
      <c r="G420" s="3" t="s">
        <v>273</v>
      </c>
      <c r="H420" s="3" t="s">
        <v>1303</v>
      </c>
      <c r="I420" s="3" t="s">
        <v>1755</v>
      </c>
      <c r="J420" s="3" t="s">
        <v>41</v>
      </c>
      <c r="K420" s="2">
        <v>100</v>
      </c>
      <c r="L420" s="1">
        <v>90000</v>
      </c>
      <c r="M420" s="1">
        <v>9000000</v>
      </c>
      <c r="N420" s="1">
        <v>15</v>
      </c>
      <c r="O420" s="1">
        <v>1350000</v>
      </c>
    </row>
    <row r="421" spans="1:15">
      <c r="A421" s="6">
        <v>2026</v>
      </c>
      <c r="B421" s="7">
        <v>3</v>
      </c>
      <c r="C421" s="8">
        <v>46112</v>
      </c>
      <c r="D421" s="3" t="s">
        <v>1756</v>
      </c>
      <c r="E421" s="3" t="s">
        <v>886</v>
      </c>
      <c r="F421" s="3" t="s">
        <v>887</v>
      </c>
      <c r="G421" s="3" t="s">
        <v>273</v>
      </c>
      <c r="H421" s="3" t="s">
        <v>1303</v>
      </c>
      <c r="I421" s="3" t="s">
        <v>995</v>
      </c>
      <c r="J421" s="3" t="s">
        <v>46</v>
      </c>
      <c r="K421" s="2">
        <v>50</v>
      </c>
      <c r="L421" s="1">
        <v>64700</v>
      </c>
      <c r="M421" s="1">
        <v>3235000</v>
      </c>
      <c r="N421" s="1">
        <v>15</v>
      </c>
      <c r="O421" s="1">
        <v>485250</v>
      </c>
    </row>
    <row r="422" spans="1:15">
      <c r="A422" s="6">
        <v>2026</v>
      </c>
      <c r="B422" s="7">
        <v>3</v>
      </c>
      <c r="C422" s="8">
        <v>46112</v>
      </c>
      <c r="D422" s="3" t="s">
        <v>1757</v>
      </c>
      <c r="E422" s="3" t="s">
        <v>1383</v>
      </c>
      <c r="F422" s="3" t="s">
        <v>1280</v>
      </c>
      <c r="G422" s="3" t="s">
        <v>273</v>
      </c>
      <c r="H422" s="3" t="s">
        <v>1303</v>
      </c>
      <c r="I422" s="3" t="s">
        <v>1633</v>
      </c>
      <c r="J422" s="3" t="s">
        <v>41</v>
      </c>
      <c r="K422" s="2">
        <v>35</v>
      </c>
      <c r="L422" s="1">
        <v>90000</v>
      </c>
      <c r="M422" s="1">
        <v>3150000</v>
      </c>
      <c r="N422" s="1">
        <v>15</v>
      </c>
      <c r="O422" s="1">
        <v>472500</v>
      </c>
    </row>
    <row r="423" spans="1:15">
      <c r="A423" s="6">
        <v>2026</v>
      </c>
      <c r="B423" s="7">
        <v>3</v>
      </c>
      <c r="C423" s="8">
        <v>46112</v>
      </c>
      <c r="D423" s="3" t="s">
        <v>1758</v>
      </c>
      <c r="E423" s="3" t="s">
        <v>1590</v>
      </c>
      <c r="F423" s="3" t="s">
        <v>871</v>
      </c>
      <c r="G423" s="3" t="s">
        <v>273</v>
      </c>
      <c r="H423" s="3" t="s">
        <v>1303</v>
      </c>
      <c r="I423" s="3" t="s">
        <v>1759</v>
      </c>
      <c r="J423" s="3" t="s">
        <v>466</v>
      </c>
      <c r="K423" s="2">
        <v>10</v>
      </c>
      <c r="L423" s="1">
        <v>120000</v>
      </c>
      <c r="M423" s="1">
        <v>1200000</v>
      </c>
      <c r="N423" s="1">
        <v>15</v>
      </c>
      <c r="O423" s="1">
        <v>180000</v>
      </c>
    </row>
    <row r="424" spans="1:15">
      <c r="A424" s="6">
        <v>2026</v>
      </c>
      <c r="B424" s="7">
        <v>4</v>
      </c>
      <c r="C424" s="8">
        <v>46113</v>
      </c>
      <c r="D424" s="3" t="s">
        <v>1760</v>
      </c>
      <c r="E424" s="3" t="s">
        <v>1761</v>
      </c>
      <c r="F424" s="3" t="s">
        <v>894</v>
      </c>
      <c r="G424" s="3" t="s">
        <v>273</v>
      </c>
      <c r="H424" s="3" t="s">
        <v>1303</v>
      </c>
      <c r="I424" s="3" t="s">
        <v>1629</v>
      </c>
      <c r="J424" s="3" t="s">
        <v>41</v>
      </c>
      <c r="K424" s="2">
        <v>50</v>
      </c>
      <c r="L424" s="1">
        <v>90000</v>
      </c>
      <c r="M424" s="1">
        <v>4500000</v>
      </c>
      <c r="N424" s="1">
        <v>15</v>
      </c>
      <c r="O424" s="1">
        <v>675000</v>
      </c>
    </row>
    <row r="425" spans="1:15">
      <c r="A425" s="6">
        <v>2026</v>
      </c>
      <c r="B425" s="7">
        <v>4</v>
      </c>
      <c r="C425" s="8">
        <v>46113</v>
      </c>
      <c r="D425" s="3" t="s">
        <v>1762</v>
      </c>
      <c r="E425" s="3" t="s">
        <v>886</v>
      </c>
      <c r="F425" s="3" t="s">
        <v>887</v>
      </c>
      <c r="G425" s="3" t="s">
        <v>273</v>
      </c>
      <c r="H425" s="3" t="s">
        <v>1303</v>
      </c>
      <c r="I425" s="3" t="s">
        <v>1763</v>
      </c>
      <c r="J425" s="3" t="s">
        <v>46</v>
      </c>
      <c r="K425" s="2">
        <v>15</v>
      </c>
      <c r="L425" s="1">
        <v>64700</v>
      </c>
      <c r="M425" s="1">
        <v>970500</v>
      </c>
      <c r="N425" s="1">
        <v>15</v>
      </c>
      <c r="O425" s="1">
        <v>145575</v>
      </c>
    </row>
    <row r="426" spans="1:15">
      <c r="A426" s="6">
        <v>2026</v>
      </c>
      <c r="B426" s="7">
        <v>4</v>
      </c>
      <c r="C426" s="8">
        <v>46114</v>
      </c>
      <c r="D426" s="3" t="s">
        <v>1764</v>
      </c>
      <c r="E426" s="3" t="s">
        <v>899</v>
      </c>
      <c r="F426" s="3" t="s">
        <v>871</v>
      </c>
      <c r="G426" s="3" t="s">
        <v>273</v>
      </c>
      <c r="H426" s="3" t="s">
        <v>1303</v>
      </c>
      <c r="I426" s="3" t="s">
        <v>1727</v>
      </c>
      <c r="J426" s="3" t="s">
        <v>41</v>
      </c>
      <c r="K426" s="2">
        <v>30</v>
      </c>
      <c r="L426" s="1">
        <v>90000</v>
      </c>
      <c r="M426" s="1">
        <v>2700000</v>
      </c>
      <c r="N426" s="1">
        <v>15</v>
      </c>
      <c r="O426" s="1">
        <v>405000</v>
      </c>
    </row>
    <row r="427" spans="1:15">
      <c r="A427" s="6">
        <v>2026</v>
      </c>
      <c r="B427" s="7">
        <v>4</v>
      </c>
      <c r="C427" s="8">
        <v>46115</v>
      </c>
      <c r="D427" s="3" t="s">
        <v>1765</v>
      </c>
      <c r="E427" s="3" t="s">
        <v>886</v>
      </c>
      <c r="F427" s="3" t="s">
        <v>887</v>
      </c>
      <c r="G427" s="3" t="s">
        <v>273</v>
      </c>
      <c r="H427" s="3" t="s">
        <v>1303</v>
      </c>
      <c r="I427" s="3" t="s">
        <v>1766</v>
      </c>
      <c r="J427" s="3" t="s">
        <v>46</v>
      </c>
      <c r="K427" s="2">
        <v>20</v>
      </c>
      <c r="L427" s="1">
        <v>64700</v>
      </c>
      <c r="M427" s="1">
        <v>1294000</v>
      </c>
      <c r="N427" s="1">
        <v>15</v>
      </c>
      <c r="O427" s="1">
        <v>194100</v>
      </c>
    </row>
    <row r="428" spans="1:15">
      <c r="A428" s="6">
        <v>2026</v>
      </c>
      <c r="B428" s="7">
        <v>4</v>
      </c>
      <c r="C428" s="8">
        <v>46115</v>
      </c>
      <c r="D428" s="3" t="s">
        <v>1767</v>
      </c>
      <c r="E428" s="3" t="s">
        <v>1590</v>
      </c>
      <c r="F428" s="3" t="s">
        <v>871</v>
      </c>
      <c r="G428" s="3" t="s">
        <v>273</v>
      </c>
      <c r="H428" s="3" t="s">
        <v>1303</v>
      </c>
      <c r="I428" s="3" t="s">
        <v>942</v>
      </c>
      <c r="J428" s="3" t="s">
        <v>38</v>
      </c>
      <c r="K428" s="2">
        <v>50</v>
      </c>
      <c r="L428" s="1">
        <v>65000</v>
      </c>
      <c r="M428" s="1">
        <v>3250000</v>
      </c>
      <c r="N428" s="1">
        <v>15</v>
      </c>
      <c r="O428" s="1">
        <v>487500</v>
      </c>
    </row>
    <row r="429" spans="1:15">
      <c r="A429" s="6">
        <v>2026</v>
      </c>
      <c r="B429" s="7">
        <v>4</v>
      </c>
      <c r="C429" s="8">
        <v>46115</v>
      </c>
      <c r="D429" s="3" t="s">
        <v>1768</v>
      </c>
      <c r="E429" s="3" t="s">
        <v>1468</v>
      </c>
      <c r="F429" s="3" t="s">
        <v>1359</v>
      </c>
      <c r="G429" s="3" t="s">
        <v>273</v>
      </c>
      <c r="H429" s="3" t="s">
        <v>1303</v>
      </c>
      <c r="I429" s="3" t="s">
        <v>1769</v>
      </c>
      <c r="J429" s="3" t="s">
        <v>41</v>
      </c>
      <c r="K429" s="2">
        <v>20</v>
      </c>
      <c r="L429" s="1">
        <v>90000</v>
      </c>
      <c r="M429" s="1">
        <v>1800000</v>
      </c>
      <c r="N429" s="1">
        <v>15</v>
      </c>
      <c r="O429" s="1">
        <v>270000</v>
      </c>
    </row>
    <row r="430" spans="1:15">
      <c r="A430" s="6">
        <v>2026</v>
      </c>
      <c r="B430" s="7">
        <v>4</v>
      </c>
      <c r="C430" s="8">
        <v>46115</v>
      </c>
      <c r="D430" s="3" t="s">
        <v>1770</v>
      </c>
      <c r="E430" s="3" t="s">
        <v>912</v>
      </c>
      <c r="F430" s="3" t="s">
        <v>871</v>
      </c>
      <c r="G430" s="3" t="s">
        <v>273</v>
      </c>
      <c r="H430" s="3" t="s">
        <v>1303</v>
      </c>
      <c r="I430" s="3" t="s">
        <v>1771</v>
      </c>
      <c r="J430" s="3" t="s">
        <v>38</v>
      </c>
      <c r="K430" s="2">
        <v>10</v>
      </c>
      <c r="L430" s="1">
        <v>65000</v>
      </c>
      <c r="M430" s="1">
        <v>650000</v>
      </c>
      <c r="N430" s="1">
        <v>15</v>
      </c>
      <c r="O430" s="1">
        <v>97500</v>
      </c>
    </row>
    <row r="431" spans="1:15">
      <c r="A431" s="6">
        <v>2026</v>
      </c>
      <c r="B431" s="7">
        <v>4</v>
      </c>
      <c r="C431" s="8">
        <v>46115</v>
      </c>
      <c r="D431" s="3" t="s">
        <v>1770</v>
      </c>
      <c r="E431" s="3" t="s">
        <v>912</v>
      </c>
      <c r="F431" s="3" t="s">
        <v>871</v>
      </c>
      <c r="G431" s="3" t="s">
        <v>273</v>
      </c>
      <c r="H431" s="3" t="s">
        <v>1303</v>
      </c>
      <c r="I431" s="3" t="s">
        <v>1771</v>
      </c>
      <c r="J431" s="3" t="s">
        <v>41</v>
      </c>
      <c r="K431" s="2">
        <v>30</v>
      </c>
      <c r="L431" s="1">
        <v>90000</v>
      </c>
      <c r="M431" s="1">
        <v>2700000</v>
      </c>
      <c r="N431" s="1">
        <v>15</v>
      </c>
      <c r="O431" s="1">
        <v>405000</v>
      </c>
    </row>
    <row r="432" spans="1:15">
      <c r="A432" s="6">
        <v>2026</v>
      </c>
      <c r="B432" s="7">
        <v>4</v>
      </c>
      <c r="C432" s="8">
        <v>46115</v>
      </c>
      <c r="D432" s="3" t="s">
        <v>1770</v>
      </c>
      <c r="E432" s="3" t="s">
        <v>912</v>
      </c>
      <c r="F432" s="3" t="s">
        <v>871</v>
      </c>
      <c r="G432" s="3" t="s">
        <v>273</v>
      </c>
      <c r="H432" s="3" t="s">
        <v>1303</v>
      </c>
      <c r="I432" s="3" t="s">
        <v>1771</v>
      </c>
      <c r="J432" s="3" t="s">
        <v>38</v>
      </c>
      <c r="K432" s="2">
        <v>40</v>
      </c>
      <c r="L432" s="1">
        <v>65000</v>
      </c>
      <c r="M432" s="1">
        <v>2600000</v>
      </c>
      <c r="N432" s="1">
        <v>15</v>
      </c>
      <c r="O432" s="1">
        <v>390000</v>
      </c>
    </row>
    <row r="433" spans="1:15">
      <c r="A433" s="6">
        <v>2026</v>
      </c>
      <c r="B433" s="7">
        <v>4</v>
      </c>
      <c r="C433" s="8">
        <v>46141</v>
      </c>
      <c r="D433" s="3" t="s">
        <v>1772</v>
      </c>
      <c r="E433" s="3" t="s">
        <v>1318</v>
      </c>
      <c r="F433" s="3" t="s">
        <v>1319</v>
      </c>
      <c r="G433" s="3" t="s">
        <v>273</v>
      </c>
      <c r="H433" s="3" t="s">
        <v>1303</v>
      </c>
      <c r="I433" s="3" t="s">
        <v>1337</v>
      </c>
      <c r="J433" s="3" t="s">
        <v>41</v>
      </c>
      <c r="K433" s="2">
        <v>-150</v>
      </c>
      <c r="L433" s="1">
        <v>90000</v>
      </c>
      <c r="M433" s="1">
        <v>-13500000</v>
      </c>
      <c r="N433" s="1">
        <v>15</v>
      </c>
      <c r="O433" s="1">
        <v>2025000</v>
      </c>
    </row>
    <row r="434" spans="1:15">
      <c r="A434" s="6">
        <v>2026</v>
      </c>
      <c r="B434" s="7">
        <v>5</v>
      </c>
      <c r="C434" s="8">
        <v>46148</v>
      </c>
      <c r="D434" s="3" t="s">
        <v>1773</v>
      </c>
      <c r="E434" s="3" t="s">
        <v>1314</v>
      </c>
      <c r="F434" s="3" t="s">
        <v>1314</v>
      </c>
      <c r="G434" s="3" t="s">
        <v>1314</v>
      </c>
      <c r="H434" s="3" t="s">
        <v>1303</v>
      </c>
      <c r="I434" s="3" t="s">
        <v>33</v>
      </c>
      <c r="J434" s="3" t="s">
        <v>41</v>
      </c>
      <c r="K434" s="2">
        <v>500</v>
      </c>
      <c r="L434" s="1">
        <v>90000</v>
      </c>
      <c r="M434" s="1">
        <v>45000000</v>
      </c>
      <c r="N434" s="1">
        <v>2</v>
      </c>
      <c r="O434" s="1">
        <v>900000</v>
      </c>
    </row>
    <row r="435" spans="1:15">
      <c r="A435" s="6">
        <v>2026</v>
      </c>
      <c r="B435" s="7">
        <v>5</v>
      </c>
      <c r="C435" s="8">
        <v>46148</v>
      </c>
      <c r="D435" s="3" t="s">
        <v>1773</v>
      </c>
      <c r="E435" s="3" t="s">
        <v>1314</v>
      </c>
      <c r="F435" s="3" t="s">
        <v>1314</v>
      </c>
      <c r="G435" s="3" t="s">
        <v>1314</v>
      </c>
      <c r="H435" s="3" t="s">
        <v>1303</v>
      </c>
      <c r="I435" s="3" t="s">
        <v>33</v>
      </c>
      <c r="J435" s="3" t="s">
        <v>21</v>
      </c>
      <c r="K435" s="2">
        <v>22</v>
      </c>
      <c r="L435" s="1">
        <v>40621</v>
      </c>
      <c r="M435" s="1">
        <v>893662</v>
      </c>
      <c r="N435" s="1">
        <v>2</v>
      </c>
      <c r="O435" s="1">
        <v>17873.240000000002</v>
      </c>
    </row>
    <row r="436" spans="1:15">
      <c r="A436" s="6">
        <v>2026</v>
      </c>
      <c r="B436" s="7">
        <v>5</v>
      </c>
      <c r="C436" s="8">
        <v>46148</v>
      </c>
      <c r="D436" s="3" t="s">
        <v>1773</v>
      </c>
      <c r="E436" s="3" t="s">
        <v>1314</v>
      </c>
      <c r="F436" s="3" t="s">
        <v>1314</v>
      </c>
      <c r="G436" s="3" t="s">
        <v>1314</v>
      </c>
      <c r="H436" s="3" t="s">
        <v>1303</v>
      </c>
      <c r="I436" s="3" t="s">
        <v>33</v>
      </c>
      <c r="J436" s="3" t="s">
        <v>466</v>
      </c>
      <c r="K436" s="2">
        <v>400</v>
      </c>
      <c r="L436" s="1">
        <v>120000</v>
      </c>
      <c r="M436" s="1">
        <v>48000000</v>
      </c>
      <c r="N436" s="1">
        <v>2</v>
      </c>
      <c r="O436" s="1">
        <v>960000</v>
      </c>
    </row>
    <row r="437" spans="1:15">
      <c r="A437" s="6">
        <v>2026</v>
      </c>
      <c r="B437" s="7">
        <v>5</v>
      </c>
      <c r="C437" s="8">
        <v>46148</v>
      </c>
      <c r="D437" s="3" t="s">
        <v>1773</v>
      </c>
      <c r="E437" s="3" t="s">
        <v>1314</v>
      </c>
      <c r="F437" s="3" t="s">
        <v>1314</v>
      </c>
      <c r="G437" s="3" t="s">
        <v>1314</v>
      </c>
      <c r="H437" s="3" t="s">
        <v>1303</v>
      </c>
      <c r="I437" s="3" t="s">
        <v>33</v>
      </c>
      <c r="J437" s="3" t="s">
        <v>46</v>
      </c>
      <c r="K437" s="2">
        <v>400</v>
      </c>
      <c r="L437" s="1">
        <v>64700</v>
      </c>
      <c r="M437" s="1">
        <v>25880000</v>
      </c>
      <c r="N437" s="1">
        <v>2</v>
      </c>
      <c r="O437" s="1">
        <v>517600</v>
      </c>
    </row>
    <row r="438" spans="1:15">
      <c r="A438" s="6">
        <v>2026</v>
      </c>
      <c r="B438" s="7">
        <v>5</v>
      </c>
      <c r="C438" s="8">
        <v>46148</v>
      </c>
      <c r="D438" s="3" t="s">
        <v>1773</v>
      </c>
      <c r="E438" s="3" t="s">
        <v>1314</v>
      </c>
      <c r="F438" s="3" t="s">
        <v>1314</v>
      </c>
      <c r="G438" s="3" t="s">
        <v>1314</v>
      </c>
      <c r="H438" s="3" t="s">
        <v>1303</v>
      </c>
      <c r="I438" s="3" t="s">
        <v>33</v>
      </c>
      <c r="J438" s="3" t="s">
        <v>38</v>
      </c>
      <c r="K438" s="2">
        <v>50</v>
      </c>
      <c r="L438" s="1">
        <v>65000</v>
      </c>
      <c r="M438" s="1">
        <v>3250000</v>
      </c>
      <c r="N438" s="1">
        <v>2</v>
      </c>
      <c r="O438" s="1">
        <v>65000</v>
      </c>
    </row>
    <row r="439" spans="1:15">
      <c r="A439" s="6">
        <v>2026</v>
      </c>
      <c r="B439" s="7">
        <v>5</v>
      </c>
      <c r="C439" s="8">
        <v>46148</v>
      </c>
      <c r="D439" s="3" t="s">
        <v>1773</v>
      </c>
      <c r="E439" s="3" t="s">
        <v>1314</v>
      </c>
      <c r="F439" s="3" t="s">
        <v>1314</v>
      </c>
      <c r="G439" s="3" t="s">
        <v>1314</v>
      </c>
      <c r="H439" s="3" t="s">
        <v>1303</v>
      </c>
      <c r="I439" s="3" t="s">
        <v>33</v>
      </c>
      <c r="J439" s="3" t="s">
        <v>38</v>
      </c>
      <c r="K439" s="2">
        <v>350</v>
      </c>
      <c r="L439" s="1">
        <v>65000</v>
      </c>
      <c r="M439" s="1">
        <v>22750000</v>
      </c>
      <c r="N439" s="1">
        <v>2</v>
      </c>
      <c r="O439" s="1">
        <v>455000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6F8E-AF98-2A4F-A192-183649B7C108}">
  <dimension ref="A1:O100"/>
  <sheetViews>
    <sheetView workbookViewId="0">
      <pane xSplit="6" ySplit="2" topLeftCell="H61" activePane="bottomRight" state="frozen"/>
      <selection pane="topRight" activeCell="G1" sqref="G1"/>
      <selection pane="bottomLeft" activeCell="A3" sqref="A3"/>
      <selection pane="bottomRight" activeCell="A3" sqref="A3:M100"/>
    </sheetView>
  </sheetViews>
  <sheetFormatPr baseColWidth="10" defaultRowHeight="16"/>
  <cols>
    <col min="1" max="3" width="10.83203125" style="10"/>
    <col min="4" max="4" width="19" customWidth="1"/>
    <col min="5" max="5" width="27.83203125" bestFit="1" customWidth="1"/>
    <col min="6" max="6" width="27" customWidth="1"/>
    <col min="7" max="7" width="16" customWidth="1"/>
    <col min="9" max="9" width="35" customWidth="1"/>
    <col min="10" max="10" width="37.6640625" customWidth="1"/>
    <col min="12" max="12" width="11" bestFit="1" customWidth="1"/>
    <col min="13" max="13" width="12.6640625" customWidth="1"/>
    <col min="14" max="15" width="11" bestFit="1" customWidth="1"/>
  </cols>
  <sheetData>
    <row r="1" spans="1:15">
      <c r="K1" s="5">
        <f>SUBTOTAL(9,K3:K1048576)</f>
        <v>8573</v>
      </c>
      <c r="M1" s="5">
        <f>SUBTOTAL(9,M3:M1048576)</f>
        <v>429491689.39999998</v>
      </c>
    </row>
    <row r="2" spans="1:15" s="11" customFormat="1" ht="2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6">
        <v>2025</v>
      </c>
      <c r="B3" s="7">
        <v>4</v>
      </c>
      <c r="C3" s="8">
        <v>45770</v>
      </c>
      <c r="D3" s="3" t="s">
        <v>1137</v>
      </c>
      <c r="E3" s="3" t="s">
        <v>255</v>
      </c>
      <c r="F3" s="3" t="s">
        <v>32</v>
      </c>
      <c r="G3" s="3" t="s">
        <v>255</v>
      </c>
      <c r="H3" s="3" t="s">
        <v>1138</v>
      </c>
      <c r="I3" s="3" t="s">
        <v>33</v>
      </c>
      <c r="J3" s="3" t="s">
        <v>21</v>
      </c>
      <c r="K3" s="1">
        <v>2040</v>
      </c>
      <c r="L3" s="1">
        <v>36955.08</v>
      </c>
      <c r="M3" s="1">
        <v>75388363.200000003</v>
      </c>
      <c r="N3" s="1">
        <v>4</v>
      </c>
      <c r="O3" s="1">
        <v>3015534.53</v>
      </c>
    </row>
    <row r="4" spans="1:15">
      <c r="A4" s="6">
        <v>2025</v>
      </c>
      <c r="B4" s="7">
        <v>5</v>
      </c>
      <c r="C4" s="8">
        <v>45803</v>
      </c>
      <c r="D4" s="3" t="s">
        <v>1139</v>
      </c>
      <c r="E4" s="3" t="s">
        <v>1140</v>
      </c>
      <c r="F4" s="3" t="s">
        <v>1141</v>
      </c>
      <c r="G4" s="3" t="s">
        <v>18</v>
      </c>
      <c r="H4" s="3" t="s">
        <v>1138</v>
      </c>
      <c r="I4" s="3" t="s">
        <v>1142</v>
      </c>
      <c r="J4" s="3" t="s">
        <v>21</v>
      </c>
      <c r="K4" s="2">
        <v>480</v>
      </c>
      <c r="L4" s="1">
        <v>36955.08</v>
      </c>
      <c r="M4" s="1">
        <v>17738438.399999999</v>
      </c>
      <c r="N4" s="1">
        <v>4</v>
      </c>
      <c r="O4" s="1">
        <v>709537.54</v>
      </c>
    </row>
    <row r="5" spans="1:15">
      <c r="A5" s="6">
        <v>2025</v>
      </c>
      <c r="B5" s="7">
        <v>5</v>
      </c>
      <c r="C5" s="8">
        <v>45804</v>
      </c>
      <c r="D5" s="3" t="s">
        <v>1143</v>
      </c>
      <c r="E5" s="3" t="s">
        <v>1144</v>
      </c>
      <c r="F5" s="3" t="s">
        <v>1145</v>
      </c>
      <c r="G5" s="3" t="s">
        <v>260</v>
      </c>
      <c r="H5" s="3" t="s">
        <v>1138</v>
      </c>
      <c r="I5" s="3" t="s">
        <v>1146</v>
      </c>
      <c r="J5" s="3" t="s">
        <v>21</v>
      </c>
      <c r="K5" s="2">
        <v>300</v>
      </c>
      <c r="L5" s="1">
        <v>36955.08</v>
      </c>
      <c r="M5" s="1">
        <v>11086524</v>
      </c>
      <c r="N5" s="1">
        <v>8</v>
      </c>
      <c r="O5" s="1">
        <v>886921.92</v>
      </c>
    </row>
    <row r="6" spans="1:15">
      <c r="A6" s="6">
        <v>2025</v>
      </c>
      <c r="B6" s="7">
        <v>5</v>
      </c>
      <c r="C6" s="8">
        <v>45806</v>
      </c>
      <c r="D6" s="3" t="s">
        <v>1147</v>
      </c>
      <c r="E6" s="3" t="s">
        <v>1140</v>
      </c>
      <c r="F6" s="3" t="s">
        <v>1148</v>
      </c>
      <c r="G6" s="3"/>
      <c r="H6" s="3" t="s">
        <v>1138</v>
      </c>
      <c r="I6" s="3" t="s">
        <v>1149</v>
      </c>
      <c r="J6" s="3" t="s">
        <v>21</v>
      </c>
      <c r="K6" s="2">
        <v>120</v>
      </c>
      <c r="L6" s="1">
        <v>36955.08</v>
      </c>
      <c r="M6" s="1">
        <v>4434609.5999999996</v>
      </c>
      <c r="N6" s="1">
        <v>15</v>
      </c>
      <c r="O6" s="1">
        <v>665191.43999999994</v>
      </c>
    </row>
    <row r="7" spans="1:15">
      <c r="A7" s="6">
        <v>2025</v>
      </c>
      <c r="B7" s="7">
        <v>5</v>
      </c>
      <c r="C7" s="8">
        <v>45806</v>
      </c>
      <c r="D7" s="3" t="s">
        <v>1150</v>
      </c>
      <c r="E7" s="3" t="s">
        <v>1144</v>
      </c>
      <c r="F7" s="3" t="s">
        <v>1145</v>
      </c>
      <c r="G7" s="3" t="s">
        <v>260</v>
      </c>
      <c r="H7" s="3" t="s">
        <v>1138</v>
      </c>
      <c r="I7" s="3" t="s">
        <v>1151</v>
      </c>
      <c r="J7" s="3" t="s">
        <v>21</v>
      </c>
      <c r="K7" s="2">
        <v>20</v>
      </c>
      <c r="L7" s="1">
        <v>36955.08</v>
      </c>
      <c r="M7" s="1">
        <v>739101.6</v>
      </c>
      <c r="N7" s="1">
        <v>10</v>
      </c>
      <c r="O7" s="1">
        <v>73910.16</v>
      </c>
    </row>
    <row r="8" spans="1:15">
      <c r="A8" s="6">
        <v>2025</v>
      </c>
      <c r="B8" s="7">
        <v>6</v>
      </c>
      <c r="C8" s="8">
        <v>45811</v>
      </c>
      <c r="D8" s="3" t="s">
        <v>1152</v>
      </c>
      <c r="E8" s="3" t="s">
        <v>1144</v>
      </c>
      <c r="F8" s="3" t="s">
        <v>1145</v>
      </c>
      <c r="G8" s="3" t="s">
        <v>260</v>
      </c>
      <c r="H8" s="3" t="s">
        <v>1138</v>
      </c>
      <c r="I8" s="3" t="s">
        <v>1153</v>
      </c>
      <c r="J8" s="3" t="s">
        <v>21</v>
      </c>
      <c r="K8" s="2">
        <v>5</v>
      </c>
      <c r="L8" s="1">
        <v>36955.08</v>
      </c>
      <c r="M8" s="1">
        <v>184775.4</v>
      </c>
      <c r="N8" s="1">
        <v>13</v>
      </c>
      <c r="O8" s="1">
        <v>24020.799999999999</v>
      </c>
    </row>
    <row r="9" spans="1:15">
      <c r="A9" s="6">
        <v>2025</v>
      </c>
      <c r="B9" s="7">
        <v>6</v>
      </c>
      <c r="C9" s="8">
        <v>45833</v>
      </c>
      <c r="D9" s="3" t="s">
        <v>1154</v>
      </c>
      <c r="E9" s="3" t="s">
        <v>1144</v>
      </c>
      <c r="F9" s="3" t="s">
        <v>1145</v>
      </c>
      <c r="G9" s="3" t="s">
        <v>260</v>
      </c>
      <c r="H9" s="3" t="s">
        <v>1138</v>
      </c>
      <c r="I9" s="3" t="s">
        <v>1155</v>
      </c>
      <c r="J9" s="3" t="s">
        <v>21</v>
      </c>
      <c r="K9" s="2">
        <v>96</v>
      </c>
      <c r="L9" s="1">
        <v>36955.08</v>
      </c>
      <c r="M9" s="1">
        <v>3547687.68</v>
      </c>
      <c r="N9" s="1">
        <v>10</v>
      </c>
      <c r="O9" s="1">
        <v>354768.77</v>
      </c>
    </row>
    <row r="10" spans="1:15">
      <c r="A10" s="6">
        <v>2025</v>
      </c>
      <c r="B10" s="7">
        <v>8</v>
      </c>
      <c r="C10" s="8">
        <v>45880</v>
      </c>
      <c r="D10" s="3" t="s">
        <v>1156</v>
      </c>
      <c r="E10" s="3" t="s">
        <v>1140</v>
      </c>
      <c r="F10" s="3" t="s">
        <v>1141</v>
      </c>
      <c r="G10" s="3" t="s">
        <v>18</v>
      </c>
      <c r="H10" s="3" t="s">
        <v>1138</v>
      </c>
      <c r="I10" s="3" t="s">
        <v>1142</v>
      </c>
      <c r="J10" s="3" t="s">
        <v>21</v>
      </c>
      <c r="K10" s="2">
        <v>480</v>
      </c>
      <c r="L10" s="1">
        <v>36955.08</v>
      </c>
      <c r="M10" s="1">
        <v>17738438.399999999</v>
      </c>
      <c r="N10" s="1">
        <v>4</v>
      </c>
      <c r="O10" s="1">
        <v>709537.54</v>
      </c>
    </row>
    <row r="11" spans="1:15">
      <c r="A11" s="6">
        <v>2025</v>
      </c>
      <c r="B11" s="7">
        <v>8</v>
      </c>
      <c r="C11" s="8">
        <v>45888</v>
      </c>
      <c r="D11" s="3" t="s">
        <v>1157</v>
      </c>
      <c r="E11" s="3" t="s">
        <v>1140</v>
      </c>
      <c r="F11" s="3" t="s">
        <v>1148</v>
      </c>
      <c r="G11" s="3"/>
      <c r="H11" s="3" t="s">
        <v>1138</v>
      </c>
      <c r="I11" s="3" t="s">
        <v>1149</v>
      </c>
      <c r="J11" s="3" t="s">
        <v>21</v>
      </c>
      <c r="K11" s="2">
        <v>120</v>
      </c>
      <c r="L11" s="1">
        <v>36955.08</v>
      </c>
      <c r="M11" s="1">
        <v>4434609.5999999996</v>
      </c>
      <c r="N11" s="1">
        <v>15</v>
      </c>
      <c r="O11" s="1">
        <v>665191.43999999994</v>
      </c>
    </row>
    <row r="12" spans="1:15">
      <c r="A12" s="6">
        <v>2025</v>
      </c>
      <c r="B12" s="7">
        <v>8</v>
      </c>
      <c r="C12" s="8">
        <v>45890</v>
      </c>
      <c r="D12" s="3" t="s">
        <v>1158</v>
      </c>
      <c r="E12" s="3" t="s">
        <v>1140</v>
      </c>
      <c r="F12" s="3" t="s">
        <v>1148</v>
      </c>
      <c r="G12" s="3"/>
      <c r="H12" s="3" t="s">
        <v>1138</v>
      </c>
      <c r="I12" s="3" t="s">
        <v>1159</v>
      </c>
      <c r="J12" s="3" t="s">
        <v>21</v>
      </c>
      <c r="K12" s="2">
        <v>60</v>
      </c>
      <c r="L12" s="1">
        <v>36955.08</v>
      </c>
      <c r="M12" s="1">
        <v>2217304.7999999998</v>
      </c>
      <c r="N12" s="1">
        <v>15</v>
      </c>
      <c r="O12" s="1">
        <v>332595.71999999997</v>
      </c>
    </row>
    <row r="13" spans="1:15">
      <c r="A13" s="6">
        <v>2025</v>
      </c>
      <c r="B13" s="7">
        <v>9</v>
      </c>
      <c r="C13" s="8">
        <v>45909</v>
      </c>
      <c r="D13" s="3" t="s">
        <v>1160</v>
      </c>
      <c r="E13" s="3" t="s">
        <v>1140</v>
      </c>
      <c r="F13" s="3" t="s">
        <v>1141</v>
      </c>
      <c r="G13" s="3" t="s">
        <v>18</v>
      </c>
      <c r="H13" s="3" t="s">
        <v>1138</v>
      </c>
      <c r="I13" s="3" t="s">
        <v>1142</v>
      </c>
      <c r="J13" s="3" t="s">
        <v>21</v>
      </c>
      <c r="K13" s="2">
        <v>355</v>
      </c>
      <c r="L13" s="1">
        <v>36955.08</v>
      </c>
      <c r="M13" s="1">
        <v>13119053.4</v>
      </c>
      <c r="N13" s="1">
        <v>4</v>
      </c>
      <c r="O13" s="1">
        <v>524762.14</v>
      </c>
    </row>
    <row r="14" spans="1:15">
      <c r="A14" s="6">
        <v>2025</v>
      </c>
      <c r="B14" s="7">
        <v>9</v>
      </c>
      <c r="C14" s="8">
        <v>45915</v>
      </c>
      <c r="D14" s="3" t="s">
        <v>1161</v>
      </c>
      <c r="E14" s="3" t="s">
        <v>1140</v>
      </c>
      <c r="F14" s="3" t="s">
        <v>1141</v>
      </c>
      <c r="G14" s="3" t="s">
        <v>18</v>
      </c>
      <c r="H14" s="3" t="s">
        <v>1138</v>
      </c>
      <c r="I14" s="3" t="s">
        <v>1142</v>
      </c>
      <c r="J14" s="3" t="s">
        <v>21</v>
      </c>
      <c r="K14" s="2">
        <v>111</v>
      </c>
      <c r="L14" s="1">
        <v>40621</v>
      </c>
      <c r="M14" s="1">
        <v>4508931</v>
      </c>
      <c r="N14" s="1">
        <v>6</v>
      </c>
      <c r="O14" s="1">
        <v>270535.86</v>
      </c>
    </row>
    <row r="15" spans="1:15">
      <c r="A15" s="6">
        <v>2025</v>
      </c>
      <c r="B15" s="7">
        <v>10</v>
      </c>
      <c r="C15" s="8">
        <v>45937</v>
      </c>
      <c r="D15" s="3" t="s">
        <v>1162</v>
      </c>
      <c r="E15" s="3" t="s">
        <v>1140</v>
      </c>
      <c r="F15" s="3" t="s">
        <v>1141</v>
      </c>
      <c r="G15" s="3" t="s">
        <v>18</v>
      </c>
      <c r="H15" s="3" t="s">
        <v>1138</v>
      </c>
      <c r="I15" s="3" t="s">
        <v>1149</v>
      </c>
      <c r="J15" s="3" t="s">
        <v>21</v>
      </c>
      <c r="K15" s="2">
        <v>200</v>
      </c>
      <c r="L15" s="1">
        <v>40621</v>
      </c>
      <c r="M15" s="1">
        <v>8124200</v>
      </c>
      <c r="N15" s="1">
        <v>15</v>
      </c>
      <c r="O15" s="1">
        <v>1218630</v>
      </c>
    </row>
    <row r="16" spans="1:15">
      <c r="A16" s="6">
        <v>2025</v>
      </c>
      <c r="B16" s="7">
        <v>10</v>
      </c>
      <c r="C16" s="8">
        <v>45943</v>
      </c>
      <c r="D16" s="3" t="s">
        <v>1163</v>
      </c>
      <c r="E16" s="3" t="s">
        <v>1140</v>
      </c>
      <c r="F16" s="3" t="s">
        <v>1141</v>
      </c>
      <c r="G16" s="3" t="s">
        <v>18</v>
      </c>
      <c r="H16" s="3" t="s">
        <v>1138</v>
      </c>
      <c r="I16" s="3" t="s">
        <v>1142</v>
      </c>
      <c r="J16" s="3" t="s">
        <v>21</v>
      </c>
      <c r="K16" s="2">
        <v>360</v>
      </c>
      <c r="L16" s="1">
        <v>40621</v>
      </c>
      <c r="M16" s="1">
        <v>14623560</v>
      </c>
      <c r="N16" s="1">
        <v>6</v>
      </c>
      <c r="O16" s="1">
        <v>877413.6</v>
      </c>
    </row>
    <row r="17" spans="1:15">
      <c r="A17" s="6">
        <v>2025</v>
      </c>
      <c r="B17" s="7">
        <v>10</v>
      </c>
      <c r="C17" s="8">
        <v>45952</v>
      </c>
      <c r="D17" s="3" t="s">
        <v>1164</v>
      </c>
      <c r="E17" s="3" t="s">
        <v>1165</v>
      </c>
      <c r="F17" s="3" t="s">
        <v>1166</v>
      </c>
      <c r="G17" s="3" t="s">
        <v>260</v>
      </c>
      <c r="H17" s="3" t="s">
        <v>1138</v>
      </c>
      <c r="I17" s="3" t="s">
        <v>1167</v>
      </c>
      <c r="J17" s="3" t="s">
        <v>21</v>
      </c>
      <c r="K17" s="2">
        <v>100</v>
      </c>
      <c r="L17" s="1">
        <v>40621</v>
      </c>
      <c r="M17" s="1">
        <v>4062100</v>
      </c>
      <c r="N17" s="1">
        <v>8</v>
      </c>
      <c r="O17" s="1">
        <v>324968</v>
      </c>
    </row>
    <row r="18" spans="1:15">
      <c r="A18" s="6">
        <v>2025</v>
      </c>
      <c r="B18" s="7">
        <v>11</v>
      </c>
      <c r="C18" s="8">
        <v>45964</v>
      </c>
      <c r="D18" s="3" t="s">
        <v>1168</v>
      </c>
      <c r="E18" s="3" t="s">
        <v>1165</v>
      </c>
      <c r="F18" s="3" t="s">
        <v>1166</v>
      </c>
      <c r="G18" s="3" t="s">
        <v>260</v>
      </c>
      <c r="H18" s="3" t="s">
        <v>1138</v>
      </c>
      <c r="I18" s="3" t="s">
        <v>1167</v>
      </c>
      <c r="J18" s="3" t="s">
        <v>21</v>
      </c>
      <c r="K18" s="2">
        <v>200</v>
      </c>
      <c r="L18" s="1">
        <v>40621</v>
      </c>
      <c r="M18" s="1">
        <v>8124200</v>
      </c>
      <c r="N18" s="1">
        <v>8</v>
      </c>
      <c r="O18" s="1">
        <v>649936</v>
      </c>
    </row>
    <row r="19" spans="1:15">
      <c r="A19" s="6">
        <v>2025</v>
      </c>
      <c r="B19" s="7">
        <v>11</v>
      </c>
      <c r="C19" s="8">
        <v>45964</v>
      </c>
      <c r="D19" s="3" t="s">
        <v>1168</v>
      </c>
      <c r="E19" s="3" t="s">
        <v>1165</v>
      </c>
      <c r="F19" s="3" t="s">
        <v>1166</v>
      </c>
      <c r="G19" s="3" t="s">
        <v>260</v>
      </c>
      <c r="H19" s="3" t="s">
        <v>1138</v>
      </c>
      <c r="I19" s="3" t="s">
        <v>1167</v>
      </c>
      <c r="J19" s="3" t="s">
        <v>21</v>
      </c>
      <c r="K19" s="2">
        <v>4</v>
      </c>
      <c r="L19" s="1">
        <v>36955.08</v>
      </c>
      <c r="M19" s="1">
        <v>147820.32</v>
      </c>
      <c r="N19" s="1">
        <v>8</v>
      </c>
      <c r="O19" s="1">
        <v>11825.63</v>
      </c>
    </row>
    <row r="20" spans="1:15">
      <c r="A20" s="6">
        <v>2025</v>
      </c>
      <c r="B20" s="7">
        <v>11</v>
      </c>
      <c r="C20" s="8">
        <v>45964</v>
      </c>
      <c r="D20" s="3" t="s">
        <v>1169</v>
      </c>
      <c r="E20" s="3" t="s">
        <v>1170</v>
      </c>
      <c r="F20" s="3" t="s">
        <v>1171</v>
      </c>
      <c r="G20" s="3" t="s">
        <v>254</v>
      </c>
      <c r="H20" s="3" t="s">
        <v>1138</v>
      </c>
      <c r="I20" s="3" t="s">
        <v>1172</v>
      </c>
      <c r="J20" s="3" t="s">
        <v>466</v>
      </c>
      <c r="K20" s="2">
        <v>8</v>
      </c>
      <c r="L20" s="1">
        <v>120000</v>
      </c>
      <c r="M20" s="1">
        <v>960000</v>
      </c>
      <c r="N20" s="1">
        <v>13</v>
      </c>
      <c r="O20" s="1">
        <v>124800</v>
      </c>
    </row>
    <row r="21" spans="1:15">
      <c r="A21" s="6">
        <v>2025</v>
      </c>
      <c r="B21" s="7">
        <v>11</v>
      </c>
      <c r="C21" s="8">
        <v>45968</v>
      </c>
      <c r="D21" s="3" t="s">
        <v>1173</v>
      </c>
      <c r="E21" s="3" t="s">
        <v>1170</v>
      </c>
      <c r="F21" s="3" t="s">
        <v>1171</v>
      </c>
      <c r="G21" s="3" t="s">
        <v>254</v>
      </c>
      <c r="H21" s="3" t="s">
        <v>1138</v>
      </c>
      <c r="I21" s="3" t="s">
        <v>1174</v>
      </c>
      <c r="J21" s="3" t="s">
        <v>466</v>
      </c>
      <c r="K21" s="2">
        <v>20</v>
      </c>
      <c r="L21" s="1">
        <v>120000</v>
      </c>
      <c r="M21" s="1">
        <v>2400000</v>
      </c>
      <c r="N21" s="1">
        <v>5</v>
      </c>
      <c r="O21" s="1">
        <v>120000</v>
      </c>
    </row>
    <row r="22" spans="1:15">
      <c r="A22" s="6">
        <v>2025</v>
      </c>
      <c r="B22" s="7">
        <v>11</v>
      </c>
      <c r="C22" s="8">
        <v>45973</v>
      </c>
      <c r="D22" s="3" t="s">
        <v>1175</v>
      </c>
      <c r="E22" s="3" t="s">
        <v>1170</v>
      </c>
      <c r="F22" s="3" t="s">
        <v>1171</v>
      </c>
      <c r="G22" s="3" t="s">
        <v>254</v>
      </c>
      <c r="H22" s="3" t="s">
        <v>1138</v>
      </c>
      <c r="I22" s="3" t="s">
        <v>1176</v>
      </c>
      <c r="J22" s="3" t="s">
        <v>466</v>
      </c>
      <c r="K22" s="2">
        <v>2</v>
      </c>
      <c r="L22" s="1">
        <v>120000</v>
      </c>
      <c r="M22" s="1">
        <v>240000</v>
      </c>
      <c r="N22" s="1">
        <v>10</v>
      </c>
      <c r="O22" s="1">
        <v>24000</v>
      </c>
    </row>
    <row r="23" spans="1:15">
      <c r="A23" s="6">
        <v>2025</v>
      </c>
      <c r="B23" s="7">
        <v>11</v>
      </c>
      <c r="C23" s="8">
        <v>45974</v>
      </c>
      <c r="D23" s="3" t="s">
        <v>1177</v>
      </c>
      <c r="E23" s="3" t="s">
        <v>1170</v>
      </c>
      <c r="F23" s="3" t="s">
        <v>1171</v>
      </c>
      <c r="G23" s="3" t="s">
        <v>254</v>
      </c>
      <c r="H23" s="3" t="s">
        <v>1138</v>
      </c>
      <c r="I23" s="3" t="s">
        <v>1178</v>
      </c>
      <c r="J23" s="3" t="s">
        <v>466</v>
      </c>
      <c r="K23" s="2">
        <v>10</v>
      </c>
      <c r="L23" s="1">
        <v>120000</v>
      </c>
      <c r="M23" s="1">
        <v>1200000</v>
      </c>
      <c r="N23" s="1">
        <v>13</v>
      </c>
      <c r="O23" s="1">
        <v>156000</v>
      </c>
    </row>
    <row r="24" spans="1:15">
      <c r="A24" s="6">
        <v>2025</v>
      </c>
      <c r="B24" s="7">
        <v>11</v>
      </c>
      <c r="C24" s="8">
        <v>45975</v>
      </c>
      <c r="D24" s="3" t="s">
        <v>1179</v>
      </c>
      <c r="E24" s="3" t="s">
        <v>1165</v>
      </c>
      <c r="F24" s="3" t="s">
        <v>1166</v>
      </c>
      <c r="G24" s="3" t="s">
        <v>260</v>
      </c>
      <c r="H24" s="3" t="s">
        <v>1138</v>
      </c>
      <c r="I24" s="3" t="s">
        <v>1180</v>
      </c>
      <c r="J24" s="3" t="s">
        <v>21</v>
      </c>
      <c r="K24" s="2">
        <v>48</v>
      </c>
      <c r="L24" s="1">
        <v>40621</v>
      </c>
      <c r="M24" s="1">
        <v>1949808</v>
      </c>
      <c r="N24" s="1">
        <v>8</v>
      </c>
      <c r="O24" s="1">
        <v>155984.64000000001</v>
      </c>
    </row>
    <row r="25" spans="1:15">
      <c r="A25" s="6">
        <v>2025</v>
      </c>
      <c r="B25" s="7">
        <v>11</v>
      </c>
      <c r="C25" s="8">
        <v>45975</v>
      </c>
      <c r="D25" s="3" t="s">
        <v>1181</v>
      </c>
      <c r="E25" s="3" t="s">
        <v>1182</v>
      </c>
      <c r="F25" s="3" t="s">
        <v>1166</v>
      </c>
      <c r="G25" s="3" t="s">
        <v>260</v>
      </c>
      <c r="H25" s="3" t="s">
        <v>1138</v>
      </c>
      <c r="I25" s="3" t="s">
        <v>1183</v>
      </c>
      <c r="J25" s="3" t="s">
        <v>21</v>
      </c>
      <c r="K25" s="2">
        <v>20</v>
      </c>
      <c r="L25" s="1">
        <v>40621</v>
      </c>
      <c r="M25" s="1">
        <v>812420</v>
      </c>
      <c r="N25" s="1">
        <v>8</v>
      </c>
      <c r="O25" s="1">
        <v>64993.599999999999</v>
      </c>
    </row>
    <row r="26" spans="1:15">
      <c r="A26" s="6">
        <v>2025</v>
      </c>
      <c r="B26" s="7">
        <v>11</v>
      </c>
      <c r="C26" s="8">
        <v>45978</v>
      </c>
      <c r="D26" s="3" t="s">
        <v>1184</v>
      </c>
      <c r="E26" s="3" t="s">
        <v>1170</v>
      </c>
      <c r="F26" s="3" t="s">
        <v>1171</v>
      </c>
      <c r="G26" s="3" t="s">
        <v>254</v>
      </c>
      <c r="H26" s="3" t="s">
        <v>1138</v>
      </c>
      <c r="I26" s="3" t="s">
        <v>1185</v>
      </c>
      <c r="J26" s="3" t="s">
        <v>466</v>
      </c>
      <c r="K26" s="2">
        <v>15</v>
      </c>
      <c r="L26" s="1">
        <v>120000</v>
      </c>
      <c r="M26" s="1">
        <v>1800000</v>
      </c>
      <c r="N26" s="1">
        <v>7</v>
      </c>
      <c r="O26" s="1">
        <v>126000</v>
      </c>
    </row>
    <row r="27" spans="1:15">
      <c r="A27" s="6">
        <v>2025</v>
      </c>
      <c r="B27" s="7">
        <v>11</v>
      </c>
      <c r="C27" s="8">
        <v>45978</v>
      </c>
      <c r="D27" s="3" t="s">
        <v>1186</v>
      </c>
      <c r="E27" s="3" t="s">
        <v>1170</v>
      </c>
      <c r="F27" s="3" t="s">
        <v>1171</v>
      </c>
      <c r="G27" s="3" t="s">
        <v>254</v>
      </c>
      <c r="H27" s="3" t="s">
        <v>1138</v>
      </c>
      <c r="I27" s="3" t="s">
        <v>1187</v>
      </c>
      <c r="J27" s="3" t="s">
        <v>466</v>
      </c>
      <c r="K27" s="2">
        <v>25</v>
      </c>
      <c r="L27" s="1">
        <v>120000</v>
      </c>
      <c r="M27" s="1">
        <v>3000000</v>
      </c>
      <c r="N27" s="1">
        <v>8</v>
      </c>
      <c r="O27" s="1">
        <v>240000</v>
      </c>
    </row>
    <row r="28" spans="1:15">
      <c r="A28" s="6">
        <v>2025</v>
      </c>
      <c r="B28" s="7">
        <v>11</v>
      </c>
      <c r="C28" s="8">
        <v>45978</v>
      </c>
      <c r="D28" s="3" t="s">
        <v>1188</v>
      </c>
      <c r="E28" s="3" t="s">
        <v>1170</v>
      </c>
      <c r="F28" s="3" t="s">
        <v>1171</v>
      </c>
      <c r="G28" s="3" t="s">
        <v>254</v>
      </c>
      <c r="H28" s="3" t="s">
        <v>1138</v>
      </c>
      <c r="I28" s="3" t="s">
        <v>1189</v>
      </c>
      <c r="J28" s="3" t="s">
        <v>466</v>
      </c>
      <c r="K28" s="2">
        <v>50</v>
      </c>
      <c r="L28" s="1">
        <v>120000</v>
      </c>
      <c r="M28" s="1">
        <v>6000000</v>
      </c>
      <c r="N28" s="1">
        <v>6</v>
      </c>
      <c r="O28" s="1">
        <v>360000</v>
      </c>
    </row>
    <row r="29" spans="1:15">
      <c r="A29" s="6">
        <v>2025</v>
      </c>
      <c r="B29" s="7">
        <v>11</v>
      </c>
      <c r="C29" s="8">
        <v>45980</v>
      </c>
      <c r="D29" s="3" t="s">
        <v>1190</v>
      </c>
      <c r="E29" s="3" t="s">
        <v>255</v>
      </c>
      <c r="F29" s="3" t="s">
        <v>32</v>
      </c>
      <c r="G29" s="3" t="s">
        <v>255</v>
      </c>
      <c r="H29" s="3" t="s">
        <v>1138</v>
      </c>
      <c r="I29" s="3" t="s">
        <v>412</v>
      </c>
      <c r="J29" s="3" t="s">
        <v>21</v>
      </c>
      <c r="K29" s="2">
        <v>400</v>
      </c>
      <c r="L29" s="1">
        <v>40621</v>
      </c>
      <c r="M29" s="1">
        <v>16248400</v>
      </c>
      <c r="N29" s="1">
        <v>4</v>
      </c>
      <c r="O29" s="1">
        <v>649936</v>
      </c>
    </row>
    <row r="30" spans="1:15">
      <c r="A30" s="6">
        <v>2025</v>
      </c>
      <c r="B30" s="7">
        <v>11</v>
      </c>
      <c r="C30" s="8">
        <v>45985</v>
      </c>
      <c r="D30" s="3" t="s">
        <v>1191</v>
      </c>
      <c r="E30" s="3" t="s">
        <v>1165</v>
      </c>
      <c r="F30" s="3" t="s">
        <v>1166</v>
      </c>
      <c r="G30" s="3" t="s">
        <v>260</v>
      </c>
      <c r="H30" s="3" t="s">
        <v>1138</v>
      </c>
      <c r="I30" s="3" t="s">
        <v>1192</v>
      </c>
      <c r="J30" s="3" t="s">
        <v>21</v>
      </c>
      <c r="K30" s="2">
        <v>50</v>
      </c>
      <c r="L30" s="1">
        <v>40621</v>
      </c>
      <c r="M30" s="1">
        <v>2031050</v>
      </c>
      <c r="N30" s="1">
        <v>10</v>
      </c>
      <c r="O30" s="1">
        <v>203105</v>
      </c>
    </row>
    <row r="31" spans="1:15">
      <c r="A31" s="6">
        <v>2025</v>
      </c>
      <c r="B31" s="7">
        <v>11</v>
      </c>
      <c r="C31" s="8">
        <v>45986</v>
      </c>
      <c r="D31" s="3" t="s">
        <v>1193</v>
      </c>
      <c r="E31" s="3" t="s">
        <v>1182</v>
      </c>
      <c r="F31" s="3" t="s">
        <v>1166</v>
      </c>
      <c r="G31" s="3" t="s">
        <v>260</v>
      </c>
      <c r="H31" s="3" t="s">
        <v>1138</v>
      </c>
      <c r="I31" s="3" t="s">
        <v>1194</v>
      </c>
      <c r="J31" s="3" t="s">
        <v>21</v>
      </c>
      <c r="K31" s="2">
        <v>15</v>
      </c>
      <c r="L31" s="1">
        <v>40621</v>
      </c>
      <c r="M31" s="1">
        <v>609315</v>
      </c>
      <c r="N31" s="1">
        <v>10</v>
      </c>
      <c r="O31" s="1">
        <v>60931.5</v>
      </c>
    </row>
    <row r="32" spans="1:15">
      <c r="A32" s="6">
        <v>2025</v>
      </c>
      <c r="B32" s="7">
        <v>11</v>
      </c>
      <c r="C32" s="8">
        <v>45986</v>
      </c>
      <c r="D32" s="3" t="s">
        <v>1195</v>
      </c>
      <c r="E32" s="3" t="s">
        <v>1170</v>
      </c>
      <c r="F32" s="3" t="s">
        <v>1171</v>
      </c>
      <c r="G32" s="3" t="s">
        <v>254</v>
      </c>
      <c r="H32" s="3" t="s">
        <v>1138</v>
      </c>
      <c r="I32" s="3" t="s">
        <v>1196</v>
      </c>
      <c r="J32" s="3" t="s">
        <v>466</v>
      </c>
      <c r="K32" s="2">
        <v>10</v>
      </c>
      <c r="L32" s="1">
        <v>120000</v>
      </c>
      <c r="M32" s="1">
        <v>1200000</v>
      </c>
      <c r="N32" s="1">
        <v>13</v>
      </c>
      <c r="O32" s="1">
        <v>156000</v>
      </c>
    </row>
    <row r="33" spans="1:15">
      <c r="A33" s="6">
        <v>2025</v>
      </c>
      <c r="B33" s="7">
        <v>11</v>
      </c>
      <c r="C33" s="8">
        <v>45987</v>
      </c>
      <c r="D33" s="3" t="s">
        <v>1197</v>
      </c>
      <c r="E33" s="3" t="s">
        <v>1140</v>
      </c>
      <c r="F33" s="3" t="s">
        <v>1141</v>
      </c>
      <c r="G33" s="3" t="s">
        <v>18</v>
      </c>
      <c r="H33" s="3" t="s">
        <v>1138</v>
      </c>
      <c r="I33" s="3" t="s">
        <v>1198</v>
      </c>
      <c r="J33" s="3" t="s">
        <v>21</v>
      </c>
      <c r="K33" s="2">
        <v>100</v>
      </c>
      <c r="L33" s="1">
        <v>40621</v>
      </c>
      <c r="M33" s="1">
        <v>4062100</v>
      </c>
      <c r="N33" s="1">
        <v>15</v>
      </c>
      <c r="O33" s="1">
        <v>609315</v>
      </c>
    </row>
    <row r="34" spans="1:15">
      <c r="A34" s="6">
        <v>2025</v>
      </c>
      <c r="B34" s="7">
        <v>11</v>
      </c>
      <c r="C34" s="8">
        <v>45988</v>
      </c>
      <c r="D34" s="3" t="s">
        <v>1199</v>
      </c>
      <c r="E34" s="3" t="s">
        <v>1140</v>
      </c>
      <c r="F34" s="3" t="s">
        <v>1141</v>
      </c>
      <c r="G34" s="3" t="s">
        <v>18</v>
      </c>
      <c r="H34" s="3" t="s">
        <v>1138</v>
      </c>
      <c r="I34" s="3" t="s">
        <v>1200</v>
      </c>
      <c r="J34" s="3" t="s">
        <v>21</v>
      </c>
      <c r="K34" s="2">
        <v>30</v>
      </c>
      <c r="L34" s="1">
        <v>40621</v>
      </c>
      <c r="M34" s="1">
        <v>1218630</v>
      </c>
      <c r="N34" s="1">
        <v>15</v>
      </c>
      <c r="O34" s="1">
        <v>182794.5</v>
      </c>
    </row>
    <row r="35" spans="1:15">
      <c r="A35" s="6">
        <v>2025</v>
      </c>
      <c r="B35" s="7">
        <v>11</v>
      </c>
      <c r="C35" s="8">
        <v>45989</v>
      </c>
      <c r="D35" s="3" t="s">
        <v>1201</v>
      </c>
      <c r="E35" s="3" t="s">
        <v>1170</v>
      </c>
      <c r="F35" s="3" t="s">
        <v>1171</v>
      </c>
      <c r="G35" s="3" t="s">
        <v>254</v>
      </c>
      <c r="H35" s="3" t="s">
        <v>1138</v>
      </c>
      <c r="I35" s="3" t="s">
        <v>1189</v>
      </c>
      <c r="J35" s="3" t="s">
        <v>466</v>
      </c>
      <c r="K35" s="2">
        <v>50</v>
      </c>
      <c r="L35" s="1">
        <v>120000</v>
      </c>
      <c r="M35" s="1">
        <v>6000000</v>
      </c>
      <c r="N35" s="1">
        <v>6</v>
      </c>
      <c r="O35" s="1">
        <v>360000</v>
      </c>
    </row>
    <row r="36" spans="1:15">
      <c r="A36" s="6">
        <v>2025</v>
      </c>
      <c r="B36" s="7">
        <v>12</v>
      </c>
      <c r="C36" s="8">
        <v>46000</v>
      </c>
      <c r="D36" s="3" t="s">
        <v>1202</v>
      </c>
      <c r="E36" s="3" t="s">
        <v>1170</v>
      </c>
      <c r="F36" s="3" t="s">
        <v>1171</v>
      </c>
      <c r="G36" s="3" t="s">
        <v>254</v>
      </c>
      <c r="H36" s="3" t="s">
        <v>1138</v>
      </c>
      <c r="I36" s="3" t="s">
        <v>1189</v>
      </c>
      <c r="J36" s="3" t="s">
        <v>466</v>
      </c>
      <c r="K36" s="2">
        <v>50</v>
      </c>
      <c r="L36" s="1">
        <v>120000</v>
      </c>
      <c r="M36" s="1">
        <v>6000000</v>
      </c>
      <c r="N36" s="1">
        <v>6</v>
      </c>
      <c r="O36" s="1">
        <v>360000</v>
      </c>
    </row>
    <row r="37" spans="1:15">
      <c r="A37" s="6">
        <v>2025</v>
      </c>
      <c r="B37" s="7">
        <v>12</v>
      </c>
      <c r="C37" s="8">
        <v>46001</v>
      </c>
      <c r="D37" s="3" t="s">
        <v>1203</v>
      </c>
      <c r="E37" s="3" t="s">
        <v>1170</v>
      </c>
      <c r="F37" s="3" t="s">
        <v>1171</v>
      </c>
      <c r="G37" s="3" t="s">
        <v>254</v>
      </c>
      <c r="H37" s="3" t="s">
        <v>1138</v>
      </c>
      <c r="I37" s="3" t="s">
        <v>1204</v>
      </c>
      <c r="J37" s="3" t="s">
        <v>466</v>
      </c>
      <c r="K37" s="2">
        <v>5</v>
      </c>
      <c r="L37" s="1">
        <v>120000</v>
      </c>
      <c r="M37" s="1">
        <v>600000</v>
      </c>
      <c r="N37" s="1">
        <v>10</v>
      </c>
      <c r="O37" s="1">
        <v>60000</v>
      </c>
    </row>
    <row r="38" spans="1:15">
      <c r="A38" s="6">
        <v>2025</v>
      </c>
      <c r="B38" s="7">
        <v>12</v>
      </c>
      <c r="C38" s="8">
        <v>46001</v>
      </c>
      <c r="D38" s="3" t="s">
        <v>1205</v>
      </c>
      <c r="E38" s="3" t="s">
        <v>1170</v>
      </c>
      <c r="F38" s="3" t="s">
        <v>1171</v>
      </c>
      <c r="G38" s="3" t="s">
        <v>254</v>
      </c>
      <c r="H38" s="3" t="s">
        <v>1138</v>
      </c>
      <c r="I38" s="3" t="s">
        <v>1196</v>
      </c>
      <c r="J38" s="3" t="s">
        <v>466</v>
      </c>
      <c r="K38" s="2">
        <v>5</v>
      </c>
      <c r="L38" s="1">
        <v>120000</v>
      </c>
      <c r="M38" s="1">
        <v>600000</v>
      </c>
      <c r="N38" s="1">
        <v>13</v>
      </c>
      <c r="O38" s="1">
        <v>78000</v>
      </c>
    </row>
    <row r="39" spans="1:15">
      <c r="A39" s="6">
        <v>2025</v>
      </c>
      <c r="B39" s="7">
        <v>12</v>
      </c>
      <c r="C39" s="8">
        <v>46002</v>
      </c>
      <c r="D39" s="3" t="s">
        <v>1206</v>
      </c>
      <c r="E39" s="3" t="s">
        <v>1170</v>
      </c>
      <c r="F39" s="3" t="s">
        <v>1171</v>
      </c>
      <c r="G39" s="3" t="s">
        <v>254</v>
      </c>
      <c r="H39" s="3" t="s">
        <v>1138</v>
      </c>
      <c r="I39" s="3" t="s">
        <v>1174</v>
      </c>
      <c r="J39" s="3" t="s">
        <v>466</v>
      </c>
      <c r="K39" s="2">
        <v>20</v>
      </c>
      <c r="L39" s="1">
        <v>120000</v>
      </c>
      <c r="M39" s="1">
        <v>2400000</v>
      </c>
      <c r="N39" s="1">
        <v>5</v>
      </c>
      <c r="O39" s="1">
        <v>120000</v>
      </c>
    </row>
    <row r="40" spans="1:15">
      <c r="A40" s="6">
        <v>2025</v>
      </c>
      <c r="B40" s="7">
        <v>12</v>
      </c>
      <c r="C40" s="8">
        <v>46003</v>
      </c>
      <c r="D40" s="3" t="s">
        <v>1207</v>
      </c>
      <c r="E40" s="3" t="s">
        <v>1208</v>
      </c>
      <c r="F40" s="3" t="s">
        <v>1171</v>
      </c>
      <c r="G40" s="3" t="s">
        <v>254</v>
      </c>
      <c r="H40" s="3" t="s">
        <v>1138</v>
      </c>
      <c r="I40" s="3" t="s">
        <v>1209</v>
      </c>
      <c r="J40" s="3" t="s">
        <v>466</v>
      </c>
      <c r="K40" s="2">
        <v>20</v>
      </c>
      <c r="L40" s="1">
        <v>120000</v>
      </c>
      <c r="M40" s="1">
        <v>2400000</v>
      </c>
      <c r="N40" s="1">
        <v>12</v>
      </c>
      <c r="O40" s="1">
        <v>288000</v>
      </c>
    </row>
    <row r="41" spans="1:15">
      <c r="A41" s="6">
        <v>2025</v>
      </c>
      <c r="B41" s="7">
        <v>12</v>
      </c>
      <c r="C41" s="8">
        <v>46003</v>
      </c>
      <c r="D41" s="3" t="s">
        <v>1210</v>
      </c>
      <c r="E41" s="3" t="s">
        <v>1211</v>
      </c>
      <c r="F41" s="3" t="s">
        <v>32</v>
      </c>
      <c r="G41" s="3" t="s">
        <v>255</v>
      </c>
      <c r="H41" s="3" t="s">
        <v>1138</v>
      </c>
      <c r="I41" s="3" t="s">
        <v>412</v>
      </c>
      <c r="J41" s="3" t="s">
        <v>21</v>
      </c>
      <c r="K41" s="2">
        <v>500</v>
      </c>
      <c r="L41" s="1">
        <v>40621</v>
      </c>
      <c r="M41" s="1">
        <v>20310500</v>
      </c>
      <c r="N41" s="1">
        <v>4</v>
      </c>
      <c r="O41" s="1">
        <v>812420</v>
      </c>
    </row>
    <row r="42" spans="1:15">
      <c r="A42" s="6">
        <v>2025</v>
      </c>
      <c r="B42" s="7">
        <v>12</v>
      </c>
      <c r="C42" s="8">
        <v>46008</v>
      </c>
      <c r="D42" s="3" t="s">
        <v>1212</v>
      </c>
      <c r="E42" s="3" t="s">
        <v>1213</v>
      </c>
      <c r="F42" s="3" t="s">
        <v>1141</v>
      </c>
      <c r="G42" s="3" t="s">
        <v>18</v>
      </c>
      <c r="H42" s="3" t="s">
        <v>1138</v>
      </c>
      <c r="I42" s="3" t="s">
        <v>1149</v>
      </c>
      <c r="J42" s="3" t="s">
        <v>21</v>
      </c>
      <c r="K42" s="2">
        <v>60</v>
      </c>
      <c r="L42" s="1">
        <v>40621</v>
      </c>
      <c r="M42" s="1">
        <v>2437260</v>
      </c>
      <c r="N42" s="1">
        <v>15</v>
      </c>
      <c r="O42" s="1">
        <v>365589</v>
      </c>
    </row>
    <row r="43" spans="1:15">
      <c r="A43" s="6">
        <v>2025</v>
      </c>
      <c r="B43" s="7">
        <v>12</v>
      </c>
      <c r="C43" s="8">
        <v>46016</v>
      </c>
      <c r="D43" s="3" t="s">
        <v>1214</v>
      </c>
      <c r="E43" s="3" t="s">
        <v>1165</v>
      </c>
      <c r="F43" s="3" t="s">
        <v>1166</v>
      </c>
      <c r="G43" s="3" t="s">
        <v>260</v>
      </c>
      <c r="H43" s="3" t="s">
        <v>1138</v>
      </c>
      <c r="I43" s="3" t="s">
        <v>1215</v>
      </c>
      <c r="J43" s="3" t="s">
        <v>21</v>
      </c>
      <c r="K43" s="2">
        <v>86</v>
      </c>
      <c r="L43" s="1">
        <v>40621</v>
      </c>
      <c r="M43" s="1">
        <v>3493406</v>
      </c>
      <c r="N43" s="1">
        <v>8</v>
      </c>
      <c r="O43" s="1">
        <v>279472.48</v>
      </c>
    </row>
    <row r="44" spans="1:15">
      <c r="A44" s="6">
        <v>2026</v>
      </c>
      <c r="B44" s="7">
        <v>1</v>
      </c>
      <c r="C44" s="8">
        <v>46028</v>
      </c>
      <c r="D44" s="3" t="s">
        <v>1216</v>
      </c>
      <c r="E44" s="3" t="s">
        <v>1182</v>
      </c>
      <c r="F44" s="3" t="s">
        <v>1166</v>
      </c>
      <c r="G44" s="3" t="s">
        <v>260</v>
      </c>
      <c r="H44" s="3" t="s">
        <v>1138</v>
      </c>
      <c r="I44" s="3" t="s">
        <v>1217</v>
      </c>
      <c r="J44" s="3" t="s">
        <v>21</v>
      </c>
      <c r="K44" s="2">
        <v>50</v>
      </c>
      <c r="L44" s="1">
        <v>40621</v>
      </c>
      <c r="M44" s="1">
        <v>2031050</v>
      </c>
      <c r="N44" s="1">
        <v>8</v>
      </c>
      <c r="O44" s="1">
        <v>162484</v>
      </c>
    </row>
    <row r="45" spans="1:15">
      <c r="A45" s="6">
        <v>2026</v>
      </c>
      <c r="B45" s="7">
        <v>1</v>
      </c>
      <c r="C45" s="8">
        <v>46028</v>
      </c>
      <c r="D45" s="3" t="s">
        <v>1218</v>
      </c>
      <c r="E45" s="3" t="s">
        <v>1170</v>
      </c>
      <c r="F45" s="3" t="s">
        <v>1171</v>
      </c>
      <c r="G45" s="3" t="s">
        <v>254</v>
      </c>
      <c r="H45" s="3" t="s">
        <v>1138</v>
      </c>
      <c r="I45" s="3" t="s">
        <v>1189</v>
      </c>
      <c r="J45" s="3" t="s">
        <v>466</v>
      </c>
      <c r="K45" s="2">
        <v>100</v>
      </c>
      <c r="L45" s="1">
        <v>120000</v>
      </c>
      <c r="M45" s="1">
        <v>12000000</v>
      </c>
      <c r="N45" s="1">
        <v>6</v>
      </c>
      <c r="O45" s="1">
        <v>720000</v>
      </c>
    </row>
    <row r="46" spans="1:15">
      <c r="A46" s="6">
        <v>2026</v>
      </c>
      <c r="B46" s="7">
        <v>1</v>
      </c>
      <c r="C46" s="8">
        <v>46030</v>
      </c>
      <c r="D46" s="3" t="s">
        <v>1219</v>
      </c>
      <c r="E46" s="3" t="s">
        <v>1220</v>
      </c>
      <c r="F46" s="3" t="s">
        <v>1171</v>
      </c>
      <c r="G46" s="3" t="s">
        <v>254</v>
      </c>
      <c r="H46" s="3" t="s">
        <v>1138</v>
      </c>
      <c r="I46" s="3" t="s">
        <v>1221</v>
      </c>
      <c r="J46" s="3" t="s">
        <v>466</v>
      </c>
      <c r="K46" s="2">
        <v>10</v>
      </c>
      <c r="L46" s="1">
        <v>120000</v>
      </c>
      <c r="M46" s="1">
        <v>1200000</v>
      </c>
      <c r="N46" s="1">
        <v>10</v>
      </c>
      <c r="O46" s="1">
        <v>120000</v>
      </c>
    </row>
    <row r="47" spans="1:15">
      <c r="A47" s="6">
        <v>2026</v>
      </c>
      <c r="B47" s="7">
        <v>1</v>
      </c>
      <c r="C47" s="8">
        <v>46031</v>
      </c>
      <c r="D47" s="3" t="s">
        <v>1222</v>
      </c>
      <c r="E47" s="3" t="s">
        <v>1140</v>
      </c>
      <c r="F47" s="3" t="s">
        <v>1141</v>
      </c>
      <c r="G47" s="3" t="s">
        <v>18</v>
      </c>
      <c r="H47" s="3" t="s">
        <v>1138</v>
      </c>
      <c r="I47" s="3" t="s">
        <v>1223</v>
      </c>
      <c r="J47" s="3" t="s">
        <v>21</v>
      </c>
      <c r="K47" s="2">
        <v>100</v>
      </c>
      <c r="L47" s="1">
        <v>40621</v>
      </c>
      <c r="M47" s="1">
        <v>4062100</v>
      </c>
      <c r="N47" s="1">
        <v>15</v>
      </c>
      <c r="O47" s="1">
        <v>609315</v>
      </c>
    </row>
    <row r="48" spans="1:15">
      <c r="A48" s="6">
        <v>2026</v>
      </c>
      <c r="B48" s="7">
        <v>1</v>
      </c>
      <c r="C48" s="8">
        <v>46034</v>
      </c>
      <c r="D48" s="3" t="s">
        <v>1224</v>
      </c>
      <c r="E48" s="3" t="s">
        <v>1170</v>
      </c>
      <c r="F48" s="3" t="s">
        <v>1171</v>
      </c>
      <c r="G48" s="3" t="s">
        <v>254</v>
      </c>
      <c r="H48" s="3" t="s">
        <v>1138</v>
      </c>
      <c r="I48" s="3" t="s">
        <v>1174</v>
      </c>
      <c r="J48" s="3" t="s">
        <v>466</v>
      </c>
      <c r="K48" s="2">
        <v>20</v>
      </c>
      <c r="L48" s="1">
        <v>120000</v>
      </c>
      <c r="M48" s="1">
        <v>2400000</v>
      </c>
      <c r="N48" s="1">
        <v>5</v>
      </c>
      <c r="O48" s="1">
        <v>120000</v>
      </c>
    </row>
    <row r="49" spans="1:15">
      <c r="A49" s="6">
        <v>2026</v>
      </c>
      <c r="B49" s="7">
        <v>1</v>
      </c>
      <c r="C49" s="8">
        <v>46034</v>
      </c>
      <c r="D49" s="3" t="s">
        <v>1225</v>
      </c>
      <c r="E49" s="3" t="s">
        <v>1170</v>
      </c>
      <c r="F49" s="3" t="s">
        <v>1171</v>
      </c>
      <c r="G49" s="3" t="s">
        <v>254</v>
      </c>
      <c r="H49" s="3" t="s">
        <v>1138</v>
      </c>
      <c r="I49" s="3" t="s">
        <v>1172</v>
      </c>
      <c r="J49" s="3" t="s">
        <v>466</v>
      </c>
      <c r="K49" s="2">
        <v>10</v>
      </c>
      <c r="L49" s="1">
        <v>120000</v>
      </c>
      <c r="M49" s="1">
        <v>1200000</v>
      </c>
      <c r="N49" s="1">
        <v>13</v>
      </c>
      <c r="O49" s="1">
        <v>156000</v>
      </c>
    </row>
    <row r="50" spans="1:15">
      <c r="A50" s="6">
        <v>2026</v>
      </c>
      <c r="B50" s="7">
        <v>1</v>
      </c>
      <c r="C50" s="8">
        <v>46037</v>
      </c>
      <c r="D50" s="3" t="s">
        <v>1226</v>
      </c>
      <c r="E50" s="3" t="s">
        <v>1170</v>
      </c>
      <c r="F50" s="3" t="s">
        <v>1171</v>
      </c>
      <c r="G50" s="3" t="s">
        <v>254</v>
      </c>
      <c r="H50" s="3" t="s">
        <v>1138</v>
      </c>
      <c r="I50" s="3" t="s">
        <v>1174</v>
      </c>
      <c r="J50" s="3" t="s">
        <v>466</v>
      </c>
      <c r="K50" s="2">
        <v>20</v>
      </c>
      <c r="L50" s="1">
        <v>120000</v>
      </c>
      <c r="M50" s="1">
        <v>2400000</v>
      </c>
      <c r="N50" s="1">
        <v>5</v>
      </c>
      <c r="O50" s="1">
        <v>120000</v>
      </c>
    </row>
    <row r="51" spans="1:15">
      <c r="A51" s="6">
        <v>2026</v>
      </c>
      <c r="B51" s="7">
        <v>1</v>
      </c>
      <c r="C51" s="8">
        <v>46038</v>
      </c>
      <c r="D51" s="3" t="s">
        <v>1227</v>
      </c>
      <c r="E51" s="3" t="s">
        <v>1170</v>
      </c>
      <c r="F51" s="3" t="s">
        <v>1171</v>
      </c>
      <c r="G51" s="3" t="s">
        <v>254</v>
      </c>
      <c r="H51" s="3" t="s">
        <v>1138</v>
      </c>
      <c r="I51" s="3" t="s">
        <v>1185</v>
      </c>
      <c r="J51" s="3" t="s">
        <v>466</v>
      </c>
      <c r="K51" s="2">
        <v>10</v>
      </c>
      <c r="L51" s="1">
        <v>120000</v>
      </c>
      <c r="M51" s="1">
        <v>1200000</v>
      </c>
      <c r="N51" s="1">
        <v>7</v>
      </c>
      <c r="O51" s="1">
        <v>84000</v>
      </c>
    </row>
    <row r="52" spans="1:15">
      <c r="A52" s="6">
        <v>2026</v>
      </c>
      <c r="B52" s="7">
        <v>1</v>
      </c>
      <c r="C52" s="8">
        <v>46038</v>
      </c>
      <c r="D52" s="3" t="s">
        <v>1228</v>
      </c>
      <c r="E52" s="3" t="s">
        <v>1170</v>
      </c>
      <c r="F52" s="3" t="s">
        <v>1171</v>
      </c>
      <c r="G52" s="3" t="s">
        <v>254</v>
      </c>
      <c r="H52" s="3" t="s">
        <v>1138</v>
      </c>
      <c r="I52" s="3" t="s">
        <v>1229</v>
      </c>
      <c r="J52" s="3" t="s">
        <v>466</v>
      </c>
      <c r="K52" s="2">
        <v>10</v>
      </c>
      <c r="L52" s="1">
        <v>120000</v>
      </c>
      <c r="M52" s="1">
        <v>1200000</v>
      </c>
      <c r="N52" s="1">
        <v>10</v>
      </c>
      <c r="O52" s="1">
        <v>120000</v>
      </c>
    </row>
    <row r="53" spans="1:15">
      <c r="A53" s="6">
        <v>2026</v>
      </c>
      <c r="B53" s="7">
        <v>1</v>
      </c>
      <c r="C53" s="8">
        <v>46041</v>
      </c>
      <c r="D53" s="3" t="s">
        <v>1230</v>
      </c>
      <c r="E53" s="3" t="s">
        <v>1140</v>
      </c>
      <c r="F53" s="3" t="s">
        <v>1141</v>
      </c>
      <c r="G53" s="3" t="s">
        <v>18</v>
      </c>
      <c r="H53" s="3" t="s">
        <v>1138</v>
      </c>
      <c r="I53" s="3" t="s">
        <v>1223</v>
      </c>
      <c r="J53" s="3" t="s">
        <v>21</v>
      </c>
      <c r="K53" s="2">
        <v>200</v>
      </c>
      <c r="L53" s="1">
        <v>40621</v>
      </c>
      <c r="M53" s="1">
        <v>8124200</v>
      </c>
      <c r="N53" s="1">
        <v>15</v>
      </c>
      <c r="O53" s="1">
        <v>1218630</v>
      </c>
    </row>
    <row r="54" spans="1:15">
      <c r="A54" s="6">
        <v>2026</v>
      </c>
      <c r="B54" s="7">
        <v>1</v>
      </c>
      <c r="C54" s="8">
        <v>46042</v>
      </c>
      <c r="D54" s="3" t="s">
        <v>1231</v>
      </c>
      <c r="E54" s="3" t="s">
        <v>1140</v>
      </c>
      <c r="F54" s="3" t="s">
        <v>1141</v>
      </c>
      <c r="G54" s="3" t="s">
        <v>18</v>
      </c>
      <c r="H54" s="3" t="s">
        <v>1138</v>
      </c>
      <c r="I54" s="3" t="s">
        <v>1232</v>
      </c>
      <c r="J54" s="3" t="s">
        <v>21</v>
      </c>
      <c r="K54" s="2">
        <v>50</v>
      </c>
      <c r="L54" s="1">
        <v>40621</v>
      </c>
      <c r="M54" s="1">
        <v>2031050</v>
      </c>
      <c r="N54" s="1">
        <v>15</v>
      </c>
      <c r="O54" s="1">
        <v>304657.5</v>
      </c>
    </row>
    <row r="55" spans="1:15">
      <c r="A55" s="6">
        <v>2026</v>
      </c>
      <c r="B55" s="7">
        <v>1</v>
      </c>
      <c r="C55" s="8">
        <v>46043</v>
      </c>
      <c r="D55" s="3" t="s">
        <v>1233</v>
      </c>
      <c r="E55" s="3" t="s">
        <v>1182</v>
      </c>
      <c r="F55" s="3" t="s">
        <v>1166</v>
      </c>
      <c r="G55" s="3" t="s">
        <v>260</v>
      </c>
      <c r="H55" s="3" t="s">
        <v>1138</v>
      </c>
      <c r="I55" s="3" t="s">
        <v>1234</v>
      </c>
      <c r="J55" s="3" t="s">
        <v>21</v>
      </c>
      <c r="K55" s="2">
        <v>10</v>
      </c>
      <c r="L55" s="1">
        <v>40621</v>
      </c>
      <c r="M55" s="1">
        <v>406210</v>
      </c>
      <c r="N55" s="1">
        <v>10</v>
      </c>
      <c r="O55" s="1">
        <v>40621</v>
      </c>
    </row>
    <row r="56" spans="1:15">
      <c r="A56" s="6">
        <v>2026</v>
      </c>
      <c r="B56" s="7">
        <v>1</v>
      </c>
      <c r="C56" s="8">
        <v>46044</v>
      </c>
      <c r="D56" s="3" t="s">
        <v>1235</v>
      </c>
      <c r="E56" s="3" t="s">
        <v>1170</v>
      </c>
      <c r="F56" s="3" t="s">
        <v>1171</v>
      </c>
      <c r="G56" s="3" t="s">
        <v>254</v>
      </c>
      <c r="H56" s="3" t="s">
        <v>1138</v>
      </c>
      <c r="I56" s="3" t="s">
        <v>1174</v>
      </c>
      <c r="J56" s="3" t="s">
        <v>466</v>
      </c>
      <c r="K56" s="2">
        <v>30</v>
      </c>
      <c r="L56" s="1">
        <v>120000</v>
      </c>
      <c r="M56" s="1">
        <v>3600000</v>
      </c>
      <c r="N56" s="1">
        <v>5</v>
      </c>
      <c r="O56" s="1">
        <v>180000</v>
      </c>
    </row>
    <row r="57" spans="1:15">
      <c r="A57" s="6">
        <v>2026</v>
      </c>
      <c r="B57" s="7">
        <v>1</v>
      </c>
      <c r="C57" s="8">
        <v>46051</v>
      </c>
      <c r="D57" s="3" t="s">
        <v>1236</v>
      </c>
      <c r="E57" s="3" t="s">
        <v>1170</v>
      </c>
      <c r="F57" s="3" t="s">
        <v>1171</v>
      </c>
      <c r="G57" s="3" t="s">
        <v>254</v>
      </c>
      <c r="H57" s="3" t="s">
        <v>1138</v>
      </c>
      <c r="I57" s="3" t="s">
        <v>1174</v>
      </c>
      <c r="J57" s="3" t="s">
        <v>466</v>
      </c>
      <c r="K57" s="2">
        <v>5</v>
      </c>
      <c r="L57" s="1">
        <v>120000</v>
      </c>
      <c r="M57" s="1">
        <v>600000</v>
      </c>
      <c r="N57" s="1">
        <v>5</v>
      </c>
      <c r="O57" s="1">
        <v>30000</v>
      </c>
    </row>
    <row r="58" spans="1:15">
      <c r="A58" s="6">
        <v>2026</v>
      </c>
      <c r="B58" s="7">
        <v>1</v>
      </c>
      <c r="C58" s="8">
        <v>46051</v>
      </c>
      <c r="D58" s="3" t="s">
        <v>1236</v>
      </c>
      <c r="E58" s="3" t="s">
        <v>1170</v>
      </c>
      <c r="F58" s="3" t="s">
        <v>1171</v>
      </c>
      <c r="G58" s="3" t="s">
        <v>254</v>
      </c>
      <c r="H58" s="3" t="s">
        <v>1138</v>
      </c>
      <c r="I58" s="3" t="s">
        <v>1174</v>
      </c>
      <c r="J58" s="3" t="s">
        <v>466</v>
      </c>
      <c r="K58" s="2">
        <v>31</v>
      </c>
      <c r="L58" s="1">
        <v>120000</v>
      </c>
      <c r="M58" s="1">
        <v>3720000</v>
      </c>
      <c r="N58" s="1">
        <v>5</v>
      </c>
      <c r="O58" s="1">
        <v>186000</v>
      </c>
    </row>
    <row r="59" spans="1:15">
      <c r="A59" s="6">
        <v>2026</v>
      </c>
      <c r="B59" s="7">
        <v>1</v>
      </c>
      <c r="C59" s="8">
        <v>46052</v>
      </c>
      <c r="D59" s="3" t="s">
        <v>1237</v>
      </c>
      <c r="E59" s="3" t="s">
        <v>1170</v>
      </c>
      <c r="F59" s="3" t="s">
        <v>1171</v>
      </c>
      <c r="G59" s="3" t="s">
        <v>254</v>
      </c>
      <c r="H59" s="3" t="s">
        <v>1138</v>
      </c>
      <c r="I59" s="3" t="s">
        <v>1185</v>
      </c>
      <c r="J59" s="3" t="s">
        <v>466</v>
      </c>
      <c r="K59" s="2">
        <v>30</v>
      </c>
      <c r="L59" s="1">
        <v>120000</v>
      </c>
      <c r="M59" s="1">
        <v>3600000</v>
      </c>
      <c r="N59" s="1">
        <v>7</v>
      </c>
      <c r="O59" s="1">
        <v>252000</v>
      </c>
    </row>
    <row r="60" spans="1:15">
      <c r="A60" s="6">
        <v>2026</v>
      </c>
      <c r="B60" s="7">
        <v>2</v>
      </c>
      <c r="C60" s="8">
        <v>46056</v>
      </c>
      <c r="D60" s="3" t="s">
        <v>1238</v>
      </c>
      <c r="E60" s="3" t="s">
        <v>1165</v>
      </c>
      <c r="F60" s="3" t="s">
        <v>1166</v>
      </c>
      <c r="G60" s="3" t="s">
        <v>260</v>
      </c>
      <c r="H60" s="3" t="s">
        <v>1138</v>
      </c>
      <c r="I60" s="3" t="s">
        <v>1192</v>
      </c>
      <c r="J60" s="3" t="s">
        <v>21</v>
      </c>
      <c r="K60" s="2">
        <v>50</v>
      </c>
      <c r="L60" s="1">
        <v>40621</v>
      </c>
      <c r="M60" s="1">
        <v>2031050</v>
      </c>
      <c r="N60" s="1">
        <v>10</v>
      </c>
      <c r="O60" s="1">
        <v>203105</v>
      </c>
    </row>
    <row r="61" spans="1:15">
      <c r="A61" s="6">
        <v>2026</v>
      </c>
      <c r="B61" s="7">
        <v>2</v>
      </c>
      <c r="C61" s="8">
        <v>46057</v>
      </c>
      <c r="D61" s="3" t="s">
        <v>1239</v>
      </c>
      <c r="E61" s="3" t="s">
        <v>1140</v>
      </c>
      <c r="F61" s="3" t="s">
        <v>1141</v>
      </c>
      <c r="G61" s="3" t="s">
        <v>18</v>
      </c>
      <c r="H61" s="3" t="s">
        <v>1138</v>
      </c>
      <c r="I61" s="3" t="s">
        <v>1232</v>
      </c>
      <c r="J61" s="3" t="s">
        <v>21</v>
      </c>
      <c r="K61" s="2">
        <v>50</v>
      </c>
      <c r="L61" s="1">
        <v>40621</v>
      </c>
      <c r="M61" s="1">
        <v>2031050</v>
      </c>
      <c r="N61" s="1">
        <v>15</v>
      </c>
      <c r="O61" s="1">
        <v>304657.5</v>
      </c>
    </row>
    <row r="62" spans="1:15">
      <c r="A62" s="6">
        <v>2026</v>
      </c>
      <c r="B62" s="7">
        <v>2</v>
      </c>
      <c r="C62" s="8">
        <v>46058</v>
      </c>
      <c r="D62" s="3" t="s">
        <v>1240</v>
      </c>
      <c r="E62" s="3" t="s">
        <v>1170</v>
      </c>
      <c r="F62" s="3" t="s">
        <v>1171</v>
      </c>
      <c r="G62" s="3" t="s">
        <v>254</v>
      </c>
      <c r="H62" s="3" t="s">
        <v>1138</v>
      </c>
      <c r="I62" s="3" t="s">
        <v>1196</v>
      </c>
      <c r="J62" s="3" t="s">
        <v>466</v>
      </c>
      <c r="K62" s="2">
        <v>15</v>
      </c>
      <c r="L62" s="1">
        <v>120000</v>
      </c>
      <c r="M62" s="1">
        <v>1800000</v>
      </c>
      <c r="N62" s="1">
        <v>13</v>
      </c>
      <c r="O62" s="1">
        <v>234000</v>
      </c>
    </row>
    <row r="63" spans="1:15">
      <c r="A63" s="6">
        <v>2026</v>
      </c>
      <c r="B63" s="7">
        <v>2</v>
      </c>
      <c r="C63" s="8">
        <v>46058</v>
      </c>
      <c r="D63" s="3" t="s">
        <v>1241</v>
      </c>
      <c r="E63" s="3" t="s">
        <v>1170</v>
      </c>
      <c r="F63" s="3" t="s">
        <v>1171</v>
      </c>
      <c r="G63" s="3" t="s">
        <v>254</v>
      </c>
      <c r="H63" s="3" t="s">
        <v>1138</v>
      </c>
      <c r="I63" s="3" t="s">
        <v>1174</v>
      </c>
      <c r="J63" s="3" t="s">
        <v>466</v>
      </c>
      <c r="K63" s="2">
        <v>26</v>
      </c>
      <c r="L63" s="1">
        <v>120000</v>
      </c>
      <c r="M63" s="1">
        <v>3120000</v>
      </c>
      <c r="N63" s="1">
        <v>5</v>
      </c>
      <c r="O63" s="1">
        <v>156000</v>
      </c>
    </row>
    <row r="64" spans="1:15">
      <c r="A64" s="6">
        <v>2026</v>
      </c>
      <c r="B64" s="7">
        <v>2</v>
      </c>
      <c r="C64" s="8">
        <v>46062</v>
      </c>
      <c r="D64" s="3" t="s">
        <v>1242</v>
      </c>
      <c r="E64" s="3" t="s">
        <v>1220</v>
      </c>
      <c r="F64" s="3" t="s">
        <v>1171</v>
      </c>
      <c r="G64" s="3" t="s">
        <v>254</v>
      </c>
      <c r="H64" s="3" t="s">
        <v>1138</v>
      </c>
      <c r="I64" s="3" t="s">
        <v>1243</v>
      </c>
      <c r="J64" s="3" t="s">
        <v>466</v>
      </c>
      <c r="K64" s="2">
        <v>10</v>
      </c>
      <c r="L64" s="1">
        <v>120000</v>
      </c>
      <c r="M64" s="1">
        <v>1200000</v>
      </c>
      <c r="N64" s="1">
        <v>8</v>
      </c>
      <c r="O64" s="1">
        <v>96000</v>
      </c>
    </row>
    <row r="65" spans="1:15">
      <c r="A65" s="6">
        <v>2026</v>
      </c>
      <c r="B65" s="7">
        <v>2</v>
      </c>
      <c r="C65" s="8">
        <v>46069</v>
      </c>
      <c r="D65" s="3" t="s">
        <v>1244</v>
      </c>
      <c r="E65" s="3" t="s">
        <v>1165</v>
      </c>
      <c r="F65" s="3" t="s">
        <v>1166</v>
      </c>
      <c r="G65" s="3" t="s">
        <v>260</v>
      </c>
      <c r="H65" s="3" t="s">
        <v>1138</v>
      </c>
      <c r="I65" s="3" t="s">
        <v>1180</v>
      </c>
      <c r="J65" s="3" t="s">
        <v>21</v>
      </c>
      <c r="K65" s="2">
        <v>48</v>
      </c>
      <c r="L65" s="1">
        <v>40621</v>
      </c>
      <c r="M65" s="1">
        <v>1949808</v>
      </c>
      <c r="N65" s="1">
        <v>8</v>
      </c>
      <c r="O65" s="1">
        <v>155984.64000000001</v>
      </c>
    </row>
    <row r="66" spans="1:15">
      <c r="A66" s="6">
        <v>2026</v>
      </c>
      <c r="B66" s="7">
        <v>2</v>
      </c>
      <c r="C66" s="8">
        <v>46069</v>
      </c>
      <c r="D66" s="3" t="s">
        <v>1245</v>
      </c>
      <c r="E66" s="3" t="s">
        <v>1170</v>
      </c>
      <c r="F66" s="3" t="s">
        <v>1171</v>
      </c>
      <c r="G66" s="3" t="s">
        <v>254</v>
      </c>
      <c r="H66" s="3" t="s">
        <v>1138</v>
      </c>
      <c r="I66" s="3" t="s">
        <v>1178</v>
      </c>
      <c r="J66" s="3" t="s">
        <v>466</v>
      </c>
      <c r="K66" s="2">
        <v>10</v>
      </c>
      <c r="L66" s="1">
        <v>120000</v>
      </c>
      <c r="M66" s="1">
        <v>1200000</v>
      </c>
      <c r="N66" s="1">
        <v>13</v>
      </c>
      <c r="O66" s="1">
        <v>156000</v>
      </c>
    </row>
    <row r="67" spans="1:15">
      <c r="A67" s="6">
        <v>2026</v>
      </c>
      <c r="B67" s="7">
        <v>2</v>
      </c>
      <c r="C67" s="8">
        <v>46073</v>
      </c>
      <c r="D67" s="3" t="s">
        <v>1246</v>
      </c>
      <c r="E67" s="3" t="s">
        <v>1170</v>
      </c>
      <c r="F67" s="3" t="s">
        <v>1171</v>
      </c>
      <c r="G67" s="3" t="s">
        <v>254</v>
      </c>
      <c r="H67" s="3" t="s">
        <v>1138</v>
      </c>
      <c r="I67" s="3" t="s">
        <v>1185</v>
      </c>
      <c r="J67" s="3" t="s">
        <v>466</v>
      </c>
      <c r="K67" s="2">
        <v>20</v>
      </c>
      <c r="L67" s="1">
        <v>120000</v>
      </c>
      <c r="M67" s="1">
        <v>2400000</v>
      </c>
      <c r="N67" s="1">
        <v>7</v>
      </c>
      <c r="O67" s="1">
        <v>168000</v>
      </c>
    </row>
    <row r="68" spans="1:15">
      <c r="A68" s="6">
        <v>2026</v>
      </c>
      <c r="B68" s="7">
        <v>3</v>
      </c>
      <c r="C68" s="8">
        <v>46093</v>
      </c>
      <c r="D68" s="3" t="s">
        <v>1247</v>
      </c>
      <c r="E68" s="3" t="s">
        <v>1170</v>
      </c>
      <c r="F68" s="3" t="s">
        <v>1171</v>
      </c>
      <c r="G68" s="3" t="s">
        <v>254</v>
      </c>
      <c r="H68" s="3" t="s">
        <v>1138</v>
      </c>
      <c r="I68" s="3" t="s">
        <v>1185</v>
      </c>
      <c r="J68" s="3" t="s">
        <v>466</v>
      </c>
      <c r="K68" s="2">
        <v>10</v>
      </c>
      <c r="L68" s="1">
        <v>120000</v>
      </c>
      <c r="M68" s="1">
        <v>1200000</v>
      </c>
      <c r="N68" s="1">
        <v>7</v>
      </c>
      <c r="O68" s="1">
        <v>84000</v>
      </c>
    </row>
    <row r="69" spans="1:15">
      <c r="A69" s="6">
        <v>2026</v>
      </c>
      <c r="B69" s="7">
        <v>3</v>
      </c>
      <c r="C69" s="8">
        <v>46093</v>
      </c>
      <c r="D69" s="3" t="s">
        <v>1248</v>
      </c>
      <c r="E69" s="3" t="s">
        <v>1170</v>
      </c>
      <c r="F69" s="3" t="s">
        <v>1171</v>
      </c>
      <c r="G69" s="3" t="s">
        <v>254</v>
      </c>
      <c r="H69" s="3" t="s">
        <v>1138</v>
      </c>
      <c r="I69" s="3" t="s">
        <v>1174</v>
      </c>
      <c r="J69" s="3" t="s">
        <v>466</v>
      </c>
      <c r="K69" s="2">
        <v>8</v>
      </c>
      <c r="L69" s="1">
        <v>120000</v>
      </c>
      <c r="M69" s="1">
        <v>960000</v>
      </c>
      <c r="N69" s="1">
        <v>5</v>
      </c>
      <c r="O69" s="1">
        <v>48000</v>
      </c>
    </row>
    <row r="70" spans="1:15">
      <c r="A70" s="6">
        <v>2026</v>
      </c>
      <c r="B70" s="7">
        <v>3</v>
      </c>
      <c r="C70" s="8">
        <v>46107</v>
      </c>
      <c r="D70" s="3" t="s">
        <v>1249</v>
      </c>
      <c r="E70" s="3" t="s">
        <v>1170</v>
      </c>
      <c r="F70" s="3" t="s">
        <v>1171</v>
      </c>
      <c r="G70" s="3" t="s">
        <v>254</v>
      </c>
      <c r="H70" s="3" t="s">
        <v>1138</v>
      </c>
      <c r="I70" s="3" t="s">
        <v>1174</v>
      </c>
      <c r="J70" s="3" t="s">
        <v>466</v>
      </c>
      <c r="K70" s="2">
        <v>20</v>
      </c>
      <c r="L70" s="1">
        <v>120000</v>
      </c>
      <c r="M70" s="1">
        <v>2400000</v>
      </c>
      <c r="N70" s="1">
        <v>5</v>
      </c>
      <c r="O70" s="1">
        <v>120000</v>
      </c>
    </row>
    <row r="71" spans="1:15">
      <c r="A71" s="6">
        <v>2026</v>
      </c>
      <c r="B71" s="7">
        <v>4</v>
      </c>
      <c r="C71" s="8">
        <v>46113</v>
      </c>
      <c r="D71" s="3" t="s">
        <v>1250</v>
      </c>
      <c r="E71" s="3" t="s">
        <v>1170</v>
      </c>
      <c r="F71" s="3" t="s">
        <v>1171</v>
      </c>
      <c r="G71" s="3" t="s">
        <v>254</v>
      </c>
      <c r="H71" s="3" t="s">
        <v>1138</v>
      </c>
      <c r="I71" s="3" t="s">
        <v>1187</v>
      </c>
      <c r="J71" s="3" t="s">
        <v>466</v>
      </c>
      <c r="K71" s="2">
        <v>25</v>
      </c>
      <c r="L71" s="1">
        <v>120000</v>
      </c>
      <c r="M71" s="1">
        <v>3000000</v>
      </c>
      <c r="N71" s="1">
        <v>8</v>
      </c>
      <c r="O71" s="1">
        <v>240000</v>
      </c>
    </row>
    <row r="72" spans="1:15">
      <c r="A72" s="6">
        <v>2026</v>
      </c>
      <c r="B72" s="7">
        <v>4</v>
      </c>
      <c r="C72" s="8">
        <v>46114</v>
      </c>
      <c r="D72" s="3" t="s">
        <v>1251</v>
      </c>
      <c r="E72" s="3" t="s">
        <v>1170</v>
      </c>
      <c r="F72" s="3" t="s">
        <v>1171</v>
      </c>
      <c r="G72" s="3" t="s">
        <v>254</v>
      </c>
      <c r="H72" s="3" t="s">
        <v>1138</v>
      </c>
      <c r="I72" s="3" t="s">
        <v>1174</v>
      </c>
      <c r="J72" s="3" t="s">
        <v>466</v>
      </c>
      <c r="K72" s="2">
        <v>20</v>
      </c>
      <c r="L72" s="1">
        <v>120000</v>
      </c>
      <c r="M72" s="1">
        <v>2400000</v>
      </c>
      <c r="N72" s="1">
        <v>5</v>
      </c>
      <c r="O72" s="1">
        <v>120000</v>
      </c>
    </row>
    <row r="73" spans="1:15">
      <c r="A73" s="6">
        <v>2026</v>
      </c>
      <c r="B73" s="7">
        <v>4</v>
      </c>
      <c r="C73" s="8">
        <v>46114</v>
      </c>
      <c r="D73" s="3" t="s">
        <v>1252</v>
      </c>
      <c r="E73" s="3" t="s">
        <v>1165</v>
      </c>
      <c r="F73" s="3" t="s">
        <v>1166</v>
      </c>
      <c r="G73" s="3" t="s">
        <v>260</v>
      </c>
      <c r="H73" s="3" t="s">
        <v>1138</v>
      </c>
      <c r="I73" s="3" t="s">
        <v>1253</v>
      </c>
      <c r="J73" s="3" t="s">
        <v>21</v>
      </c>
      <c r="K73" s="2">
        <v>15</v>
      </c>
      <c r="L73" s="1">
        <v>40621</v>
      </c>
      <c r="M73" s="1">
        <v>609315</v>
      </c>
      <c r="N73" s="1">
        <v>10</v>
      </c>
      <c r="O73" s="1">
        <v>60931.5</v>
      </c>
    </row>
    <row r="74" spans="1:15">
      <c r="A74" s="6">
        <v>2026</v>
      </c>
      <c r="B74" s="7">
        <v>4</v>
      </c>
      <c r="C74" s="8">
        <v>46115</v>
      </c>
      <c r="D74" s="3" t="s">
        <v>1254</v>
      </c>
      <c r="E74" s="3" t="s">
        <v>1140</v>
      </c>
      <c r="F74" s="3" t="s">
        <v>1141</v>
      </c>
      <c r="G74" s="3" t="s">
        <v>18</v>
      </c>
      <c r="H74" s="3" t="s">
        <v>1138</v>
      </c>
      <c r="I74" s="3" t="s">
        <v>1255</v>
      </c>
      <c r="J74" s="3" t="s">
        <v>21</v>
      </c>
      <c r="K74" s="2">
        <v>50</v>
      </c>
      <c r="L74" s="1">
        <v>40621</v>
      </c>
      <c r="M74" s="1">
        <v>2031050</v>
      </c>
      <c r="N74" s="1">
        <v>15</v>
      </c>
      <c r="O74" s="1">
        <v>304657.5</v>
      </c>
    </row>
    <row r="75" spans="1:15">
      <c r="A75" s="6">
        <v>2026</v>
      </c>
      <c r="B75" s="7">
        <v>4</v>
      </c>
      <c r="C75" s="8">
        <v>46115</v>
      </c>
      <c r="D75" s="3" t="s">
        <v>1256</v>
      </c>
      <c r="E75" s="3" t="s">
        <v>1182</v>
      </c>
      <c r="F75" s="3" t="s">
        <v>1166</v>
      </c>
      <c r="G75" s="3" t="s">
        <v>260</v>
      </c>
      <c r="H75" s="3" t="s">
        <v>1138</v>
      </c>
      <c r="I75" s="3" t="s">
        <v>1257</v>
      </c>
      <c r="J75" s="3" t="s">
        <v>21</v>
      </c>
      <c r="K75" s="2">
        <v>20</v>
      </c>
      <c r="L75" s="1">
        <v>40621</v>
      </c>
      <c r="M75" s="1">
        <v>812420</v>
      </c>
      <c r="N75" s="1">
        <v>10</v>
      </c>
      <c r="O75" s="1">
        <v>81242</v>
      </c>
    </row>
    <row r="76" spans="1:15">
      <c r="A76" s="6">
        <v>2026</v>
      </c>
      <c r="B76" s="7">
        <v>4</v>
      </c>
      <c r="C76" s="8">
        <v>46119</v>
      </c>
      <c r="D76" s="3" t="s">
        <v>1258</v>
      </c>
      <c r="E76" s="3" t="s">
        <v>1220</v>
      </c>
      <c r="F76" s="3" t="s">
        <v>1171</v>
      </c>
      <c r="G76" s="3" t="s">
        <v>254</v>
      </c>
      <c r="H76" s="3" t="s">
        <v>1138</v>
      </c>
      <c r="I76" s="3" t="s">
        <v>1243</v>
      </c>
      <c r="J76" s="3" t="s">
        <v>466</v>
      </c>
      <c r="K76" s="2">
        <v>10</v>
      </c>
      <c r="L76" s="1">
        <v>120000</v>
      </c>
      <c r="M76" s="1">
        <v>1200000</v>
      </c>
      <c r="N76" s="1">
        <v>8</v>
      </c>
      <c r="O76" s="1">
        <v>96000</v>
      </c>
    </row>
    <row r="77" spans="1:15">
      <c r="A77" s="6">
        <v>2026</v>
      </c>
      <c r="B77" s="7">
        <v>4</v>
      </c>
      <c r="C77" s="8">
        <v>46121</v>
      </c>
      <c r="D77" s="3" t="s">
        <v>1259</v>
      </c>
      <c r="E77" s="3" t="s">
        <v>1170</v>
      </c>
      <c r="F77" s="3" t="s">
        <v>1171</v>
      </c>
      <c r="G77" s="3" t="s">
        <v>254</v>
      </c>
      <c r="H77" s="3" t="s">
        <v>1138</v>
      </c>
      <c r="I77" s="3" t="s">
        <v>1174</v>
      </c>
      <c r="J77" s="3" t="s">
        <v>466</v>
      </c>
      <c r="K77" s="2">
        <v>60</v>
      </c>
      <c r="L77" s="1">
        <v>120000</v>
      </c>
      <c r="M77" s="1">
        <v>7200000</v>
      </c>
      <c r="N77" s="1">
        <v>5</v>
      </c>
      <c r="O77" s="1">
        <v>360000</v>
      </c>
    </row>
    <row r="78" spans="1:15">
      <c r="A78" s="6">
        <v>2026</v>
      </c>
      <c r="B78" s="7">
        <v>4</v>
      </c>
      <c r="C78" s="8">
        <v>46122</v>
      </c>
      <c r="D78" s="3" t="s">
        <v>1260</v>
      </c>
      <c r="E78" s="3" t="s">
        <v>1182</v>
      </c>
      <c r="F78" s="3" t="s">
        <v>1166</v>
      </c>
      <c r="G78" s="3" t="s">
        <v>260</v>
      </c>
      <c r="H78" s="3" t="s">
        <v>1138</v>
      </c>
      <c r="I78" s="3" t="s">
        <v>1234</v>
      </c>
      <c r="J78" s="3" t="s">
        <v>21</v>
      </c>
      <c r="K78" s="2">
        <v>10</v>
      </c>
      <c r="L78" s="1">
        <v>40621</v>
      </c>
      <c r="M78" s="1">
        <v>406210</v>
      </c>
      <c r="N78" s="1">
        <v>10</v>
      </c>
      <c r="O78" s="1">
        <v>40621</v>
      </c>
    </row>
    <row r="79" spans="1:15">
      <c r="A79" s="6">
        <v>2026</v>
      </c>
      <c r="B79" s="7">
        <v>4</v>
      </c>
      <c r="C79" s="8">
        <v>46125</v>
      </c>
      <c r="D79" s="3" t="s">
        <v>1261</v>
      </c>
      <c r="E79" s="3" t="s">
        <v>1170</v>
      </c>
      <c r="F79" s="3" t="s">
        <v>1171</v>
      </c>
      <c r="G79" s="3" t="s">
        <v>254</v>
      </c>
      <c r="H79" s="3" t="s">
        <v>1138</v>
      </c>
      <c r="I79" s="3" t="s">
        <v>1185</v>
      </c>
      <c r="J79" s="3" t="s">
        <v>466</v>
      </c>
      <c r="K79" s="2">
        <v>20</v>
      </c>
      <c r="L79" s="1">
        <v>120000</v>
      </c>
      <c r="M79" s="1">
        <v>2400000</v>
      </c>
      <c r="N79" s="1">
        <v>7</v>
      </c>
      <c r="O79" s="1">
        <v>168000</v>
      </c>
    </row>
    <row r="80" spans="1:15">
      <c r="A80" s="6">
        <v>2026</v>
      </c>
      <c r="B80" s="7">
        <v>4</v>
      </c>
      <c r="C80" s="8">
        <v>46125</v>
      </c>
      <c r="D80" s="3" t="s">
        <v>1262</v>
      </c>
      <c r="E80" s="3" t="s">
        <v>1263</v>
      </c>
      <c r="F80" s="3" t="s">
        <v>1264</v>
      </c>
      <c r="G80" s="3" t="s">
        <v>273</v>
      </c>
      <c r="H80" s="3" t="s">
        <v>1138</v>
      </c>
      <c r="I80" s="3" t="s">
        <v>1265</v>
      </c>
      <c r="J80" s="3" t="s">
        <v>38</v>
      </c>
      <c r="K80" s="2">
        <v>15</v>
      </c>
      <c r="L80" s="1">
        <v>65000</v>
      </c>
      <c r="M80" s="1">
        <v>975000</v>
      </c>
      <c r="N80" s="1">
        <v>15</v>
      </c>
      <c r="O80" s="1">
        <v>146250</v>
      </c>
    </row>
    <row r="81" spans="1:15">
      <c r="A81" s="6">
        <v>2026</v>
      </c>
      <c r="B81" s="7">
        <v>4</v>
      </c>
      <c r="C81" s="8">
        <v>46125</v>
      </c>
      <c r="D81" s="3" t="s">
        <v>1266</v>
      </c>
      <c r="E81" s="3" t="s">
        <v>1140</v>
      </c>
      <c r="F81" s="3" t="s">
        <v>1141</v>
      </c>
      <c r="G81" s="3" t="s">
        <v>18</v>
      </c>
      <c r="H81" s="3" t="s">
        <v>1138</v>
      </c>
      <c r="I81" s="3" t="s">
        <v>1267</v>
      </c>
      <c r="J81" s="3" t="s">
        <v>21</v>
      </c>
      <c r="K81" s="2">
        <v>17</v>
      </c>
      <c r="L81" s="1">
        <v>40621</v>
      </c>
      <c r="M81" s="1">
        <v>690557</v>
      </c>
      <c r="N81" s="1">
        <v>15</v>
      </c>
      <c r="O81" s="1">
        <v>103583.55</v>
      </c>
    </row>
    <row r="82" spans="1:15">
      <c r="A82" s="6">
        <v>2026</v>
      </c>
      <c r="B82" s="7">
        <v>4</v>
      </c>
      <c r="C82" s="8">
        <v>46125</v>
      </c>
      <c r="D82" s="3" t="s">
        <v>1266</v>
      </c>
      <c r="E82" s="3" t="s">
        <v>1140</v>
      </c>
      <c r="F82" s="3" t="s">
        <v>1141</v>
      </c>
      <c r="G82" s="3" t="s">
        <v>18</v>
      </c>
      <c r="H82" s="3" t="s">
        <v>1138</v>
      </c>
      <c r="I82" s="3" t="s">
        <v>1267</v>
      </c>
      <c r="J82" s="3" t="s">
        <v>21</v>
      </c>
      <c r="K82" s="2">
        <v>103</v>
      </c>
      <c r="L82" s="1">
        <v>40621</v>
      </c>
      <c r="M82" s="1">
        <v>4183963</v>
      </c>
      <c r="N82" s="1">
        <v>15</v>
      </c>
      <c r="O82" s="1">
        <v>627594.44999999995</v>
      </c>
    </row>
    <row r="83" spans="1:15">
      <c r="A83" s="6">
        <v>2026</v>
      </c>
      <c r="B83" s="7">
        <v>4</v>
      </c>
      <c r="C83" s="8">
        <v>46125</v>
      </c>
      <c r="D83" s="3" t="s">
        <v>1268</v>
      </c>
      <c r="E83" s="3" t="s">
        <v>1170</v>
      </c>
      <c r="F83" s="3" t="s">
        <v>1171</v>
      </c>
      <c r="G83" s="3" t="s">
        <v>254</v>
      </c>
      <c r="H83" s="3" t="s">
        <v>1138</v>
      </c>
      <c r="I83" s="3" t="s">
        <v>1189</v>
      </c>
      <c r="J83" s="3" t="s">
        <v>466</v>
      </c>
      <c r="K83" s="2">
        <v>50</v>
      </c>
      <c r="L83" s="1">
        <v>120000</v>
      </c>
      <c r="M83" s="1">
        <v>6000000</v>
      </c>
      <c r="N83" s="1">
        <v>6</v>
      </c>
      <c r="O83" s="1">
        <v>360000</v>
      </c>
    </row>
    <row r="84" spans="1:15">
      <c r="A84" s="6">
        <v>2026</v>
      </c>
      <c r="B84" s="7">
        <v>4</v>
      </c>
      <c r="C84" s="8">
        <v>46126</v>
      </c>
      <c r="D84" s="3" t="s">
        <v>1269</v>
      </c>
      <c r="E84" s="3" t="s">
        <v>1182</v>
      </c>
      <c r="F84" s="3" t="s">
        <v>1166</v>
      </c>
      <c r="G84" s="3" t="s">
        <v>260</v>
      </c>
      <c r="H84" s="3" t="s">
        <v>1138</v>
      </c>
      <c r="I84" s="3" t="s">
        <v>1217</v>
      </c>
      <c r="J84" s="3" t="s">
        <v>21</v>
      </c>
      <c r="K84" s="2">
        <v>50</v>
      </c>
      <c r="L84" s="1">
        <v>40621</v>
      </c>
      <c r="M84" s="1">
        <v>2031050</v>
      </c>
      <c r="N84" s="1">
        <v>10</v>
      </c>
      <c r="O84" s="1">
        <v>203105</v>
      </c>
    </row>
    <row r="85" spans="1:15">
      <c r="A85" s="6">
        <v>2026</v>
      </c>
      <c r="B85" s="7">
        <v>4</v>
      </c>
      <c r="C85" s="8">
        <v>46133</v>
      </c>
      <c r="D85" s="3" t="s">
        <v>1270</v>
      </c>
      <c r="E85" s="3" t="s">
        <v>1271</v>
      </c>
      <c r="F85" s="3" t="s">
        <v>1272</v>
      </c>
      <c r="G85" s="3" t="s">
        <v>273</v>
      </c>
      <c r="H85" s="3" t="s">
        <v>1138</v>
      </c>
      <c r="I85" s="3" t="s">
        <v>1273</v>
      </c>
      <c r="J85" s="3" t="s">
        <v>466</v>
      </c>
      <c r="K85" s="2">
        <v>10</v>
      </c>
      <c r="L85" s="1">
        <v>120000</v>
      </c>
      <c r="M85" s="1">
        <v>1200000</v>
      </c>
      <c r="N85" s="1">
        <v>15</v>
      </c>
      <c r="O85" s="1">
        <v>180000</v>
      </c>
    </row>
    <row r="86" spans="1:15">
      <c r="A86" s="6">
        <v>2026</v>
      </c>
      <c r="B86" s="7">
        <v>4</v>
      </c>
      <c r="C86" s="8">
        <v>46133</v>
      </c>
      <c r="D86" s="3" t="s">
        <v>1274</v>
      </c>
      <c r="E86" s="3" t="s">
        <v>1275</v>
      </c>
      <c r="F86" s="3" t="s">
        <v>1264</v>
      </c>
      <c r="G86" s="3" t="s">
        <v>273</v>
      </c>
      <c r="H86" s="3" t="s">
        <v>1138</v>
      </c>
      <c r="I86" s="3" t="s">
        <v>1187</v>
      </c>
      <c r="J86" s="3" t="s">
        <v>46</v>
      </c>
      <c r="K86" s="2">
        <v>10</v>
      </c>
      <c r="L86" s="1">
        <v>64700</v>
      </c>
      <c r="M86" s="1">
        <v>647000</v>
      </c>
      <c r="N86" s="1">
        <v>15</v>
      </c>
      <c r="O86" s="1">
        <v>97050</v>
      </c>
    </row>
    <row r="87" spans="1:15">
      <c r="A87" s="6">
        <v>2026</v>
      </c>
      <c r="B87" s="7">
        <v>4</v>
      </c>
      <c r="C87" s="8">
        <v>46135</v>
      </c>
      <c r="D87" s="3" t="s">
        <v>1276</v>
      </c>
      <c r="E87" s="3" t="s">
        <v>1170</v>
      </c>
      <c r="F87" s="3" t="s">
        <v>1171</v>
      </c>
      <c r="G87" s="3" t="s">
        <v>254</v>
      </c>
      <c r="H87" s="3" t="s">
        <v>1138</v>
      </c>
      <c r="I87" s="3" t="s">
        <v>1174</v>
      </c>
      <c r="J87" s="3" t="s">
        <v>466</v>
      </c>
      <c r="K87" s="2">
        <v>20</v>
      </c>
      <c r="L87" s="1">
        <v>120000</v>
      </c>
      <c r="M87" s="1">
        <v>2400000</v>
      </c>
      <c r="N87" s="1">
        <v>5</v>
      </c>
      <c r="O87" s="1">
        <v>120000</v>
      </c>
    </row>
    <row r="88" spans="1:15">
      <c r="A88" s="6">
        <v>2026</v>
      </c>
      <c r="B88" s="7">
        <v>4</v>
      </c>
      <c r="C88" s="8">
        <v>46139</v>
      </c>
      <c r="D88" s="3" t="s">
        <v>1277</v>
      </c>
      <c r="E88" s="3" t="s">
        <v>1170</v>
      </c>
      <c r="F88" s="3" t="s">
        <v>1171</v>
      </c>
      <c r="G88" s="3" t="s">
        <v>254</v>
      </c>
      <c r="H88" s="3" t="s">
        <v>1138</v>
      </c>
      <c r="I88" s="3" t="s">
        <v>1174</v>
      </c>
      <c r="J88" s="3" t="s">
        <v>466</v>
      </c>
      <c r="K88" s="2">
        <v>10</v>
      </c>
      <c r="L88" s="1">
        <v>120000</v>
      </c>
      <c r="M88" s="1">
        <v>1200000</v>
      </c>
      <c r="N88" s="1">
        <v>5</v>
      </c>
      <c r="O88" s="1">
        <v>60000</v>
      </c>
    </row>
    <row r="89" spans="1:15">
      <c r="A89" s="6">
        <v>2026</v>
      </c>
      <c r="B89" s="7">
        <v>4</v>
      </c>
      <c r="C89" s="8">
        <v>46140</v>
      </c>
      <c r="D89" s="3" t="s">
        <v>1278</v>
      </c>
      <c r="E89" s="3" t="s">
        <v>1279</v>
      </c>
      <c r="F89" s="3" t="s">
        <v>1280</v>
      </c>
      <c r="G89" s="3" t="s">
        <v>273</v>
      </c>
      <c r="H89" s="3" t="s">
        <v>1138</v>
      </c>
      <c r="I89" s="3" t="s">
        <v>1281</v>
      </c>
      <c r="J89" s="3" t="s">
        <v>38</v>
      </c>
      <c r="K89" s="2">
        <v>10</v>
      </c>
      <c r="L89" s="1">
        <v>65000</v>
      </c>
      <c r="M89" s="1">
        <v>650000</v>
      </c>
      <c r="N89" s="1">
        <v>15</v>
      </c>
      <c r="O89" s="1">
        <v>97500</v>
      </c>
    </row>
    <row r="90" spans="1:15">
      <c r="A90" s="6">
        <v>2026</v>
      </c>
      <c r="B90" s="7">
        <v>4</v>
      </c>
      <c r="C90" s="8">
        <v>46142</v>
      </c>
      <c r="D90" s="3" t="s">
        <v>1282</v>
      </c>
      <c r="E90" s="3" t="s">
        <v>1275</v>
      </c>
      <c r="F90" s="3" t="s">
        <v>1264</v>
      </c>
      <c r="G90" s="3" t="s">
        <v>273</v>
      </c>
      <c r="H90" s="3" t="s">
        <v>1138</v>
      </c>
      <c r="I90" s="3" t="s">
        <v>1283</v>
      </c>
      <c r="J90" s="3" t="s">
        <v>38</v>
      </c>
      <c r="K90" s="2">
        <v>10</v>
      </c>
      <c r="L90" s="1">
        <v>65000</v>
      </c>
      <c r="M90" s="1">
        <v>650000</v>
      </c>
      <c r="N90" s="1">
        <v>15</v>
      </c>
      <c r="O90" s="1">
        <v>97500</v>
      </c>
    </row>
    <row r="91" spans="1:15">
      <c r="A91" s="6">
        <v>2026</v>
      </c>
      <c r="B91" s="7">
        <v>4</v>
      </c>
      <c r="C91" s="8">
        <v>46142</v>
      </c>
      <c r="D91" s="3" t="s">
        <v>1284</v>
      </c>
      <c r="E91" s="3" t="s">
        <v>1279</v>
      </c>
      <c r="F91" s="3" t="s">
        <v>1280</v>
      </c>
      <c r="G91" s="3" t="s">
        <v>273</v>
      </c>
      <c r="H91" s="3" t="s">
        <v>1138</v>
      </c>
      <c r="I91" s="3" t="s">
        <v>1285</v>
      </c>
      <c r="J91" s="3" t="s">
        <v>466</v>
      </c>
      <c r="K91" s="2">
        <v>10</v>
      </c>
      <c r="L91" s="1">
        <v>120000</v>
      </c>
      <c r="M91" s="1">
        <v>1200000</v>
      </c>
      <c r="N91" s="1">
        <v>15</v>
      </c>
      <c r="O91" s="1">
        <v>180000</v>
      </c>
    </row>
    <row r="92" spans="1:15">
      <c r="A92" s="6">
        <v>2026</v>
      </c>
      <c r="B92" s="7">
        <v>5</v>
      </c>
      <c r="C92" s="8">
        <v>46143</v>
      </c>
      <c r="D92" s="3" t="s">
        <v>1286</v>
      </c>
      <c r="E92" s="3" t="s">
        <v>1170</v>
      </c>
      <c r="F92" s="3" t="s">
        <v>1171</v>
      </c>
      <c r="G92" s="3" t="s">
        <v>254</v>
      </c>
      <c r="H92" s="3" t="s">
        <v>1138</v>
      </c>
      <c r="I92" s="3" t="s">
        <v>1187</v>
      </c>
      <c r="J92" s="3" t="s">
        <v>466</v>
      </c>
      <c r="K92" s="2">
        <v>40</v>
      </c>
      <c r="L92" s="1">
        <v>122400</v>
      </c>
      <c r="M92" s="1">
        <v>4896000</v>
      </c>
      <c r="N92" s="1">
        <v>8</v>
      </c>
      <c r="O92" s="1">
        <v>391680</v>
      </c>
    </row>
    <row r="93" spans="1:15">
      <c r="A93" s="6">
        <v>2026</v>
      </c>
      <c r="B93" s="7">
        <v>5</v>
      </c>
      <c r="C93" s="8">
        <v>46147</v>
      </c>
      <c r="D93" s="3" t="s">
        <v>1287</v>
      </c>
      <c r="E93" s="3" t="s">
        <v>1170</v>
      </c>
      <c r="F93" s="3" t="s">
        <v>1171</v>
      </c>
      <c r="G93" s="3" t="s">
        <v>254</v>
      </c>
      <c r="H93" s="3" t="s">
        <v>1138</v>
      </c>
      <c r="I93" s="3" t="s">
        <v>1178</v>
      </c>
      <c r="J93" s="3" t="s">
        <v>466</v>
      </c>
      <c r="K93" s="2">
        <v>5</v>
      </c>
      <c r="L93" s="1">
        <v>122400</v>
      </c>
      <c r="M93" s="1">
        <v>612000</v>
      </c>
      <c r="N93" s="1">
        <v>12</v>
      </c>
      <c r="O93" s="1">
        <v>73440</v>
      </c>
    </row>
    <row r="94" spans="1:15">
      <c r="A94" s="6">
        <v>2026</v>
      </c>
      <c r="B94" s="7">
        <v>5</v>
      </c>
      <c r="C94" s="8">
        <v>46149</v>
      </c>
      <c r="D94" s="3" t="s">
        <v>1288</v>
      </c>
      <c r="E94" s="3" t="s">
        <v>1263</v>
      </c>
      <c r="F94" s="3" t="s">
        <v>1264</v>
      </c>
      <c r="G94" s="3" t="s">
        <v>273</v>
      </c>
      <c r="H94" s="3" t="s">
        <v>1138</v>
      </c>
      <c r="I94" s="3" t="s">
        <v>1265</v>
      </c>
      <c r="J94" s="3" t="s">
        <v>38</v>
      </c>
      <c r="K94" s="2">
        <v>30</v>
      </c>
      <c r="L94" s="1">
        <v>65000</v>
      </c>
      <c r="M94" s="1">
        <v>1950000</v>
      </c>
      <c r="N94" s="1">
        <v>15</v>
      </c>
      <c r="O94" s="1">
        <v>292500</v>
      </c>
    </row>
    <row r="95" spans="1:15">
      <c r="A95" s="6">
        <v>2026</v>
      </c>
      <c r="B95" s="7">
        <v>5</v>
      </c>
      <c r="C95" s="8">
        <v>46149</v>
      </c>
      <c r="D95" s="3" t="s">
        <v>1289</v>
      </c>
      <c r="E95" s="3" t="s">
        <v>1290</v>
      </c>
      <c r="F95" s="3" t="s">
        <v>1291</v>
      </c>
      <c r="G95" s="3" t="s">
        <v>273</v>
      </c>
      <c r="H95" s="3" t="s">
        <v>1138</v>
      </c>
      <c r="I95" s="3" t="s">
        <v>1292</v>
      </c>
      <c r="J95" s="3" t="s">
        <v>41</v>
      </c>
      <c r="K95" s="2">
        <v>80</v>
      </c>
      <c r="L95" s="1">
        <v>90000</v>
      </c>
      <c r="M95" s="1">
        <v>7200000</v>
      </c>
      <c r="N95" s="1">
        <v>15</v>
      </c>
      <c r="O95" s="1">
        <v>1080000</v>
      </c>
    </row>
    <row r="96" spans="1:15">
      <c r="A96" s="6">
        <v>2026</v>
      </c>
      <c r="B96" s="7">
        <v>5</v>
      </c>
      <c r="C96" s="8">
        <v>46150</v>
      </c>
      <c r="D96" s="3" t="s">
        <v>1293</v>
      </c>
      <c r="E96" s="3" t="s">
        <v>1279</v>
      </c>
      <c r="F96" s="3" t="s">
        <v>1280</v>
      </c>
      <c r="G96" s="3" t="s">
        <v>273</v>
      </c>
      <c r="H96" s="3" t="s">
        <v>1138</v>
      </c>
      <c r="I96" s="3" t="s">
        <v>1294</v>
      </c>
      <c r="J96" s="3" t="s">
        <v>466</v>
      </c>
      <c r="K96" s="2">
        <v>10</v>
      </c>
      <c r="L96" s="1">
        <v>120000</v>
      </c>
      <c r="M96" s="1">
        <v>1200000</v>
      </c>
      <c r="N96" s="1">
        <v>15</v>
      </c>
      <c r="O96" s="1">
        <v>180000</v>
      </c>
    </row>
    <row r="97" spans="1:15">
      <c r="A97" s="6">
        <v>2026</v>
      </c>
      <c r="B97" s="7">
        <v>5</v>
      </c>
      <c r="C97" s="8">
        <v>46155</v>
      </c>
      <c r="D97" s="3" t="s">
        <v>1295</v>
      </c>
      <c r="E97" s="3" t="s">
        <v>1279</v>
      </c>
      <c r="F97" s="3" t="s">
        <v>1280</v>
      </c>
      <c r="G97" s="3" t="s">
        <v>273</v>
      </c>
      <c r="H97" s="3" t="s">
        <v>1138</v>
      </c>
      <c r="I97" s="3" t="s">
        <v>1296</v>
      </c>
      <c r="J97" s="3" t="s">
        <v>38</v>
      </c>
      <c r="K97" s="2">
        <v>100</v>
      </c>
      <c r="L97" s="1">
        <v>65000</v>
      </c>
      <c r="M97" s="1">
        <v>6500000</v>
      </c>
      <c r="N97" s="1">
        <v>15</v>
      </c>
      <c r="O97" s="1">
        <v>975000</v>
      </c>
    </row>
    <row r="98" spans="1:15">
      <c r="A98" s="6">
        <v>2026</v>
      </c>
      <c r="B98" s="7">
        <v>5</v>
      </c>
      <c r="C98" s="8">
        <v>46156</v>
      </c>
      <c r="D98" s="3" t="s">
        <v>1297</v>
      </c>
      <c r="E98" s="3" t="s">
        <v>1271</v>
      </c>
      <c r="F98" s="3" t="s">
        <v>1272</v>
      </c>
      <c r="G98" s="3" t="s">
        <v>273</v>
      </c>
      <c r="H98" s="3" t="s">
        <v>1138</v>
      </c>
      <c r="I98" s="3" t="s">
        <v>1298</v>
      </c>
      <c r="J98" s="3" t="s">
        <v>466</v>
      </c>
      <c r="K98" s="2">
        <v>20</v>
      </c>
      <c r="L98" s="1">
        <v>120000</v>
      </c>
      <c r="M98" s="1">
        <v>2400000</v>
      </c>
      <c r="N98" s="1">
        <v>15</v>
      </c>
      <c r="O98" s="1">
        <v>360000</v>
      </c>
    </row>
    <row r="99" spans="1:15">
      <c r="A99" s="6">
        <v>2026</v>
      </c>
      <c r="B99" s="7">
        <v>5</v>
      </c>
      <c r="C99" s="8">
        <v>46156</v>
      </c>
      <c r="D99" s="3" t="s">
        <v>1299</v>
      </c>
      <c r="E99" s="3" t="s">
        <v>1170</v>
      </c>
      <c r="F99" s="3" t="s">
        <v>1171</v>
      </c>
      <c r="G99" s="3" t="s">
        <v>254</v>
      </c>
      <c r="H99" s="3" t="s">
        <v>1138</v>
      </c>
      <c r="I99" s="3" t="s">
        <v>1187</v>
      </c>
      <c r="J99" s="3" t="s">
        <v>466</v>
      </c>
      <c r="K99" s="2">
        <v>100</v>
      </c>
      <c r="L99" s="1">
        <v>120000</v>
      </c>
      <c r="M99" s="1">
        <v>12000000</v>
      </c>
      <c r="N99" s="1">
        <v>8</v>
      </c>
      <c r="O99" s="1">
        <v>960000</v>
      </c>
    </row>
    <row r="100" spans="1:15">
      <c r="A100" s="6">
        <v>2026</v>
      </c>
      <c r="B100" s="7">
        <v>5</v>
      </c>
      <c r="C100" s="8">
        <v>46157</v>
      </c>
      <c r="D100" s="3" t="s">
        <v>1300</v>
      </c>
      <c r="E100" s="3" t="s">
        <v>1275</v>
      </c>
      <c r="F100" s="3" t="s">
        <v>1264</v>
      </c>
      <c r="G100" s="3" t="s">
        <v>273</v>
      </c>
      <c r="H100" s="3" t="s">
        <v>1138</v>
      </c>
      <c r="I100" s="3" t="s">
        <v>1187</v>
      </c>
      <c r="J100" s="3" t="s">
        <v>46</v>
      </c>
      <c r="K100" s="2">
        <v>40</v>
      </c>
      <c r="L100" s="1">
        <v>64700</v>
      </c>
      <c r="M100" s="1">
        <v>2588000</v>
      </c>
      <c r="N100" s="1">
        <v>15</v>
      </c>
      <c r="O100" s="1">
        <v>388200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6C62-7A8B-AA4B-82F0-B2842E389419}">
  <dimension ref="A1:M112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3"/>
    </sheetView>
  </sheetViews>
  <sheetFormatPr baseColWidth="10" defaultRowHeight="16"/>
  <cols>
    <col min="1" max="2" width="10.83203125" style="9"/>
    <col min="3" max="3" width="13.83203125" style="9" customWidth="1"/>
    <col min="4" max="4" width="18.1640625" customWidth="1"/>
    <col min="5" max="5" width="23.83203125" bestFit="1" customWidth="1"/>
    <col min="6" max="6" width="24.5" bestFit="1" customWidth="1"/>
    <col min="7" max="7" width="12.1640625" bestFit="1" customWidth="1"/>
    <col min="9" max="9" width="23.83203125" bestFit="1" customWidth="1"/>
    <col min="10" max="10" width="35.5" customWidth="1"/>
    <col min="11" max="11" width="13.83203125" customWidth="1"/>
    <col min="12" max="12" width="11" bestFit="1" customWidth="1"/>
    <col min="13" max="13" width="12.33203125" bestFit="1" customWidth="1"/>
  </cols>
  <sheetData>
    <row r="1" spans="1:13">
      <c r="K1" s="5">
        <f>SUBTOTAL(9,K3:K1048576)</f>
        <v>81627</v>
      </c>
      <c r="M1" s="5">
        <f>SUBTOTAL(9,M3:M1048576)</f>
        <v>820347000</v>
      </c>
    </row>
    <row r="2" spans="1:13" s="11" customForma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>
      <c r="A3" s="14">
        <v>2025</v>
      </c>
      <c r="B3" s="12">
        <v>1</v>
      </c>
      <c r="C3" s="13">
        <v>45688</v>
      </c>
      <c r="D3" s="3" t="s">
        <v>2000</v>
      </c>
      <c r="E3" s="3" t="s">
        <v>2001</v>
      </c>
      <c r="F3" s="3" t="s">
        <v>2002</v>
      </c>
      <c r="G3" s="3" t="s">
        <v>260</v>
      </c>
      <c r="H3" s="3" t="s">
        <v>2003</v>
      </c>
      <c r="I3" s="3" t="s">
        <v>1797</v>
      </c>
      <c r="J3" s="3" t="s">
        <v>21</v>
      </c>
      <c r="K3" s="1">
        <v>7800</v>
      </c>
      <c r="L3" s="1">
        <v>16300</v>
      </c>
      <c r="M3" s="1">
        <v>127140000</v>
      </c>
    </row>
    <row r="4" spans="1:13">
      <c r="A4" s="14">
        <v>2025</v>
      </c>
      <c r="B4" s="12">
        <v>1</v>
      </c>
      <c r="C4" s="13">
        <v>45688</v>
      </c>
      <c r="D4" s="3" t="s">
        <v>2004</v>
      </c>
      <c r="E4" s="3" t="s">
        <v>2005</v>
      </c>
      <c r="F4" s="3" t="s">
        <v>1141</v>
      </c>
      <c r="G4" s="3" t="s">
        <v>260</v>
      </c>
      <c r="H4" s="3" t="s">
        <v>2003</v>
      </c>
      <c r="I4" s="3" t="s">
        <v>2006</v>
      </c>
      <c r="J4" s="3" t="s">
        <v>21</v>
      </c>
      <c r="K4" s="1">
        <v>5000</v>
      </c>
      <c r="L4" s="1"/>
      <c r="M4" s="1"/>
    </row>
    <row r="5" spans="1:13">
      <c r="A5" s="14">
        <v>2025</v>
      </c>
      <c r="B5" s="12">
        <v>2</v>
      </c>
      <c r="C5" s="13">
        <v>45692</v>
      </c>
      <c r="D5" s="3" t="s">
        <v>2007</v>
      </c>
      <c r="E5" s="3" t="s">
        <v>2005</v>
      </c>
      <c r="F5" s="3" t="s">
        <v>1141</v>
      </c>
      <c r="G5" s="3" t="s">
        <v>260</v>
      </c>
      <c r="H5" s="3" t="s">
        <v>2003</v>
      </c>
      <c r="I5" s="3" t="s">
        <v>2006</v>
      </c>
      <c r="J5" s="3" t="s">
        <v>21</v>
      </c>
      <c r="K5" s="1">
        <v>3000</v>
      </c>
      <c r="L5" s="1"/>
      <c r="M5" s="1"/>
    </row>
    <row r="6" spans="1:13">
      <c r="A6" s="14">
        <v>2025</v>
      </c>
      <c r="B6" s="12">
        <v>2</v>
      </c>
      <c r="C6" s="13">
        <v>45698</v>
      </c>
      <c r="D6" s="3" t="s">
        <v>2008</v>
      </c>
      <c r="E6" s="3" t="s">
        <v>1806</v>
      </c>
      <c r="F6" s="3" t="s">
        <v>2009</v>
      </c>
      <c r="G6" s="3" t="s">
        <v>260</v>
      </c>
      <c r="H6" s="3" t="s">
        <v>2003</v>
      </c>
      <c r="I6" s="3" t="s">
        <v>2009</v>
      </c>
      <c r="J6" s="3" t="s">
        <v>21</v>
      </c>
      <c r="K6" s="1">
        <v>5000</v>
      </c>
      <c r="L6" s="1"/>
      <c r="M6" s="1"/>
    </row>
    <row r="7" spans="1:13">
      <c r="A7" s="14">
        <v>2025</v>
      </c>
      <c r="B7" s="12">
        <v>2</v>
      </c>
      <c r="C7" s="13">
        <v>45714</v>
      </c>
      <c r="D7" s="3" t="s">
        <v>2010</v>
      </c>
      <c r="E7" s="3" t="s">
        <v>2011</v>
      </c>
      <c r="F7" s="3" t="s">
        <v>2012</v>
      </c>
      <c r="G7" s="3" t="s">
        <v>260</v>
      </c>
      <c r="H7" s="3" t="s">
        <v>2003</v>
      </c>
      <c r="I7" s="3" t="s">
        <v>2011</v>
      </c>
      <c r="J7" s="3" t="s">
        <v>21</v>
      </c>
      <c r="K7" s="2">
        <v>480</v>
      </c>
      <c r="L7" s="1"/>
      <c r="M7" s="1"/>
    </row>
    <row r="8" spans="1:13">
      <c r="A8" s="14">
        <v>2025</v>
      </c>
      <c r="B8" s="12">
        <v>2</v>
      </c>
      <c r="C8" s="13">
        <v>45714</v>
      </c>
      <c r="D8" s="3" t="s">
        <v>2013</v>
      </c>
      <c r="E8" s="3" t="s">
        <v>1806</v>
      </c>
      <c r="F8" s="3" t="s">
        <v>2014</v>
      </c>
      <c r="G8" s="3" t="s">
        <v>260</v>
      </c>
      <c r="H8" s="3" t="s">
        <v>2003</v>
      </c>
      <c r="I8" s="3" t="s">
        <v>2015</v>
      </c>
      <c r="J8" s="3" t="s">
        <v>21</v>
      </c>
      <c r="K8" s="1">
        <v>1200</v>
      </c>
      <c r="L8" s="1"/>
      <c r="M8" s="1"/>
    </row>
    <row r="9" spans="1:13">
      <c r="A9" s="14">
        <v>2025</v>
      </c>
      <c r="B9" s="12">
        <v>2</v>
      </c>
      <c r="C9" s="13">
        <v>45714</v>
      </c>
      <c r="D9" s="3" t="s">
        <v>2016</v>
      </c>
      <c r="E9" s="3" t="s">
        <v>16</v>
      </c>
      <c r="F9" s="3" t="s">
        <v>1986</v>
      </c>
      <c r="G9" s="3"/>
      <c r="H9" s="3" t="s">
        <v>2003</v>
      </c>
      <c r="I9" s="3" t="s">
        <v>16</v>
      </c>
      <c r="J9" s="3" t="s">
        <v>21</v>
      </c>
      <c r="K9" s="2">
        <v>480</v>
      </c>
      <c r="L9" s="1"/>
      <c r="M9" s="1"/>
    </row>
    <row r="10" spans="1:13">
      <c r="A10" s="14">
        <v>2025</v>
      </c>
      <c r="B10" s="12">
        <v>3</v>
      </c>
      <c r="C10" s="13">
        <v>45723</v>
      </c>
      <c r="D10" s="3" t="s">
        <v>2017</v>
      </c>
      <c r="E10" s="3" t="s">
        <v>2018</v>
      </c>
      <c r="F10" s="3" t="s">
        <v>253</v>
      </c>
      <c r="G10" s="3" t="s">
        <v>254</v>
      </c>
      <c r="H10" s="3" t="s">
        <v>2003</v>
      </c>
      <c r="I10" s="3" t="s">
        <v>2018</v>
      </c>
      <c r="J10" s="3" t="s">
        <v>21</v>
      </c>
      <c r="K10" s="2">
        <v>500</v>
      </c>
      <c r="L10" s="1"/>
      <c r="M10" s="1"/>
    </row>
    <row r="11" spans="1:13">
      <c r="A11" s="14">
        <v>2025</v>
      </c>
      <c r="B11" s="12">
        <v>4</v>
      </c>
      <c r="C11" s="13">
        <v>45768</v>
      </c>
      <c r="D11" s="3" t="s">
        <v>2019</v>
      </c>
      <c r="E11" s="3" t="s">
        <v>2020</v>
      </c>
      <c r="F11" s="3" t="s">
        <v>2020</v>
      </c>
      <c r="G11" s="3" t="s">
        <v>18</v>
      </c>
      <c r="H11" s="3" t="s">
        <v>2003</v>
      </c>
      <c r="I11" s="3" t="s">
        <v>2020</v>
      </c>
      <c r="J11" s="3" t="s">
        <v>21</v>
      </c>
      <c r="K11" s="2">
        <v>240</v>
      </c>
      <c r="L11" s="1"/>
      <c r="M11" s="1"/>
    </row>
    <row r="12" spans="1:13">
      <c r="A12" s="14">
        <v>2025</v>
      </c>
      <c r="B12" s="12">
        <v>4</v>
      </c>
      <c r="C12" s="13">
        <v>45768</v>
      </c>
      <c r="D12" s="3" t="s">
        <v>2021</v>
      </c>
      <c r="E12" s="3" t="s">
        <v>2012</v>
      </c>
      <c r="F12" s="3" t="s">
        <v>2012</v>
      </c>
      <c r="G12" s="3" t="s">
        <v>260</v>
      </c>
      <c r="H12" s="3" t="s">
        <v>2003</v>
      </c>
      <c r="I12" s="3" t="s">
        <v>2012</v>
      </c>
      <c r="J12" s="3" t="s">
        <v>21</v>
      </c>
      <c r="K12" s="2">
        <v>500</v>
      </c>
      <c r="L12" s="1"/>
      <c r="M12" s="1"/>
    </row>
    <row r="13" spans="1:13">
      <c r="A13" s="14">
        <v>2025</v>
      </c>
      <c r="B13" s="12">
        <v>4</v>
      </c>
      <c r="C13" s="13">
        <v>45768</v>
      </c>
      <c r="D13" s="3" t="s">
        <v>2022</v>
      </c>
      <c r="E13" s="3" t="s">
        <v>2018</v>
      </c>
      <c r="F13" s="3" t="s">
        <v>253</v>
      </c>
      <c r="G13" s="3" t="s">
        <v>254</v>
      </c>
      <c r="H13" s="3" t="s">
        <v>2003</v>
      </c>
      <c r="I13" s="3" t="s">
        <v>2018</v>
      </c>
      <c r="J13" s="3" t="s">
        <v>21</v>
      </c>
      <c r="K13" s="2">
        <v>600</v>
      </c>
      <c r="L13" s="1">
        <v>19000</v>
      </c>
      <c r="M13" s="1">
        <v>11400000</v>
      </c>
    </row>
    <row r="14" spans="1:13">
      <c r="A14" s="14">
        <v>2025</v>
      </c>
      <c r="B14" s="12">
        <v>4</v>
      </c>
      <c r="C14" s="13">
        <v>45769</v>
      </c>
      <c r="D14" s="3" t="s">
        <v>2023</v>
      </c>
      <c r="E14" s="3" t="s">
        <v>2024</v>
      </c>
      <c r="F14" s="3" t="s">
        <v>2024</v>
      </c>
      <c r="G14" s="3" t="s">
        <v>260</v>
      </c>
      <c r="H14" s="3" t="s">
        <v>2003</v>
      </c>
      <c r="I14" s="3" t="s">
        <v>2024</v>
      </c>
      <c r="J14" s="3" t="s">
        <v>21</v>
      </c>
      <c r="K14" s="1">
        <v>1200</v>
      </c>
      <c r="L14" s="1">
        <v>16300</v>
      </c>
      <c r="M14" s="1">
        <v>19560000</v>
      </c>
    </row>
    <row r="15" spans="1:13">
      <c r="A15" s="14">
        <v>2025</v>
      </c>
      <c r="B15" s="12">
        <v>4</v>
      </c>
      <c r="C15" s="13">
        <v>45770</v>
      </c>
      <c r="D15" s="3" t="s">
        <v>2025</v>
      </c>
      <c r="E15" s="3" t="s">
        <v>2005</v>
      </c>
      <c r="F15" s="3" t="s">
        <v>2026</v>
      </c>
      <c r="G15" s="3" t="s">
        <v>2005</v>
      </c>
      <c r="H15" s="3" t="s">
        <v>2003</v>
      </c>
      <c r="I15" s="3" t="s">
        <v>2006</v>
      </c>
      <c r="J15" s="3" t="s">
        <v>21</v>
      </c>
      <c r="K15" s="1">
        <v>1200</v>
      </c>
      <c r="L15" s="1"/>
      <c r="M15" s="1"/>
    </row>
    <row r="16" spans="1:13">
      <c r="A16" s="14">
        <v>2025</v>
      </c>
      <c r="B16" s="12">
        <v>4</v>
      </c>
      <c r="C16" s="13">
        <v>45770</v>
      </c>
      <c r="D16" s="3" t="s">
        <v>2027</v>
      </c>
      <c r="E16" s="3" t="s">
        <v>2005</v>
      </c>
      <c r="F16" s="3" t="s">
        <v>2026</v>
      </c>
      <c r="G16" s="3" t="s">
        <v>2005</v>
      </c>
      <c r="H16" s="3" t="s">
        <v>2003</v>
      </c>
      <c r="I16" s="3" t="s">
        <v>2006</v>
      </c>
      <c r="J16" s="3" t="s">
        <v>21</v>
      </c>
      <c r="K16" s="1">
        <v>1200</v>
      </c>
      <c r="L16" s="1"/>
      <c r="M16" s="1"/>
    </row>
    <row r="17" spans="1:13">
      <c r="A17" s="14">
        <v>2025</v>
      </c>
      <c r="B17" s="12">
        <v>5</v>
      </c>
      <c r="C17" s="13">
        <v>45789</v>
      </c>
      <c r="D17" s="3" t="s">
        <v>2028</v>
      </c>
      <c r="E17" s="3" t="s">
        <v>2029</v>
      </c>
      <c r="F17" s="3" t="s">
        <v>301</v>
      </c>
      <c r="G17" s="3" t="s">
        <v>260</v>
      </c>
      <c r="H17" s="3" t="s">
        <v>2003</v>
      </c>
      <c r="I17" s="3" t="s">
        <v>2030</v>
      </c>
      <c r="J17" s="3" t="s">
        <v>21</v>
      </c>
      <c r="K17" s="2">
        <v>480</v>
      </c>
      <c r="L17" s="1"/>
      <c r="M17" s="1"/>
    </row>
    <row r="18" spans="1:13">
      <c r="A18" s="14">
        <v>2025</v>
      </c>
      <c r="B18" s="12">
        <v>5</v>
      </c>
      <c r="C18" s="13">
        <v>45796</v>
      </c>
      <c r="D18" s="3" t="s">
        <v>2031</v>
      </c>
      <c r="E18" s="3" t="s">
        <v>1806</v>
      </c>
      <c r="F18" s="3" t="s">
        <v>2032</v>
      </c>
      <c r="G18" s="3" t="s">
        <v>18</v>
      </c>
      <c r="H18" s="3" t="s">
        <v>2003</v>
      </c>
      <c r="I18" s="3" t="s">
        <v>2032</v>
      </c>
      <c r="J18" s="3" t="s">
        <v>21</v>
      </c>
      <c r="K18" s="2">
        <v>480</v>
      </c>
      <c r="L18" s="1"/>
      <c r="M18" s="1"/>
    </row>
    <row r="19" spans="1:13">
      <c r="A19" s="14">
        <v>2025</v>
      </c>
      <c r="B19" s="12">
        <v>5</v>
      </c>
      <c r="C19" s="13">
        <v>45799</v>
      </c>
      <c r="D19" s="3" t="s">
        <v>2033</v>
      </c>
      <c r="E19" s="3" t="s">
        <v>2020</v>
      </c>
      <c r="F19" s="3" t="s">
        <v>2020</v>
      </c>
      <c r="G19" s="3" t="s">
        <v>18</v>
      </c>
      <c r="H19" s="3" t="s">
        <v>2003</v>
      </c>
      <c r="I19" s="3" t="s">
        <v>2020</v>
      </c>
      <c r="J19" s="3" t="s">
        <v>21</v>
      </c>
      <c r="K19" s="2">
        <v>240</v>
      </c>
      <c r="L19" s="1"/>
      <c r="M19" s="1"/>
    </row>
    <row r="20" spans="1:13">
      <c r="A20" s="14">
        <v>2025</v>
      </c>
      <c r="B20" s="12">
        <v>6</v>
      </c>
      <c r="C20" s="13">
        <v>45813</v>
      </c>
      <c r="D20" s="3" t="s">
        <v>2034</v>
      </c>
      <c r="E20" s="3" t="s">
        <v>1806</v>
      </c>
      <c r="F20" s="3" t="s">
        <v>2032</v>
      </c>
      <c r="G20" s="3" t="s">
        <v>18</v>
      </c>
      <c r="H20" s="3" t="s">
        <v>2003</v>
      </c>
      <c r="I20" s="3" t="s">
        <v>2032</v>
      </c>
      <c r="J20" s="3" t="s">
        <v>21</v>
      </c>
      <c r="K20" s="2">
        <v>480</v>
      </c>
      <c r="L20" s="1"/>
      <c r="M20" s="1"/>
    </row>
    <row r="21" spans="1:13">
      <c r="A21" s="14">
        <v>2025</v>
      </c>
      <c r="B21" s="12">
        <v>6</v>
      </c>
      <c r="C21" s="13">
        <v>45818</v>
      </c>
      <c r="D21" s="3" t="s">
        <v>2035</v>
      </c>
      <c r="E21" s="3" t="s">
        <v>2005</v>
      </c>
      <c r="F21" s="3" t="s">
        <v>1141</v>
      </c>
      <c r="G21" s="3" t="s">
        <v>260</v>
      </c>
      <c r="H21" s="3" t="s">
        <v>2003</v>
      </c>
      <c r="I21" s="3" t="s">
        <v>2006</v>
      </c>
      <c r="J21" s="3" t="s">
        <v>21</v>
      </c>
      <c r="K21" s="1">
        <v>1200</v>
      </c>
      <c r="L21" s="1"/>
      <c r="M21" s="1"/>
    </row>
    <row r="22" spans="1:13">
      <c r="A22" s="14">
        <v>2025</v>
      </c>
      <c r="B22" s="12">
        <v>6</v>
      </c>
      <c r="C22" s="13">
        <v>45825</v>
      </c>
      <c r="D22" s="3" t="s">
        <v>2036</v>
      </c>
      <c r="E22" s="3" t="s">
        <v>1806</v>
      </c>
      <c r="F22" s="3" t="s">
        <v>2032</v>
      </c>
      <c r="G22" s="3" t="s">
        <v>18</v>
      </c>
      <c r="H22" s="3" t="s">
        <v>2003</v>
      </c>
      <c r="I22" s="3" t="s">
        <v>2032</v>
      </c>
      <c r="J22" s="3" t="s">
        <v>21</v>
      </c>
      <c r="K22" s="2">
        <v>480</v>
      </c>
      <c r="L22" s="1"/>
      <c r="M22" s="1"/>
    </row>
    <row r="23" spans="1:13">
      <c r="A23" s="14">
        <v>2025</v>
      </c>
      <c r="B23" s="12">
        <v>6</v>
      </c>
      <c r="C23" s="13">
        <v>45827</v>
      </c>
      <c r="D23" s="3" t="s">
        <v>2037</v>
      </c>
      <c r="E23" s="3" t="s">
        <v>16</v>
      </c>
      <c r="F23" s="3" t="s">
        <v>1986</v>
      </c>
      <c r="G23" s="3"/>
      <c r="H23" s="3" t="s">
        <v>2003</v>
      </c>
      <c r="I23" s="3" t="s">
        <v>16</v>
      </c>
      <c r="J23" s="3" t="s">
        <v>21</v>
      </c>
      <c r="K23" s="2">
        <v>100</v>
      </c>
      <c r="L23" s="1"/>
      <c r="M23" s="1"/>
    </row>
    <row r="24" spans="1:13">
      <c r="A24" s="14">
        <v>2025</v>
      </c>
      <c r="B24" s="12">
        <v>6</v>
      </c>
      <c r="C24" s="13">
        <v>45828</v>
      </c>
      <c r="D24" s="3" t="s">
        <v>2038</v>
      </c>
      <c r="E24" s="3" t="s">
        <v>2029</v>
      </c>
      <c r="F24" s="3" t="s">
        <v>301</v>
      </c>
      <c r="G24" s="3" t="s">
        <v>260</v>
      </c>
      <c r="H24" s="3" t="s">
        <v>2003</v>
      </c>
      <c r="I24" s="3" t="s">
        <v>2030</v>
      </c>
      <c r="J24" s="3" t="s">
        <v>21</v>
      </c>
      <c r="K24" s="1">
        <v>1000</v>
      </c>
      <c r="L24" s="1"/>
      <c r="M24" s="1"/>
    </row>
    <row r="25" spans="1:13">
      <c r="A25" s="14">
        <v>2025</v>
      </c>
      <c r="B25" s="12">
        <v>7</v>
      </c>
      <c r="C25" s="13">
        <v>45845</v>
      </c>
      <c r="D25" s="3" t="s">
        <v>2039</v>
      </c>
      <c r="E25" s="3" t="s">
        <v>1806</v>
      </c>
      <c r="F25" s="3" t="s">
        <v>2014</v>
      </c>
      <c r="G25" s="3" t="s">
        <v>260</v>
      </c>
      <c r="H25" s="3" t="s">
        <v>2003</v>
      </c>
      <c r="I25" s="3" t="s">
        <v>2015</v>
      </c>
      <c r="J25" s="3" t="s">
        <v>21</v>
      </c>
      <c r="K25" s="2">
        <v>480</v>
      </c>
      <c r="L25" s="1"/>
      <c r="M25" s="1"/>
    </row>
    <row r="26" spans="1:13">
      <c r="A26" s="14">
        <v>2025</v>
      </c>
      <c r="B26" s="12">
        <v>7</v>
      </c>
      <c r="C26" s="13">
        <v>45845</v>
      </c>
      <c r="D26" s="3" t="s">
        <v>2040</v>
      </c>
      <c r="E26" s="3" t="s">
        <v>2005</v>
      </c>
      <c r="F26" s="3" t="s">
        <v>1141</v>
      </c>
      <c r="G26" s="3" t="s">
        <v>260</v>
      </c>
      <c r="H26" s="3" t="s">
        <v>2003</v>
      </c>
      <c r="I26" s="3" t="s">
        <v>2006</v>
      </c>
      <c r="J26" s="3" t="s">
        <v>21</v>
      </c>
      <c r="K26" s="1">
        <v>1200</v>
      </c>
      <c r="L26" s="1"/>
      <c r="M26" s="1"/>
    </row>
    <row r="27" spans="1:13">
      <c r="A27" s="14">
        <v>2025</v>
      </c>
      <c r="B27" s="12">
        <v>7</v>
      </c>
      <c r="C27" s="13">
        <v>45846</v>
      </c>
      <c r="D27" s="3" t="s">
        <v>2041</v>
      </c>
      <c r="E27" s="3" t="s">
        <v>2024</v>
      </c>
      <c r="F27" s="3" t="s">
        <v>2024</v>
      </c>
      <c r="G27" s="3" t="s">
        <v>260</v>
      </c>
      <c r="H27" s="3" t="s">
        <v>2003</v>
      </c>
      <c r="I27" s="3" t="s">
        <v>2024</v>
      </c>
      <c r="J27" s="3" t="s">
        <v>21</v>
      </c>
      <c r="K27" s="1">
        <v>1500</v>
      </c>
      <c r="L27" s="1">
        <v>16300</v>
      </c>
      <c r="M27" s="1">
        <v>24450000</v>
      </c>
    </row>
    <row r="28" spans="1:13">
      <c r="A28" s="14">
        <v>2025</v>
      </c>
      <c r="B28" s="12">
        <v>7</v>
      </c>
      <c r="C28" s="13">
        <v>45848</v>
      </c>
      <c r="D28" s="3" t="s">
        <v>2042</v>
      </c>
      <c r="E28" s="3" t="s">
        <v>2018</v>
      </c>
      <c r="F28" s="3" t="s">
        <v>253</v>
      </c>
      <c r="G28" s="3" t="s">
        <v>254</v>
      </c>
      <c r="H28" s="3" t="s">
        <v>2003</v>
      </c>
      <c r="I28" s="3" t="s">
        <v>2018</v>
      </c>
      <c r="J28" s="3" t="s">
        <v>21</v>
      </c>
      <c r="K28" s="2">
        <v>500</v>
      </c>
      <c r="L28" s="1">
        <v>19000</v>
      </c>
      <c r="M28" s="1">
        <v>9500000</v>
      </c>
    </row>
    <row r="29" spans="1:13">
      <c r="A29" s="14">
        <v>2025</v>
      </c>
      <c r="B29" s="12">
        <v>7</v>
      </c>
      <c r="C29" s="13">
        <v>45849</v>
      </c>
      <c r="D29" s="3" t="s">
        <v>2043</v>
      </c>
      <c r="E29" s="3" t="s">
        <v>16</v>
      </c>
      <c r="F29" s="3" t="s">
        <v>1986</v>
      </c>
      <c r="G29" s="3"/>
      <c r="H29" s="3" t="s">
        <v>2003</v>
      </c>
      <c r="I29" s="3" t="s">
        <v>16</v>
      </c>
      <c r="J29" s="3" t="s">
        <v>21</v>
      </c>
      <c r="K29" s="2">
        <v>300</v>
      </c>
      <c r="L29" s="1"/>
      <c r="M29" s="1"/>
    </row>
    <row r="30" spans="1:13">
      <c r="A30" s="14">
        <v>2025</v>
      </c>
      <c r="B30" s="12">
        <v>7</v>
      </c>
      <c r="C30" s="13">
        <v>45849</v>
      </c>
      <c r="D30" s="3" t="s">
        <v>2044</v>
      </c>
      <c r="E30" s="3" t="s">
        <v>16</v>
      </c>
      <c r="F30" s="3" t="s">
        <v>1986</v>
      </c>
      <c r="G30" s="3"/>
      <c r="H30" s="3" t="s">
        <v>2003</v>
      </c>
      <c r="I30" s="3" t="s">
        <v>16</v>
      </c>
      <c r="J30" s="3" t="s">
        <v>21</v>
      </c>
      <c r="K30" s="2">
        <v>200</v>
      </c>
      <c r="L30" s="1"/>
      <c r="M30" s="1"/>
    </row>
    <row r="31" spans="1:13">
      <c r="A31" s="14">
        <v>2025</v>
      </c>
      <c r="B31" s="12">
        <v>7</v>
      </c>
      <c r="C31" s="13">
        <v>45852</v>
      </c>
      <c r="D31" s="3" t="s">
        <v>2045</v>
      </c>
      <c r="E31" s="3" t="s">
        <v>2029</v>
      </c>
      <c r="F31" s="3" t="s">
        <v>301</v>
      </c>
      <c r="G31" s="3" t="s">
        <v>260</v>
      </c>
      <c r="H31" s="3" t="s">
        <v>2003</v>
      </c>
      <c r="I31" s="3" t="s">
        <v>2030</v>
      </c>
      <c r="J31" s="3" t="s">
        <v>21</v>
      </c>
      <c r="K31" s="1">
        <v>1000</v>
      </c>
      <c r="L31" s="1"/>
      <c r="M31" s="1"/>
    </row>
    <row r="32" spans="1:13">
      <c r="A32" s="14">
        <v>2025</v>
      </c>
      <c r="B32" s="12">
        <v>7</v>
      </c>
      <c r="C32" s="13">
        <v>45853</v>
      </c>
      <c r="D32" s="3" t="s">
        <v>2046</v>
      </c>
      <c r="E32" s="3" t="s">
        <v>2005</v>
      </c>
      <c r="F32" s="3" t="s">
        <v>1141</v>
      </c>
      <c r="G32" s="3" t="s">
        <v>260</v>
      </c>
      <c r="H32" s="3" t="s">
        <v>2003</v>
      </c>
      <c r="I32" s="3" t="s">
        <v>2006</v>
      </c>
      <c r="J32" s="3" t="s">
        <v>21</v>
      </c>
      <c r="K32" s="1">
        <v>2400</v>
      </c>
      <c r="L32" s="1"/>
      <c r="M32" s="1"/>
    </row>
    <row r="33" spans="1:13">
      <c r="A33" s="14">
        <v>2025</v>
      </c>
      <c r="B33" s="12">
        <v>7</v>
      </c>
      <c r="C33" s="13">
        <v>45854</v>
      </c>
      <c r="D33" s="3" t="s">
        <v>2047</v>
      </c>
      <c r="E33" s="3" t="s">
        <v>1806</v>
      </c>
      <c r="F33" s="3" t="s">
        <v>259</v>
      </c>
      <c r="G33" s="3" t="s">
        <v>260</v>
      </c>
      <c r="H33" s="3" t="s">
        <v>2003</v>
      </c>
      <c r="I33" s="3" t="s">
        <v>1806</v>
      </c>
      <c r="J33" s="3" t="s">
        <v>21</v>
      </c>
      <c r="K33" s="1">
        <v>2000</v>
      </c>
      <c r="L33" s="1"/>
      <c r="M33" s="1"/>
    </row>
    <row r="34" spans="1:13">
      <c r="A34" s="14">
        <v>2025</v>
      </c>
      <c r="B34" s="12">
        <v>7</v>
      </c>
      <c r="C34" s="13">
        <v>45855</v>
      </c>
      <c r="D34" s="3" t="s">
        <v>2048</v>
      </c>
      <c r="E34" s="3" t="s">
        <v>1806</v>
      </c>
      <c r="F34" s="3" t="s">
        <v>2009</v>
      </c>
      <c r="G34" s="3" t="s">
        <v>260</v>
      </c>
      <c r="H34" s="3" t="s">
        <v>2003</v>
      </c>
      <c r="I34" s="3" t="s">
        <v>2009</v>
      </c>
      <c r="J34" s="3" t="s">
        <v>21</v>
      </c>
      <c r="K34" s="2">
        <v>480</v>
      </c>
      <c r="L34" s="1"/>
      <c r="M34" s="1"/>
    </row>
    <row r="35" spans="1:13">
      <c r="A35" s="14">
        <v>2025</v>
      </c>
      <c r="B35" s="12">
        <v>8</v>
      </c>
      <c r="C35" s="13">
        <v>45875</v>
      </c>
      <c r="D35" s="3" t="s">
        <v>2049</v>
      </c>
      <c r="E35" s="3" t="s">
        <v>1806</v>
      </c>
      <c r="F35" s="3" t="s">
        <v>2032</v>
      </c>
      <c r="G35" s="3" t="s">
        <v>18</v>
      </c>
      <c r="H35" s="3" t="s">
        <v>2003</v>
      </c>
      <c r="I35" s="3" t="s">
        <v>2032</v>
      </c>
      <c r="J35" s="3" t="s">
        <v>21</v>
      </c>
      <c r="K35" s="2">
        <v>480</v>
      </c>
      <c r="L35" s="1"/>
      <c r="M35" s="1"/>
    </row>
    <row r="36" spans="1:13">
      <c r="A36" s="14">
        <v>2025</v>
      </c>
      <c r="B36" s="12">
        <v>8</v>
      </c>
      <c r="C36" s="13">
        <v>45877</v>
      </c>
      <c r="D36" s="3" t="s">
        <v>2050</v>
      </c>
      <c r="E36" s="3" t="s">
        <v>2029</v>
      </c>
      <c r="F36" s="3" t="s">
        <v>301</v>
      </c>
      <c r="G36" s="3" t="s">
        <v>260</v>
      </c>
      <c r="H36" s="3" t="s">
        <v>2003</v>
      </c>
      <c r="I36" s="3" t="s">
        <v>2030</v>
      </c>
      <c r="J36" s="3" t="s">
        <v>21</v>
      </c>
      <c r="K36" s="1">
        <v>1000</v>
      </c>
      <c r="L36" s="1"/>
      <c r="M36" s="1"/>
    </row>
    <row r="37" spans="1:13">
      <c r="A37" s="14">
        <v>2025</v>
      </c>
      <c r="B37" s="12">
        <v>8</v>
      </c>
      <c r="C37" s="13">
        <v>45884</v>
      </c>
      <c r="D37" s="3" t="s">
        <v>2051</v>
      </c>
      <c r="E37" s="3" t="s">
        <v>2005</v>
      </c>
      <c r="F37" s="3" t="s">
        <v>2026</v>
      </c>
      <c r="G37" s="3" t="s">
        <v>2005</v>
      </c>
      <c r="H37" s="3" t="s">
        <v>2003</v>
      </c>
      <c r="I37" s="3" t="s">
        <v>2006</v>
      </c>
      <c r="J37" s="3" t="s">
        <v>21</v>
      </c>
      <c r="K37" s="2">
        <v>720</v>
      </c>
      <c r="L37" s="1"/>
      <c r="M37" s="1"/>
    </row>
    <row r="38" spans="1:13">
      <c r="A38" s="14">
        <v>2025</v>
      </c>
      <c r="B38" s="12">
        <v>8</v>
      </c>
      <c r="C38" s="13">
        <v>45888</v>
      </c>
      <c r="D38" s="3" t="s">
        <v>2052</v>
      </c>
      <c r="E38" s="3" t="s">
        <v>16</v>
      </c>
      <c r="F38" s="3" t="s">
        <v>2053</v>
      </c>
      <c r="G38" s="3"/>
      <c r="H38" s="3" t="s">
        <v>2003</v>
      </c>
      <c r="I38" s="3" t="s">
        <v>16</v>
      </c>
      <c r="J38" s="3" t="s">
        <v>21</v>
      </c>
      <c r="K38" s="2">
        <v>100</v>
      </c>
      <c r="L38" s="1"/>
      <c r="M38" s="1"/>
    </row>
    <row r="39" spans="1:13">
      <c r="A39" s="14">
        <v>2025</v>
      </c>
      <c r="B39" s="12">
        <v>8</v>
      </c>
      <c r="C39" s="13">
        <v>45889</v>
      </c>
      <c r="D39" s="3" t="s">
        <v>2054</v>
      </c>
      <c r="E39" s="3" t="s">
        <v>2055</v>
      </c>
      <c r="F39" s="3" t="s">
        <v>355</v>
      </c>
      <c r="G39" s="3" t="s">
        <v>306</v>
      </c>
      <c r="H39" s="3" t="s">
        <v>2003</v>
      </c>
      <c r="I39" s="3" t="s">
        <v>2055</v>
      </c>
      <c r="J39" s="3" t="s">
        <v>21</v>
      </c>
      <c r="K39" s="1">
        <v>1000</v>
      </c>
      <c r="L39" s="1">
        <v>18300</v>
      </c>
      <c r="M39" s="1">
        <v>18300000</v>
      </c>
    </row>
    <row r="40" spans="1:13">
      <c r="A40" s="14">
        <v>2025</v>
      </c>
      <c r="B40" s="12">
        <v>8</v>
      </c>
      <c r="C40" s="13">
        <v>45889</v>
      </c>
      <c r="D40" s="3" t="s">
        <v>2056</v>
      </c>
      <c r="E40" s="3" t="s">
        <v>16</v>
      </c>
      <c r="F40" s="3" t="s">
        <v>2053</v>
      </c>
      <c r="G40" s="3"/>
      <c r="H40" s="3" t="s">
        <v>2003</v>
      </c>
      <c r="I40" s="3" t="s">
        <v>16</v>
      </c>
      <c r="J40" s="3" t="s">
        <v>21</v>
      </c>
      <c r="K40" s="2">
        <v>100</v>
      </c>
      <c r="L40" s="1"/>
      <c r="M40" s="1"/>
    </row>
    <row r="41" spans="1:13">
      <c r="A41" s="14">
        <v>2025</v>
      </c>
      <c r="B41" s="12">
        <v>8</v>
      </c>
      <c r="C41" s="13">
        <v>45891</v>
      </c>
      <c r="D41" s="3" t="s">
        <v>2057</v>
      </c>
      <c r="E41" s="3" t="s">
        <v>1806</v>
      </c>
      <c r="F41" s="3" t="s">
        <v>2032</v>
      </c>
      <c r="G41" s="3" t="s">
        <v>18</v>
      </c>
      <c r="H41" s="3" t="s">
        <v>2003</v>
      </c>
      <c r="I41" s="3" t="s">
        <v>2032</v>
      </c>
      <c r="J41" s="3" t="s">
        <v>21</v>
      </c>
      <c r="K41" s="2">
        <v>480</v>
      </c>
      <c r="L41" s="1"/>
      <c r="M41" s="1"/>
    </row>
    <row r="42" spans="1:13">
      <c r="A42" s="14">
        <v>2025</v>
      </c>
      <c r="B42" s="12">
        <v>8</v>
      </c>
      <c r="C42" s="13">
        <v>45894</v>
      </c>
      <c r="D42" s="3" t="s">
        <v>2058</v>
      </c>
      <c r="E42" s="3" t="s">
        <v>2005</v>
      </c>
      <c r="F42" s="3" t="s">
        <v>2026</v>
      </c>
      <c r="G42" s="3" t="s">
        <v>2005</v>
      </c>
      <c r="H42" s="3" t="s">
        <v>2003</v>
      </c>
      <c r="I42" s="3" t="s">
        <v>2006</v>
      </c>
      <c r="J42" s="3" t="s">
        <v>21</v>
      </c>
      <c r="K42" s="1">
        <v>1200</v>
      </c>
      <c r="L42" s="1"/>
      <c r="M42" s="1"/>
    </row>
    <row r="43" spans="1:13">
      <c r="A43" s="14">
        <v>2025</v>
      </c>
      <c r="B43" s="12">
        <v>8</v>
      </c>
      <c r="C43" s="13">
        <v>45894</v>
      </c>
      <c r="D43" s="3" t="s">
        <v>2059</v>
      </c>
      <c r="E43" s="3" t="s">
        <v>16</v>
      </c>
      <c r="F43" s="3" t="s">
        <v>2053</v>
      </c>
      <c r="G43" s="3"/>
      <c r="H43" s="3" t="s">
        <v>2003</v>
      </c>
      <c r="I43" s="3" t="s">
        <v>16</v>
      </c>
      <c r="J43" s="3" t="s">
        <v>21</v>
      </c>
      <c r="K43" s="2">
        <v>120</v>
      </c>
      <c r="L43" s="1"/>
      <c r="M43" s="1"/>
    </row>
    <row r="44" spans="1:13">
      <c r="A44" s="14">
        <v>2025</v>
      </c>
      <c r="B44" s="12">
        <v>9</v>
      </c>
      <c r="C44" s="13">
        <v>45904</v>
      </c>
      <c r="D44" s="3" t="s">
        <v>2060</v>
      </c>
      <c r="E44" s="3" t="s">
        <v>16</v>
      </c>
      <c r="F44" s="3" t="s">
        <v>2053</v>
      </c>
      <c r="G44" s="3"/>
      <c r="H44" s="3" t="s">
        <v>2003</v>
      </c>
      <c r="I44" s="3" t="s">
        <v>16</v>
      </c>
      <c r="J44" s="3" t="s">
        <v>21</v>
      </c>
      <c r="K44" s="2">
        <v>120</v>
      </c>
      <c r="L44" s="1"/>
      <c r="M44" s="1"/>
    </row>
    <row r="45" spans="1:13">
      <c r="A45" s="14">
        <v>2025</v>
      </c>
      <c r="B45" s="12">
        <v>9</v>
      </c>
      <c r="C45" s="13">
        <v>45908</v>
      </c>
      <c r="D45" s="3" t="s">
        <v>2061</v>
      </c>
      <c r="E45" s="3" t="s">
        <v>2062</v>
      </c>
      <c r="F45" s="3" t="s">
        <v>305</v>
      </c>
      <c r="G45" s="3" t="s">
        <v>306</v>
      </c>
      <c r="H45" s="3" t="s">
        <v>2003</v>
      </c>
      <c r="I45" s="3" t="s">
        <v>2062</v>
      </c>
      <c r="J45" s="3" t="s">
        <v>21</v>
      </c>
      <c r="K45" s="2">
        <v>240</v>
      </c>
      <c r="L45" s="1">
        <v>18300</v>
      </c>
      <c r="M45" s="1">
        <v>4392000</v>
      </c>
    </row>
    <row r="46" spans="1:13">
      <c r="A46" s="14">
        <v>2025</v>
      </c>
      <c r="B46" s="12">
        <v>9</v>
      </c>
      <c r="C46" s="13">
        <v>45909</v>
      </c>
      <c r="D46" s="3" t="s">
        <v>2063</v>
      </c>
      <c r="E46" s="3" t="s">
        <v>2064</v>
      </c>
      <c r="F46" s="3" t="s">
        <v>2002</v>
      </c>
      <c r="G46" s="3" t="s">
        <v>260</v>
      </c>
      <c r="H46" s="3" t="s">
        <v>2003</v>
      </c>
      <c r="I46" s="3" t="s">
        <v>1797</v>
      </c>
      <c r="J46" s="3" t="s">
        <v>21</v>
      </c>
      <c r="K46" s="1">
        <v>1440</v>
      </c>
      <c r="L46" s="1">
        <v>16300</v>
      </c>
      <c r="M46" s="1">
        <v>23472000</v>
      </c>
    </row>
    <row r="47" spans="1:13">
      <c r="A47" s="14">
        <v>2025</v>
      </c>
      <c r="B47" s="12">
        <v>9</v>
      </c>
      <c r="C47" s="13">
        <v>45916</v>
      </c>
      <c r="D47" s="3" t="s">
        <v>2065</v>
      </c>
      <c r="E47" s="3" t="s">
        <v>2005</v>
      </c>
      <c r="F47" s="3" t="s">
        <v>1141</v>
      </c>
      <c r="G47" s="3" t="s">
        <v>260</v>
      </c>
      <c r="H47" s="3" t="s">
        <v>2003</v>
      </c>
      <c r="I47" s="3" t="s">
        <v>2006</v>
      </c>
      <c r="J47" s="3" t="s">
        <v>21</v>
      </c>
      <c r="K47" s="1">
        <v>1200</v>
      </c>
      <c r="L47" s="1"/>
      <c r="M47" s="1"/>
    </row>
    <row r="48" spans="1:13">
      <c r="A48" s="14">
        <v>2025</v>
      </c>
      <c r="B48" s="12">
        <v>9</v>
      </c>
      <c r="C48" s="13">
        <v>45916</v>
      </c>
      <c r="D48" s="3" t="s">
        <v>2066</v>
      </c>
      <c r="E48" s="3" t="s">
        <v>2029</v>
      </c>
      <c r="F48" s="3" t="s">
        <v>301</v>
      </c>
      <c r="G48" s="3" t="s">
        <v>260</v>
      </c>
      <c r="H48" s="3" t="s">
        <v>2003</v>
      </c>
      <c r="I48" s="3" t="s">
        <v>2030</v>
      </c>
      <c r="J48" s="3" t="s">
        <v>21</v>
      </c>
      <c r="K48" s="1">
        <v>1200</v>
      </c>
      <c r="L48" s="1"/>
      <c r="M48" s="1"/>
    </row>
    <row r="49" spans="1:13">
      <c r="A49" s="14">
        <v>2025</v>
      </c>
      <c r="B49" s="12">
        <v>9</v>
      </c>
      <c r="C49" s="13">
        <v>45922</v>
      </c>
      <c r="D49" s="3" t="s">
        <v>2067</v>
      </c>
      <c r="E49" s="3" t="s">
        <v>1806</v>
      </c>
      <c r="F49" s="3" t="s">
        <v>2014</v>
      </c>
      <c r="G49" s="3" t="s">
        <v>260</v>
      </c>
      <c r="H49" s="3" t="s">
        <v>2003</v>
      </c>
      <c r="I49" s="3" t="s">
        <v>2032</v>
      </c>
      <c r="J49" s="3" t="s">
        <v>21</v>
      </c>
      <c r="K49" s="2">
        <v>480</v>
      </c>
      <c r="L49" s="1"/>
      <c r="M49" s="1"/>
    </row>
    <row r="50" spans="1:13">
      <c r="A50" s="14">
        <v>2025</v>
      </c>
      <c r="B50" s="12">
        <v>9</v>
      </c>
      <c r="C50" s="13">
        <v>45929</v>
      </c>
      <c r="D50" s="3" t="s">
        <v>2068</v>
      </c>
      <c r="E50" s="3" t="s">
        <v>2005</v>
      </c>
      <c r="F50" s="3" t="s">
        <v>1141</v>
      </c>
      <c r="G50" s="3" t="s">
        <v>260</v>
      </c>
      <c r="H50" s="3" t="s">
        <v>2003</v>
      </c>
      <c r="I50" s="3" t="s">
        <v>2006</v>
      </c>
      <c r="J50" s="3" t="s">
        <v>21</v>
      </c>
      <c r="K50" s="2">
        <v>480</v>
      </c>
      <c r="L50" s="1"/>
      <c r="M50" s="1"/>
    </row>
    <row r="51" spans="1:13">
      <c r="A51" s="14">
        <v>2025</v>
      </c>
      <c r="B51" s="12">
        <v>9</v>
      </c>
      <c r="C51" s="13">
        <v>45929</v>
      </c>
      <c r="D51" s="3" t="s">
        <v>2069</v>
      </c>
      <c r="E51" s="3" t="s">
        <v>16</v>
      </c>
      <c r="F51" s="3" t="s">
        <v>1986</v>
      </c>
      <c r="G51" s="3"/>
      <c r="H51" s="3" t="s">
        <v>2003</v>
      </c>
      <c r="I51" s="3" t="s">
        <v>16</v>
      </c>
      <c r="J51" s="3" t="s">
        <v>21</v>
      </c>
      <c r="K51" s="2">
        <v>300</v>
      </c>
      <c r="L51" s="1"/>
      <c r="M51" s="1"/>
    </row>
    <row r="52" spans="1:13">
      <c r="A52" s="14">
        <v>2025</v>
      </c>
      <c r="B52" s="12">
        <v>10</v>
      </c>
      <c r="C52" s="13">
        <v>45933</v>
      </c>
      <c r="D52" s="3" t="s">
        <v>2070</v>
      </c>
      <c r="E52" s="3" t="s">
        <v>1806</v>
      </c>
      <c r="F52" s="3" t="s">
        <v>2014</v>
      </c>
      <c r="G52" s="3" t="s">
        <v>260</v>
      </c>
      <c r="H52" s="3" t="s">
        <v>2003</v>
      </c>
      <c r="I52" s="3" t="s">
        <v>2032</v>
      </c>
      <c r="J52" s="3" t="s">
        <v>21</v>
      </c>
      <c r="K52" s="2">
        <v>480</v>
      </c>
      <c r="L52" s="1"/>
      <c r="M52" s="1"/>
    </row>
    <row r="53" spans="1:13">
      <c r="A53" s="14">
        <v>2025</v>
      </c>
      <c r="B53" s="12">
        <v>10</v>
      </c>
      <c r="C53" s="13">
        <v>45938</v>
      </c>
      <c r="D53" s="3" t="s">
        <v>2071</v>
      </c>
      <c r="E53" s="3" t="s">
        <v>2072</v>
      </c>
      <c r="F53" s="3" t="s">
        <v>464</v>
      </c>
      <c r="G53" s="3" t="s">
        <v>260</v>
      </c>
      <c r="H53" s="3" t="s">
        <v>2003</v>
      </c>
      <c r="I53" s="3" t="s">
        <v>2073</v>
      </c>
      <c r="J53" s="3" t="s">
        <v>466</v>
      </c>
      <c r="K53" s="2">
        <v>500</v>
      </c>
      <c r="L53" s="1">
        <v>55000</v>
      </c>
      <c r="M53" s="1">
        <v>27500000</v>
      </c>
    </row>
    <row r="54" spans="1:13">
      <c r="A54" s="14">
        <v>2025</v>
      </c>
      <c r="B54" s="12">
        <v>10</v>
      </c>
      <c r="C54" s="13">
        <v>45940</v>
      </c>
      <c r="D54" s="3" t="s">
        <v>2074</v>
      </c>
      <c r="E54" s="3" t="s">
        <v>2005</v>
      </c>
      <c r="F54" s="3" t="s">
        <v>1141</v>
      </c>
      <c r="G54" s="3" t="s">
        <v>260</v>
      </c>
      <c r="H54" s="3" t="s">
        <v>2003</v>
      </c>
      <c r="I54" s="3" t="s">
        <v>2006</v>
      </c>
      <c r="J54" s="3" t="s">
        <v>21</v>
      </c>
      <c r="K54" s="2">
        <v>480</v>
      </c>
      <c r="L54" s="1"/>
      <c r="M54" s="1"/>
    </row>
    <row r="55" spans="1:13">
      <c r="A55" s="14">
        <v>2025</v>
      </c>
      <c r="B55" s="12">
        <v>10</v>
      </c>
      <c r="C55" s="13">
        <v>45947</v>
      </c>
      <c r="D55" s="3" t="s">
        <v>2075</v>
      </c>
      <c r="E55" s="3" t="s">
        <v>2076</v>
      </c>
      <c r="F55" s="3" t="s">
        <v>611</v>
      </c>
      <c r="G55" s="3" t="s">
        <v>260</v>
      </c>
      <c r="H55" s="3" t="s">
        <v>2003</v>
      </c>
      <c r="I55" s="3" t="s">
        <v>2076</v>
      </c>
      <c r="J55" s="3" t="s">
        <v>21</v>
      </c>
      <c r="K55" s="2">
        <v>400</v>
      </c>
      <c r="L55" s="1"/>
      <c r="M55" s="1"/>
    </row>
    <row r="56" spans="1:13">
      <c r="A56" s="14">
        <v>2025</v>
      </c>
      <c r="B56" s="12">
        <v>10</v>
      </c>
      <c r="C56" s="13">
        <v>45953</v>
      </c>
      <c r="D56" s="3" t="s">
        <v>2077</v>
      </c>
      <c r="E56" s="3" t="s">
        <v>2078</v>
      </c>
      <c r="F56" s="3" t="s">
        <v>2079</v>
      </c>
      <c r="G56" s="3" t="s">
        <v>260</v>
      </c>
      <c r="H56" s="3" t="s">
        <v>2003</v>
      </c>
      <c r="I56" s="3" t="s">
        <v>2080</v>
      </c>
      <c r="J56" s="3" t="s">
        <v>466</v>
      </c>
      <c r="K56" s="2">
        <v>400</v>
      </c>
      <c r="L56" s="1">
        <v>50000</v>
      </c>
      <c r="M56" s="1">
        <v>20000000</v>
      </c>
    </row>
    <row r="57" spans="1:13">
      <c r="A57" s="14">
        <v>2025</v>
      </c>
      <c r="B57" s="12">
        <v>10</v>
      </c>
      <c r="C57" s="13">
        <v>45953</v>
      </c>
      <c r="D57" s="3" t="s">
        <v>2081</v>
      </c>
      <c r="E57" s="3" t="s">
        <v>2029</v>
      </c>
      <c r="F57" s="3" t="s">
        <v>301</v>
      </c>
      <c r="G57" s="3" t="s">
        <v>260</v>
      </c>
      <c r="H57" s="3" t="s">
        <v>2003</v>
      </c>
      <c r="I57" s="3" t="s">
        <v>2030</v>
      </c>
      <c r="J57" s="3" t="s">
        <v>21</v>
      </c>
      <c r="K57" s="1">
        <v>1000</v>
      </c>
      <c r="L57" s="1"/>
      <c r="M57" s="1"/>
    </row>
    <row r="58" spans="1:13">
      <c r="A58" s="14">
        <v>2025</v>
      </c>
      <c r="B58" s="12">
        <v>10</v>
      </c>
      <c r="C58" s="13">
        <v>45953</v>
      </c>
      <c r="D58" s="3" t="s">
        <v>2081</v>
      </c>
      <c r="E58" s="3" t="s">
        <v>2029</v>
      </c>
      <c r="F58" s="3" t="s">
        <v>301</v>
      </c>
      <c r="G58" s="3" t="s">
        <v>260</v>
      </c>
      <c r="H58" s="3" t="s">
        <v>2003</v>
      </c>
      <c r="I58" s="3" t="s">
        <v>2030</v>
      </c>
      <c r="J58" s="3" t="s">
        <v>466</v>
      </c>
      <c r="K58" s="2">
        <v>200</v>
      </c>
      <c r="L58" s="1">
        <v>55000</v>
      </c>
      <c r="M58" s="1">
        <v>11000000</v>
      </c>
    </row>
    <row r="59" spans="1:13">
      <c r="A59" s="14">
        <v>2025</v>
      </c>
      <c r="B59" s="12">
        <v>10</v>
      </c>
      <c r="C59" s="13">
        <v>45957</v>
      </c>
      <c r="D59" s="3" t="s">
        <v>2082</v>
      </c>
      <c r="E59" s="3" t="s">
        <v>2005</v>
      </c>
      <c r="F59" s="3" t="s">
        <v>1141</v>
      </c>
      <c r="G59" s="3" t="s">
        <v>260</v>
      </c>
      <c r="H59" s="3" t="s">
        <v>2003</v>
      </c>
      <c r="I59" s="3" t="s">
        <v>2006</v>
      </c>
      <c r="J59" s="3" t="s">
        <v>21</v>
      </c>
      <c r="K59" s="2">
        <v>720</v>
      </c>
      <c r="L59" s="1"/>
      <c r="M59" s="1"/>
    </row>
    <row r="60" spans="1:13">
      <c r="A60" s="14">
        <v>2025</v>
      </c>
      <c r="B60" s="12">
        <v>10</v>
      </c>
      <c r="C60" s="13">
        <v>45958</v>
      </c>
      <c r="D60" s="3" t="s">
        <v>2083</v>
      </c>
      <c r="E60" s="3" t="s">
        <v>2001</v>
      </c>
      <c r="F60" s="3" t="s">
        <v>2002</v>
      </c>
      <c r="G60" s="3" t="s">
        <v>260</v>
      </c>
      <c r="H60" s="3" t="s">
        <v>2003</v>
      </c>
      <c r="I60" s="3" t="s">
        <v>1797</v>
      </c>
      <c r="J60" s="3" t="s">
        <v>21</v>
      </c>
      <c r="K60" s="2">
        <v>480</v>
      </c>
      <c r="L60" s="1"/>
      <c r="M60" s="1">
        <v>7824000</v>
      </c>
    </row>
    <row r="61" spans="1:13">
      <c r="A61" s="14">
        <v>2025</v>
      </c>
      <c r="B61" s="12">
        <v>11</v>
      </c>
      <c r="C61" s="13">
        <v>45964</v>
      </c>
      <c r="D61" s="3" t="s">
        <v>2084</v>
      </c>
      <c r="E61" s="3" t="s">
        <v>1806</v>
      </c>
      <c r="F61" s="3" t="s">
        <v>2014</v>
      </c>
      <c r="G61" s="3" t="s">
        <v>260</v>
      </c>
      <c r="H61" s="3" t="s">
        <v>2003</v>
      </c>
      <c r="I61" s="3" t="s">
        <v>2032</v>
      </c>
      <c r="J61" s="3" t="s">
        <v>21</v>
      </c>
      <c r="K61" s="2">
        <v>480</v>
      </c>
      <c r="L61" s="1"/>
      <c r="M61" s="1"/>
    </row>
    <row r="62" spans="1:13">
      <c r="A62" s="14">
        <v>2025</v>
      </c>
      <c r="B62" s="12">
        <v>11</v>
      </c>
      <c r="C62" s="13">
        <v>45964</v>
      </c>
      <c r="D62" s="3" t="s">
        <v>2085</v>
      </c>
      <c r="E62" s="3" t="s">
        <v>2086</v>
      </c>
      <c r="F62" s="3" t="s">
        <v>2087</v>
      </c>
      <c r="G62" s="3" t="s">
        <v>260</v>
      </c>
      <c r="H62" s="3" t="s">
        <v>2003</v>
      </c>
      <c r="I62" s="3" t="s">
        <v>2086</v>
      </c>
      <c r="J62" s="3" t="s">
        <v>466</v>
      </c>
      <c r="K62" s="2">
        <v>80</v>
      </c>
      <c r="L62" s="1">
        <v>55000</v>
      </c>
      <c r="M62" s="1">
        <v>4400000</v>
      </c>
    </row>
    <row r="63" spans="1:13">
      <c r="A63" s="14">
        <v>2025</v>
      </c>
      <c r="B63" s="12">
        <v>11</v>
      </c>
      <c r="C63" s="13">
        <v>45967</v>
      </c>
      <c r="D63" s="3" t="s">
        <v>2088</v>
      </c>
      <c r="E63" s="3" t="s">
        <v>1806</v>
      </c>
      <c r="F63" s="3" t="s">
        <v>2014</v>
      </c>
      <c r="G63" s="3" t="s">
        <v>260</v>
      </c>
      <c r="H63" s="3" t="s">
        <v>2003</v>
      </c>
      <c r="I63" s="3" t="s">
        <v>2015</v>
      </c>
      <c r="J63" s="3" t="s">
        <v>21</v>
      </c>
      <c r="K63" s="2">
        <v>480</v>
      </c>
      <c r="L63" s="1"/>
      <c r="M63" s="1"/>
    </row>
    <row r="64" spans="1:13">
      <c r="A64" s="14">
        <v>2025</v>
      </c>
      <c r="B64" s="12">
        <v>11</v>
      </c>
      <c r="C64" s="13">
        <v>45967</v>
      </c>
      <c r="D64" s="3" t="s">
        <v>2089</v>
      </c>
      <c r="E64" s="3" t="s">
        <v>2005</v>
      </c>
      <c r="F64" s="3" t="s">
        <v>1141</v>
      </c>
      <c r="G64" s="3" t="s">
        <v>260</v>
      </c>
      <c r="H64" s="3" t="s">
        <v>2003</v>
      </c>
      <c r="I64" s="3" t="s">
        <v>2006</v>
      </c>
      <c r="J64" s="3" t="s">
        <v>21</v>
      </c>
      <c r="K64" s="2">
        <v>840</v>
      </c>
      <c r="L64" s="1"/>
      <c r="M64" s="1"/>
    </row>
    <row r="65" spans="1:13">
      <c r="A65" s="14">
        <v>2025</v>
      </c>
      <c r="B65" s="12">
        <v>11</v>
      </c>
      <c r="C65" s="13">
        <v>45971</v>
      </c>
      <c r="D65" s="3" t="s">
        <v>2090</v>
      </c>
      <c r="E65" s="3" t="s">
        <v>2055</v>
      </c>
      <c r="F65" s="3" t="s">
        <v>355</v>
      </c>
      <c r="G65" s="3" t="s">
        <v>306</v>
      </c>
      <c r="H65" s="3" t="s">
        <v>2003</v>
      </c>
      <c r="I65" s="3" t="s">
        <v>2055</v>
      </c>
      <c r="J65" s="3" t="s">
        <v>21</v>
      </c>
      <c r="K65" s="2">
        <v>240</v>
      </c>
      <c r="L65" s="1">
        <v>18300</v>
      </c>
      <c r="M65" s="1">
        <v>4392000</v>
      </c>
    </row>
    <row r="66" spans="1:13">
      <c r="A66" s="14">
        <v>2025</v>
      </c>
      <c r="B66" s="12">
        <v>11</v>
      </c>
      <c r="C66" s="13">
        <v>45973</v>
      </c>
      <c r="D66" s="3" t="s">
        <v>2091</v>
      </c>
      <c r="E66" s="3" t="s">
        <v>16</v>
      </c>
      <c r="F66" s="3" t="s">
        <v>1986</v>
      </c>
      <c r="G66" s="3"/>
      <c r="H66" s="3" t="s">
        <v>2003</v>
      </c>
      <c r="I66" s="3" t="s">
        <v>16</v>
      </c>
      <c r="J66" s="3" t="s">
        <v>21</v>
      </c>
      <c r="K66" s="2">
        <v>100</v>
      </c>
      <c r="L66" s="1"/>
      <c r="M66" s="1"/>
    </row>
    <row r="67" spans="1:13">
      <c r="A67" s="14">
        <v>2025</v>
      </c>
      <c r="B67" s="12">
        <v>11</v>
      </c>
      <c r="C67" s="13">
        <v>45973</v>
      </c>
      <c r="D67" s="3" t="s">
        <v>2092</v>
      </c>
      <c r="E67" s="3" t="s">
        <v>2072</v>
      </c>
      <c r="F67" s="3" t="s">
        <v>464</v>
      </c>
      <c r="G67" s="3" t="s">
        <v>260</v>
      </c>
      <c r="H67" s="3" t="s">
        <v>2003</v>
      </c>
      <c r="I67" s="3" t="s">
        <v>2073</v>
      </c>
      <c r="J67" s="3" t="s">
        <v>2093</v>
      </c>
      <c r="K67" s="1">
        <v>1000</v>
      </c>
      <c r="L67" s="1">
        <v>31000</v>
      </c>
      <c r="M67" s="1">
        <v>31000000</v>
      </c>
    </row>
    <row r="68" spans="1:13">
      <c r="A68" s="14">
        <v>2025</v>
      </c>
      <c r="B68" s="12">
        <v>11</v>
      </c>
      <c r="C68" s="13">
        <v>45974</v>
      </c>
      <c r="D68" s="3" t="s">
        <v>2094</v>
      </c>
      <c r="E68" s="3" t="s">
        <v>2005</v>
      </c>
      <c r="F68" s="3" t="s">
        <v>1141</v>
      </c>
      <c r="G68" s="3" t="s">
        <v>260</v>
      </c>
      <c r="H68" s="3" t="s">
        <v>2003</v>
      </c>
      <c r="I68" s="3" t="s">
        <v>2006</v>
      </c>
      <c r="J68" s="3" t="s">
        <v>21</v>
      </c>
      <c r="K68" s="2">
        <v>600</v>
      </c>
      <c r="L68" s="1"/>
      <c r="M68" s="1"/>
    </row>
    <row r="69" spans="1:13">
      <c r="A69" s="14">
        <v>2025</v>
      </c>
      <c r="B69" s="12">
        <v>11</v>
      </c>
      <c r="C69" s="13">
        <v>45980</v>
      </c>
      <c r="D69" s="3" t="s">
        <v>2095</v>
      </c>
      <c r="E69" s="3" t="s">
        <v>2005</v>
      </c>
      <c r="F69" s="3" t="s">
        <v>1141</v>
      </c>
      <c r="G69" s="3" t="s">
        <v>260</v>
      </c>
      <c r="H69" s="3" t="s">
        <v>2003</v>
      </c>
      <c r="I69" s="3" t="s">
        <v>2006</v>
      </c>
      <c r="J69" s="3" t="s">
        <v>21</v>
      </c>
      <c r="K69" s="2">
        <v>600</v>
      </c>
      <c r="L69" s="1"/>
      <c r="M69" s="1"/>
    </row>
    <row r="70" spans="1:13">
      <c r="A70" s="14">
        <v>2025</v>
      </c>
      <c r="B70" s="12">
        <v>11</v>
      </c>
      <c r="C70" s="13">
        <v>45981</v>
      </c>
      <c r="D70" s="3" t="s">
        <v>2096</v>
      </c>
      <c r="E70" s="3" t="s">
        <v>2078</v>
      </c>
      <c r="F70" s="3" t="s">
        <v>2079</v>
      </c>
      <c r="G70" s="3" t="s">
        <v>260</v>
      </c>
      <c r="H70" s="3" t="s">
        <v>2003</v>
      </c>
      <c r="I70" s="3" t="s">
        <v>2080</v>
      </c>
      <c r="J70" s="3" t="s">
        <v>2093</v>
      </c>
      <c r="K70" s="2">
        <v>500</v>
      </c>
      <c r="L70" s="1">
        <v>31000</v>
      </c>
      <c r="M70" s="1">
        <v>15500000</v>
      </c>
    </row>
    <row r="71" spans="1:13">
      <c r="A71" s="14">
        <v>2025</v>
      </c>
      <c r="B71" s="12">
        <v>11</v>
      </c>
      <c r="C71" s="13">
        <v>45981</v>
      </c>
      <c r="D71" s="3" t="s">
        <v>2096</v>
      </c>
      <c r="E71" s="3" t="s">
        <v>2078</v>
      </c>
      <c r="F71" s="3" t="s">
        <v>2079</v>
      </c>
      <c r="G71" s="3" t="s">
        <v>260</v>
      </c>
      <c r="H71" s="3" t="s">
        <v>2003</v>
      </c>
      <c r="I71" s="3" t="s">
        <v>2080</v>
      </c>
      <c r="J71" s="3" t="s">
        <v>466</v>
      </c>
      <c r="K71" s="2">
        <v>300</v>
      </c>
      <c r="L71" s="1">
        <v>50000</v>
      </c>
      <c r="M71" s="1">
        <v>15000000</v>
      </c>
    </row>
    <row r="72" spans="1:13">
      <c r="A72" s="14">
        <v>2025</v>
      </c>
      <c r="B72" s="12">
        <v>11</v>
      </c>
      <c r="C72" s="13">
        <v>45981</v>
      </c>
      <c r="D72" s="3" t="s">
        <v>2096</v>
      </c>
      <c r="E72" s="3" t="s">
        <v>2078</v>
      </c>
      <c r="F72" s="3" t="s">
        <v>2079</v>
      </c>
      <c r="G72" s="3" t="s">
        <v>260</v>
      </c>
      <c r="H72" s="3" t="s">
        <v>2003</v>
      </c>
      <c r="I72" s="3" t="s">
        <v>2080</v>
      </c>
      <c r="J72" s="3" t="s">
        <v>38</v>
      </c>
      <c r="K72" s="2">
        <v>300</v>
      </c>
      <c r="L72" s="1">
        <v>33000</v>
      </c>
      <c r="M72" s="1">
        <v>9900000</v>
      </c>
    </row>
    <row r="73" spans="1:13">
      <c r="A73" s="14">
        <v>2025</v>
      </c>
      <c r="B73" s="12">
        <v>11</v>
      </c>
      <c r="C73" s="13">
        <v>45982</v>
      </c>
      <c r="D73" s="3" t="s">
        <v>2097</v>
      </c>
      <c r="E73" s="3" t="s">
        <v>2098</v>
      </c>
      <c r="F73" s="3" t="s">
        <v>1171</v>
      </c>
      <c r="G73" s="3" t="s">
        <v>254</v>
      </c>
      <c r="H73" s="3" t="s">
        <v>2003</v>
      </c>
      <c r="I73" s="3" t="s">
        <v>2099</v>
      </c>
      <c r="J73" s="3" t="s">
        <v>466</v>
      </c>
      <c r="K73" s="2">
        <v>250</v>
      </c>
      <c r="L73" s="1">
        <v>50000</v>
      </c>
      <c r="M73" s="1">
        <v>12500000</v>
      </c>
    </row>
    <row r="74" spans="1:13">
      <c r="A74" s="14">
        <v>2025</v>
      </c>
      <c r="B74" s="12">
        <v>11</v>
      </c>
      <c r="C74" s="13">
        <v>45985</v>
      </c>
      <c r="D74" s="3" t="s">
        <v>2100</v>
      </c>
      <c r="E74" s="3" t="s">
        <v>2072</v>
      </c>
      <c r="F74" s="3" t="s">
        <v>464</v>
      </c>
      <c r="G74" s="3" t="s">
        <v>260</v>
      </c>
      <c r="H74" s="3" t="s">
        <v>2003</v>
      </c>
      <c r="I74" s="3" t="s">
        <v>2073</v>
      </c>
      <c r="J74" s="3" t="s">
        <v>466</v>
      </c>
      <c r="K74" s="2">
        <v>400</v>
      </c>
      <c r="L74" s="1">
        <v>55000</v>
      </c>
      <c r="M74" s="1">
        <v>22000000</v>
      </c>
    </row>
    <row r="75" spans="1:13">
      <c r="A75" s="14">
        <v>2025</v>
      </c>
      <c r="B75" s="12">
        <v>11</v>
      </c>
      <c r="C75" s="13">
        <v>45986</v>
      </c>
      <c r="D75" s="3" t="s">
        <v>2101</v>
      </c>
      <c r="E75" s="3" t="s">
        <v>2005</v>
      </c>
      <c r="F75" s="3" t="s">
        <v>1141</v>
      </c>
      <c r="G75" s="3" t="s">
        <v>260</v>
      </c>
      <c r="H75" s="3" t="s">
        <v>2003</v>
      </c>
      <c r="I75" s="3" t="s">
        <v>2006</v>
      </c>
      <c r="J75" s="3" t="s">
        <v>21</v>
      </c>
      <c r="K75" s="2">
        <v>600</v>
      </c>
      <c r="L75" s="1"/>
      <c r="M75" s="1"/>
    </row>
    <row r="76" spans="1:13">
      <c r="A76" s="14">
        <v>2025</v>
      </c>
      <c r="B76" s="12">
        <v>11</v>
      </c>
      <c r="C76" s="13">
        <v>45989</v>
      </c>
      <c r="D76" s="3" t="s">
        <v>2102</v>
      </c>
      <c r="E76" s="3" t="s">
        <v>2005</v>
      </c>
      <c r="F76" s="3" t="s">
        <v>1141</v>
      </c>
      <c r="G76" s="3" t="s">
        <v>260</v>
      </c>
      <c r="H76" s="3" t="s">
        <v>2003</v>
      </c>
      <c r="I76" s="3" t="s">
        <v>2006</v>
      </c>
      <c r="J76" s="3" t="s">
        <v>21</v>
      </c>
      <c r="K76" s="2">
        <v>600</v>
      </c>
      <c r="L76" s="1"/>
      <c r="M76" s="1"/>
    </row>
    <row r="77" spans="1:13">
      <c r="A77" s="14">
        <v>2025</v>
      </c>
      <c r="B77" s="12">
        <v>11</v>
      </c>
      <c r="C77" s="13">
        <v>45989</v>
      </c>
      <c r="D77" s="3" t="s">
        <v>2103</v>
      </c>
      <c r="E77" s="3" t="s">
        <v>2078</v>
      </c>
      <c r="F77" s="3" t="s">
        <v>2079</v>
      </c>
      <c r="G77" s="3" t="s">
        <v>260</v>
      </c>
      <c r="H77" s="3" t="s">
        <v>2003</v>
      </c>
      <c r="I77" s="3" t="s">
        <v>2080</v>
      </c>
      <c r="J77" s="3" t="s">
        <v>466</v>
      </c>
      <c r="K77" s="2">
        <v>50</v>
      </c>
      <c r="L77" s="1">
        <v>50000</v>
      </c>
      <c r="M77" s="1">
        <v>2500000</v>
      </c>
    </row>
    <row r="78" spans="1:13">
      <c r="A78" s="14">
        <v>2025</v>
      </c>
      <c r="B78" s="12">
        <v>11</v>
      </c>
      <c r="C78" s="13">
        <v>45989</v>
      </c>
      <c r="D78" s="3" t="s">
        <v>2103</v>
      </c>
      <c r="E78" s="3" t="s">
        <v>2078</v>
      </c>
      <c r="F78" s="3" t="s">
        <v>2079</v>
      </c>
      <c r="G78" s="3" t="s">
        <v>260</v>
      </c>
      <c r="H78" s="3" t="s">
        <v>2003</v>
      </c>
      <c r="I78" s="3" t="s">
        <v>2080</v>
      </c>
      <c r="J78" s="3" t="s">
        <v>38</v>
      </c>
      <c r="K78" s="2">
        <v>300</v>
      </c>
      <c r="L78" s="1">
        <v>33000</v>
      </c>
      <c r="M78" s="1">
        <v>9900000</v>
      </c>
    </row>
    <row r="79" spans="1:13">
      <c r="A79" s="14">
        <v>2025</v>
      </c>
      <c r="B79" s="12">
        <v>12</v>
      </c>
      <c r="C79" s="13">
        <v>46001</v>
      </c>
      <c r="D79" s="3" t="s">
        <v>2104</v>
      </c>
      <c r="E79" s="3" t="s">
        <v>2005</v>
      </c>
      <c r="F79" s="3" t="s">
        <v>1141</v>
      </c>
      <c r="G79" s="3" t="s">
        <v>260</v>
      </c>
      <c r="H79" s="3" t="s">
        <v>2003</v>
      </c>
      <c r="I79" s="3" t="s">
        <v>2006</v>
      </c>
      <c r="J79" s="3" t="s">
        <v>21</v>
      </c>
      <c r="K79" s="2">
        <v>600</v>
      </c>
      <c r="L79" s="1"/>
      <c r="M79" s="1"/>
    </row>
    <row r="80" spans="1:13">
      <c r="A80" s="14">
        <v>2025</v>
      </c>
      <c r="B80" s="12">
        <v>12</v>
      </c>
      <c r="C80" s="13">
        <v>46001</v>
      </c>
      <c r="D80" s="3" t="s">
        <v>2105</v>
      </c>
      <c r="E80" s="3" t="s">
        <v>2098</v>
      </c>
      <c r="F80" s="3" t="s">
        <v>1171</v>
      </c>
      <c r="G80" s="3" t="s">
        <v>254</v>
      </c>
      <c r="H80" s="3" t="s">
        <v>2003</v>
      </c>
      <c r="I80" s="3" t="s">
        <v>2099</v>
      </c>
      <c r="J80" s="3" t="s">
        <v>466</v>
      </c>
      <c r="K80" s="2">
        <v>300</v>
      </c>
      <c r="L80" s="1">
        <v>55000</v>
      </c>
      <c r="M80" s="1">
        <v>16500000</v>
      </c>
    </row>
    <row r="81" spans="1:13">
      <c r="A81" s="14">
        <v>2025</v>
      </c>
      <c r="B81" s="12">
        <v>12</v>
      </c>
      <c r="C81" s="13">
        <v>46003</v>
      </c>
      <c r="D81" s="3" t="s">
        <v>2106</v>
      </c>
      <c r="E81" s="3" t="s">
        <v>2029</v>
      </c>
      <c r="F81" s="3" t="s">
        <v>301</v>
      </c>
      <c r="G81" s="3" t="s">
        <v>260</v>
      </c>
      <c r="H81" s="3" t="s">
        <v>2003</v>
      </c>
      <c r="I81" s="3" t="s">
        <v>2030</v>
      </c>
      <c r="J81" s="3" t="s">
        <v>21</v>
      </c>
      <c r="K81" s="1">
        <v>1000</v>
      </c>
      <c r="L81" s="1"/>
      <c r="M81" s="1"/>
    </row>
    <row r="82" spans="1:13">
      <c r="A82" s="14">
        <v>2025</v>
      </c>
      <c r="B82" s="12">
        <v>12</v>
      </c>
      <c r="C82" s="13">
        <v>46007</v>
      </c>
      <c r="D82" s="3" t="s">
        <v>2107</v>
      </c>
      <c r="E82" s="3" t="s">
        <v>2086</v>
      </c>
      <c r="F82" s="3" t="s">
        <v>2087</v>
      </c>
      <c r="G82" s="3" t="s">
        <v>260</v>
      </c>
      <c r="H82" s="3" t="s">
        <v>2003</v>
      </c>
      <c r="I82" s="3" t="s">
        <v>2086</v>
      </c>
      <c r="J82" s="3" t="s">
        <v>466</v>
      </c>
      <c r="K82" s="2">
        <v>100</v>
      </c>
      <c r="L82" s="1">
        <v>55000</v>
      </c>
      <c r="M82" s="1">
        <v>5500000</v>
      </c>
    </row>
    <row r="83" spans="1:13">
      <c r="A83" s="14">
        <v>2025</v>
      </c>
      <c r="B83" s="12">
        <v>12</v>
      </c>
      <c r="C83" s="13">
        <v>46007</v>
      </c>
      <c r="D83" s="3" t="s">
        <v>2108</v>
      </c>
      <c r="E83" s="3" t="s">
        <v>2072</v>
      </c>
      <c r="F83" s="3" t="s">
        <v>464</v>
      </c>
      <c r="G83" s="3" t="s">
        <v>260</v>
      </c>
      <c r="H83" s="3" t="s">
        <v>2003</v>
      </c>
      <c r="I83" s="3" t="s">
        <v>2073</v>
      </c>
      <c r="J83" s="3" t="s">
        <v>466</v>
      </c>
      <c r="K83" s="2">
        <v>400</v>
      </c>
      <c r="L83" s="1">
        <v>55000</v>
      </c>
      <c r="M83" s="1">
        <v>22000000</v>
      </c>
    </row>
    <row r="84" spans="1:13">
      <c r="A84" s="14">
        <v>2025</v>
      </c>
      <c r="B84" s="12">
        <v>12</v>
      </c>
      <c r="C84" s="13">
        <v>46007</v>
      </c>
      <c r="D84" s="3" t="s">
        <v>2109</v>
      </c>
      <c r="E84" s="3" t="s">
        <v>2005</v>
      </c>
      <c r="F84" s="3" t="s">
        <v>1141</v>
      </c>
      <c r="G84" s="3" t="s">
        <v>260</v>
      </c>
      <c r="H84" s="3" t="s">
        <v>2003</v>
      </c>
      <c r="I84" s="3" t="s">
        <v>2006</v>
      </c>
      <c r="J84" s="3" t="s">
        <v>21</v>
      </c>
      <c r="K84" s="2">
        <v>600</v>
      </c>
      <c r="L84" s="1">
        <v>16300</v>
      </c>
      <c r="M84" s="1">
        <v>9780000</v>
      </c>
    </row>
    <row r="85" spans="1:13">
      <c r="A85" s="14">
        <v>2025</v>
      </c>
      <c r="B85" s="12">
        <v>12</v>
      </c>
      <c r="C85" s="13">
        <v>46008</v>
      </c>
      <c r="D85" s="3" t="s">
        <v>2110</v>
      </c>
      <c r="E85" s="3" t="s">
        <v>2076</v>
      </c>
      <c r="F85" s="3" t="s">
        <v>611</v>
      </c>
      <c r="G85" s="3" t="s">
        <v>260</v>
      </c>
      <c r="H85" s="3" t="s">
        <v>2003</v>
      </c>
      <c r="I85" s="3" t="s">
        <v>2076</v>
      </c>
      <c r="J85" s="3" t="s">
        <v>21</v>
      </c>
      <c r="K85" s="1">
        <v>1500</v>
      </c>
      <c r="L85" s="1"/>
      <c r="M85" s="1"/>
    </row>
    <row r="86" spans="1:13">
      <c r="A86" s="14">
        <v>2025</v>
      </c>
      <c r="B86" s="12">
        <v>12</v>
      </c>
      <c r="C86" s="13">
        <v>46016</v>
      </c>
      <c r="D86" s="3" t="s">
        <v>2111</v>
      </c>
      <c r="E86" s="3" t="s">
        <v>2078</v>
      </c>
      <c r="F86" s="3" t="s">
        <v>2079</v>
      </c>
      <c r="G86" s="3" t="s">
        <v>260</v>
      </c>
      <c r="H86" s="3" t="s">
        <v>2003</v>
      </c>
      <c r="I86" s="3" t="s">
        <v>2080</v>
      </c>
      <c r="J86" s="3" t="s">
        <v>466</v>
      </c>
      <c r="K86" s="2">
        <v>385</v>
      </c>
      <c r="L86" s="1">
        <v>55000</v>
      </c>
      <c r="M86" s="1">
        <v>21175000</v>
      </c>
    </row>
    <row r="87" spans="1:13">
      <c r="A87" s="14">
        <v>2025</v>
      </c>
      <c r="B87" s="12">
        <v>12</v>
      </c>
      <c r="C87" s="13">
        <v>46016</v>
      </c>
      <c r="D87" s="3" t="s">
        <v>2111</v>
      </c>
      <c r="E87" s="3" t="s">
        <v>2078</v>
      </c>
      <c r="F87" s="3" t="s">
        <v>2079</v>
      </c>
      <c r="G87" s="3" t="s">
        <v>260</v>
      </c>
      <c r="H87" s="3" t="s">
        <v>2003</v>
      </c>
      <c r="I87" s="3" t="s">
        <v>2080</v>
      </c>
      <c r="J87" s="3" t="s">
        <v>38</v>
      </c>
      <c r="K87" s="2">
        <v>600</v>
      </c>
      <c r="L87" s="1">
        <v>33000</v>
      </c>
      <c r="M87" s="1">
        <v>19800000</v>
      </c>
    </row>
    <row r="88" spans="1:13">
      <c r="A88" s="14">
        <v>2025</v>
      </c>
      <c r="B88" s="12">
        <v>12</v>
      </c>
      <c r="C88" s="13">
        <v>46017</v>
      </c>
      <c r="D88" s="3" t="s">
        <v>2112</v>
      </c>
      <c r="E88" s="3" t="s">
        <v>2078</v>
      </c>
      <c r="F88" s="3" t="s">
        <v>259</v>
      </c>
      <c r="G88" s="3" t="s">
        <v>260</v>
      </c>
      <c r="H88" s="3" t="s">
        <v>2003</v>
      </c>
      <c r="I88" s="3" t="s">
        <v>1806</v>
      </c>
      <c r="J88" s="3" t="s">
        <v>21</v>
      </c>
      <c r="K88" s="2">
        <v>80</v>
      </c>
      <c r="L88" s="1"/>
      <c r="M88" s="1"/>
    </row>
    <row r="89" spans="1:13">
      <c r="A89" s="14">
        <v>2026</v>
      </c>
      <c r="B89" s="12">
        <v>1</v>
      </c>
      <c r="C89" s="13">
        <v>46041</v>
      </c>
      <c r="D89" s="3" t="s">
        <v>2113</v>
      </c>
      <c r="E89" s="3" t="s">
        <v>2005</v>
      </c>
      <c r="F89" s="3" t="s">
        <v>1141</v>
      </c>
      <c r="G89" s="3" t="s">
        <v>260</v>
      </c>
      <c r="H89" s="3" t="s">
        <v>2003</v>
      </c>
      <c r="I89" s="3" t="s">
        <v>2006</v>
      </c>
      <c r="J89" s="3" t="s">
        <v>21</v>
      </c>
      <c r="K89" s="2">
        <v>600</v>
      </c>
      <c r="L89" s="1">
        <v>16300</v>
      </c>
      <c r="M89" s="1">
        <v>9780000</v>
      </c>
    </row>
    <row r="90" spans="1:13">
      <c r="A90" s="14">
        <v>2026</v>
      </c>
      <c r="B90" s="12">
        <v>1</v>
      </c>
      <c r="C90" s="13">
        <v>46043</v>
      </c>
      <c r="D90" s="3" t="s">
        <v>2114</v>
      </c>
      <c r="E90" s="3" t="s">
        <v>2098</v>
      </c>
      <c r="F90" s="3" t="s">
        <v>1171</v>
      </c>
      <c r="G90" s="3" t="s">
        <v>254</v>
      </c>
      <c r="H90" s="3" t="s">
        <v>2003</v>
      </c>
      <c r="I90" s="3" t="s">
        <v>2099</v>
      </c>
      <c r="J90" s="3" t="s">
        <v>466</v>
      </c>
      <c r="K90" s="2">
        <v>300</v>
      </c>
      <c r="L90" s="1">
        <v>55000</v>
      </c>
      <c r="M90" s="1">
        <v>16500000</v>
      </c>
    </row>
    <row r="91" spans="1:13">
      <c r="A91" s="14">
        <v>2026</v>
      </c>
      <c r="B91" s="12">
        <v>1</v>
      </c>
      <c r="C91" s="13">
        <v>46044</v>
      </c>
      <c r="D91" s="3" t="s">
        <v>2115</v>
      </c>
      <c r="E91" s="3" t="s">
        <v>2005</v>
      </c>
      <c r="F91" s="3" t="s">
        <v>1141</v>
      </c>
      <c r="G91" s="3" t="s">
        <v>260</v>
      </c>
      <c r="H91" s="3" t="s">
        <v>2003</v>
      </c>
      <c r="I91" s="3" t="s">
        <v>2006</v>
      </c>
      <c r="J91" s="3" t="s">
        <v>21</v>
      </c>
      <c r="K91" s="2">
        <v>600</v>
      </c>
      <c r="L91" s="1">
        <v>16300</v>
      </c>
      <c r="M91" s="1">
        <v>9780000</v>
      </c>
    </row>
    <row r="92" spans="1:13">
      <c r="A92" s="14">
        <v>2026</v>
      </c>
      <c r="B92" s="12">
        <v>1</v>
      </c>
      <c r="C92" s="13">
        <v>46045</v>
      </c>
      <c r="D92" s="3" t="s">
        <v>2116</v>
      </c>
      <c r="E92" s="3" t="s">
        <v>2055</v>
      </c>
      <c r="F92" s="3" t="s">
        <v>355</v>
      </c>
      <c r="G92" s="3" t="s">
        <v>306</v>
      </c>
      <c r="H92" s="3" t="s">
        <v>2003</v>
      </c>
      <c r="I92" s="3" t="s">
        <v>2055</v>
      </c>
      <c r="J92" s="3" t="s">
        <v>21</v>
      </c>
      <c r="K92" s="2">
        <v>300</v>
      </c>
      <c r="L92" s="1">
        <v>18300</v>
      </c>
      <c r="M92" s="1">
        <v>5490000</v>
      </c>
    </row>
    <row r="93" spans="1:13">
      <c r="A93" s="14">
        <v>2026</v>
      </c>
      <c r="B93" s="12">
        <v>1</v>
      </c>
      <c r="C93" s="13">
        <v>46045</v>
      </c>
      <c r="D93" s="3" t="s">
        <v>2117</v>
      </c>
      <c r="E93" s="3" t="s">
        <v>2029</v>
      </c>
      <c r="F93" s="3" t="s">
        <v>301</v>
      </c>
      <c r="G93" s="3" t="s">
        <v>260</v>
      </c>
      <c r="H93" s="3" t="s">
        <v>2003</v>
      </c>
      <c r="I93" s="3" t="s">
        <v>2030</v>
      </c>
      <c r="J93" s="3" t="s">
        <v>21</v>
      </c>
      <c r="K93" s="2">
        <v>687</v>
      </c>
      <c r="L93" s="1"/>
      <c r="M93" s="1"/>
    </row>
    <row r="94" spans="1:13">
      <c r="A94" s="14">
        <v>2026</v>
      </c>
      <c r="B94" s="12">
        <v>1</v>
      </c>
      <c r="C94" s="13">
        <v>46048</v>
      </c>
      <c r="D94" s="3" t="s">
        <v>2118</v>
      </c>
      <c r="E94" s="3" t="s">
        <v>2078</v>
      </c>
      <c r="F94" s="3" t="s">
        <v>2079</v>
      </c>
      <c r="G94" s="3" t="s">
        <v>260</v>
      </c>
      <c r="H94" s="3" t="s">
        <v>2003</v>
      </c>
      <c r="I94" s="3" t="s">
        <v>2080</v>
      </c>
      <c r="J94" s="3" t="s">
        <v>466</v>
      </c>
      <c r="K94" s="2">
        <v>400</v>
      </c>
      <c r="L94" s="1">
        <v>55000</v>
      </c>
      <c r="M94" s="1">
        <v>22000000</v>
      </c>
    </row>
    <row r="95" spans="1:13">
      <c r="A95" s="14">
        <v>2026</v>
      </c>
      <c r="B95" s="12">
        <v>1</v>
      </c>
      <c r="C95" s="13">
        <v>46048</v>
      </c>
      <c r="D95" s="3" t="s">
        <v>2119</v>
      </c>
      <c r="E95" s="3" t="s">
        <v>2055</v>
      </c>
      <c r="F95" s="3" t="s">
        <v>355</v>
      </c>
      <c r="G95" s="3" t="s">
        <v>306</v>
      </c>
      <c r="H95" s="3" t="s">
        <v>2003</v>
      </c>
      <c r="I95" s="3" t="s">
        <v>2055</v>
      </c>
      <c r="J95" s="3" t="s">
        <v>21</v>
      </c>
      <c r="K95" s="2">
        <v>400</v>
      </c>
      <c r="L95" s="1">
        <v>18300</v>
      </c>
      <c r="M95" s="1">
        <v>7320000</v>
      </c>
    </row>
    <row r="96" spans="1:13">
      <c r="A96" s="14">
        <v>2026</v>
      </c>
      <c r="B96" s="12">
        <v>1</v>
      </c>
      <c r="C96" s="13">
        <v>46048</v>
      </c>
      <c r="D96" s="3" t="s">
        <v>2120</v>
      </c>
      <c r="E96" s="3" t="s">
        <v>2029</v>
      </c>
      <c r="F96" s="3" t="s">
        <v>301</v>
      </c>
      <c r="G96" s="3" t="s">
        <v>260</v>
      </c>
      <c r="H96" s="3" t="s">
        <v>2003</v>
      </c>
      <c r="I96" s="3" t="s">
        <v>2030</v>
      </c>
      <c r="J96" s="3" t="s">
        <v>21</v>
      </c>
      <c r="K96" s="1">
        <v>1000</v>
      </c>
      <c r="L96" s="1"/>
      <c r="M96" s="1"/>
    </row>
    <row r="97" spans="1:13">
      <c r="A97" s="14">
        <v>2026</v>
      </c>
      <c r="B97" s="12">
        <v>1</v>
      </c>
      <c r="C97" s="13">
        <v>46051</v>
      </c>
      <c r="D97" s="3" t="s">
        <v>2121</v>
      </c>
      <c r="E97" s="3" t="s">
        <v>2072</v>
      </c>
      <c r="F97" s="3" t="s">
        <v>464</v>
      </c>
      <c r="G97" s="3" t="s">
        <v>260</v>
      </c>
      <c r="H97" s="3" t="s">
        <v>2003</v>
      </c>
      <c r="I97" s="3" t="s">
        <v>2073</v>
      </c>
      <c r="J97" s="3" t="s">
        <v>2093</v>
      </c>
      <c r="K97" s="1">
        <v>1200</v>
      </c>
      <c r="L97" s="1">
        <v>31000</v>
      </c>
      <c r="M97" s="1">
        <v>37200000</v>
      </c>
    </row>
    <row r="98" spans="1:13">
      <c r="A98" s="14">
        <v>2026</v>
      </c>
      <c r="B98" s="12">
        <v>1</v>
      </c>
      <c r="C98" s="13">
        <v>46051</v>
      </c>
      <c r="D98" s="3" t="s">
        <v>2122</v>
      </c>
      <c r="E98" s="3" t="s">
        <v>2055</v>
      </c>
      <c r="F98" s="3" t="s">
        <v>355</v>
      </c>
      <c r="G98" s="3" t="s">
        <v>306</v>
      </c>
      <c r="H98" s="3" t="s">
        <v>2003</v>
      </c>
      <c r="I98" s="3" t="s">
        <v>2055</v>
      </c>
      <c r="J98" s="3" t="s">
        <v>21</v>
      </c>
      <c r="K98" s="2">
        <v>500</v>
      </c>
      <c r="L98" s="1">
        <v>18300</v>
      </c>
      <c r="M98" s="1">
        <v>9150000</v>
      </c>
    </row>
    <row r="99" spans="1:13">
      <c r="A99" s="14">
        <v>2026</v>
      </c>
      <c r="B99" s="12">
        <v>2</v>
      </c>
      <c r="C99" s="13">
        <v>46058</v>
      </c>
      <c r="D99" s="3" t="s">
        <v>2123</v>
      </c>
      <c r="E99" s="3" t="s">
        <v>260</v>
      </c>
      <c r="F99" s="3" t="s">
        <v>2124</v>
      </c>
      <c r="G99" s="3" t="s">
        <v>255</v>
      </c>
      <c r="H99" s="3" t="s">
        <v>2003</v>
      </c>
      <c r="I99" s="3" t="s">
        <v>2124</v>
      </c>
      <c r="J99" s="3" t="s">
        <v>466</v>
      </c>
      <c r="K99" s="2">
        <v>5</v>
      </c>
      <c r="L99" s="1"/>
      <c r="M99" s="1"/>
    </row>
    <row r="100" spans="1:13">
      <c r="A100" s="14">
        <v>2026</v>
      </c>
      <c r="B100" s="12">
        <v>2</v>
      </c>
      <c r="C100" s="13">
        <v>46064</v>
      </c>
      <c r="D100" s="3" t="s">
        <v>2125</v>
      </c>
      <c r="E100" s="3" t="s">
        <v>2029</v>
      </c>
      <c r="F100" s="3" t="s">
        <v>301</v>
      </c>
      <c r="G100" s="3" t="s">
        <v>260</v>
      </c>
      <c r="H100" s="3" t="s">
        <v>2003</v>
      </c>
      <c r="I100" s="3" t="s">
        <v>2030</v>
      </c>
      <c r="J100" s="3" t="s">
        <v>466</v>
      </c>
      <c r="K100" s="2">
        <v>200</v>
      </c>
      <c r="L100" s="1">
        <v>55000</v>
      </c>
      <c r="M100" s="1">
        <v>11000000</v>
      </c>
    </row>
    <row r="101" spans="1:13">
      <c r="A101" s="14">
        <v>2026</v>
      </c>
      <c r="B101" s="12">
        <v>2</v>
      </c>
      <c r="C101" s="13">
        <v>46066</v>
      </c>
      <c r="D101" s="3" t="s">
        <v>2126</v>
      </c>
      <c r="E101" s="3" t="s">
        <v>2098</v>
      </c>
      <c r="F101" s="3" t="s">
        <v>1171</v>
      </c>
      <c r="G101" s="3" t="s">
        <v>254</v>
      </c>
      <c r="H101" s="3" t="s">
        <v>2003</v>
      </c>
      <c r="I101" s="3" t="s">
        <v>2099</v>
      </c>
      <c r="J101" s="3" t="s">
        <v>466</v>
      </c>
      <c r="K101" s="2">
        <v>300</v>
      </c>
      <c r="L101" s="1">
        <v>55000</v>
      </c>
      <c r="M101" s="1">
        <v>16500000</v>
      </c>
    </row>
    <row r="102" spans="1:13">
      <c r="A102" s="14">
        <v>2026</v>
      </c>
      <c r="B102" s="12">
        <v>2</v>
      </c>
      <c r="C102" s="13">
        <v>46073</v>
      </c>
      <c r="D102" s="3" t="s">
        <v>2127</v>
      </c>
      <c r="E102" s="3" t="s">
        <v>2055</v>
      </c>
      <c r="F102" s="3" t="s">
        <v>355</v>
      </c>
      <c r="G102" s="3" t="s">
        <v>306</v>
      </c>
      <c r="H102" s="3" t="s">
        <v>2003</v>
      </c>
      <c r="I102" s="3" t="s">
        <v>2055</v>
      </c>
      <c r="J102" s="3" t="s">
        <v>21</v>
      </c>
      <c r="K102" s="2">
        <v>240</v>
      </c>
      <c r="L102" s="1">
        <v>18300</v>
      </c>
      <c r="M102" s="1">
        <v>4392000</v>
      </c>
    </row>
    <row r="103" spans="1:13">
      <c r="A103" s="14">
        <v>2026</v>
      </c>
      <c r="B103" s="12">
        <v>3</v>
      </c>
      <c r="C103" s="13">
        <v>46091</v>
      </c>
      <c r="D103" s="3" t="s">
        <v>2128</v>
      </c>
      <c r="E103" s="3" t="s">
        <v>2072</v>
      </c>
      <c r="F103" s="3" t="s">
        <v>464</v>
      </c>
      <c r="G103" s="3" t="s">
        <v>260</v>
      </c>
      <c r="H103" s="3" t="s">
        <v>2003</v>
      </c>
      <c r="I103" s="3" t="s">
        <v>2073</v>
      </c>
      <c r="J103" s="3" t="s">
        <v>466</v>
      </c>
      <c r="K103" s="2">
        <v>300</v>
      </c>
      <c r="L103" s="1">
        <v>55000</v>
      </c>
      <c r="M103" s="1">
        <v>16500000</v>
      </c>
    </row>
    <row r="104" spans="1:13">
      <c r="A104" s="14">
        <v>2026</v>
      </c>
      <c r="B104" s="12">
        <v>3</v>
      </c>
      <c r="C104" s="13">
        <v>46094</v>
      </c>
      <c r="D104" s="3" t="s">
        <v>2129</v>
      </c>
      <c r="E104" s="3" t="s">
        <v>2078</v>
      </c>
      <c r="F104" s="3" t="s">
        <v>2079</v>
      </c>
      <c r="G104" s="3" t="s">
        <v>260</v>
      </c>
      <c r="H104" s="3" t="s">
        <v>2003</v>
      </c>
      <c r="I104" s="3" t="s">
        <v>2080</v>
      </c>
      <c r="J104" s="3" t="s">
        <v>466</v>
      </c>
      <c r="K104" s="2">
        <v>300</v>
      </c>
      <c r="L104" s="1">
        <v>55000</v>
      </c>
      <c r="M104" s="1">
        <v>16500000</v>
      </c>
    </row>
    <row r="105" spans="1:13">
      <c r="A105" s="14">
        <v>2026</v>
      </c>
      <c r="B105" s="12">
        <v>4</v>
      </c>
      <c r="C105" s="13">
        <v>46120</v>
      </c>
      <c r="D105" s="3" t="s">
        <v>2130</v>
      </c>
      <c r="E105" s="3" t="s">
        <v>2072</v>
      </c>
      <c r="F105" s="3" t="s">
        <v>464</v>
      </c>
      <c r="G105" s="3" t="s">
        <v>260</v>
      </c>
      <c r="H105" s="3" t="s">
        <v>2003</v>
      </c>
      <c r="I105" s="3" t="s">
        <v>2073</v>
      </c>
      <c r="J105" s="3" t="s">
        <v>2093</v>
      </c>
      <c r="K105" s="2">
        <v>500</v>
      </c>
      <c r="L105" s="1">
        <v>31000</v>
      </c>
      <c r="M105" s="1">
        <v>15500000</v>
      </c>
    </row>
    <row r="106" spans="1:13">
      <c r="A106" s="14">
        <v>2026</v>
      </c>
      <c r="B106" s="12">
        <v>4</v>
      </c>
      <c r="C106" s="13">
        <v>46120</v>
      </c>
      <c r="D106" s="3" t="s">
        <v>2130</v>
      </c>
      <c r="E106" s="3" t="s">
        <v>2072</v>
      </c>
      <c r="F106" s="3" t="s">
        <v>464</v>
      </c>
      <c r="G106" s="3" t="s">
        <v>260</v>
      </c>
      <c r="H106" s="3" t="s">
        <v>2003</v>
      </c>
      <c r="I106" s="3" t="s">
        <v>2073</v>
      </c>
      <c r="J106" s="3" t="s">
        <v>466</v>
      </c>
      <c r="K106" s="2">
        <v>500</v>
      </c>
      <c r="L106" s="1">
        <v>55000</v>
      </c>
      <c r="M106" s="1">
        <v>27500000</v>
      </c>
    </row>
    <row r="107" spans="1:13">
      <c r="A107" s="14">
        <v>2026</v>
      </c>
      <c r="B107" s="12">
        <v>4</v>
      </c>
      <c r="C107" s="13">
        <v>46129</v>
      </c>
      <c r="D107" s="3" t="s">
        <v>2131</v>
      </c>
      <c r="E107" s="3" t="s">
        <v>2132</v>
      </c>
      <c r="F107" s="3" t="s">
        <v>704</v>
      </c>
      <c r="G107" s="3" t="s">
        <v>254</v>
      </c>
      <c r="H107" s="3" t="s">
        <v>2003</v>
      </c>
      <c r="I107" s="3" t="s">
        <v>2133</v>
      </c>
      <c r="J107" s="3" t="s">
        <v>466</v>
      </c>
      <c r="K107" s="2">
        <v>20</v>
      </c>
      <c r="L107" s="1">
        <v>50000</v>
      </c>
      <c r="M107" s="1">
        <v>1000000</v>
      </c>
    </row>
    <row r="108" spans="1:13">
      <c r="A108" s="14">
        <v>2026</v>
      </c>
      <c r="B108" s="12">
        <v>4</v>
      </c>
      <c r="C108" s="13">
        <v>46132</v>
      </c>
      <c r="D108" s="3" t="s">
        <v>2134</v>
      </c>
      <c r="E108" s="3" t="s">
        <v>2098</v>
      </c>
      <c r="F108" s="3" t="s">
        <v>1171</v>
      </c>
      <c r="G108" s="3" t="s">
        <v>254</v>
      </c>
      <c r="H108" s="3" t="s">
        <v>2003</v>
      </c>
      <c r="I108" s="3" t="s">
        <v>2099</v>
      </c>
      <c r="J108" s="3" t="s">
        <v>466</v>
      </c>
      <c r="K108" s="2">
        <v>250</v>
      </c>
      <c r="L108" s="1">
        <v>55000</v>
      </c>
      <c r="M108" s="1">
        <v>13750000</v>
      </c>
    </row>
    <row r="109" spans="1:13">
      <c r="A109" s="14">
        <v>2026</v>
      </c>
      <c r="B109" s="12">
        <v>4</v>
      </c>
      <c r="C109" s="13">
        <v>46139</v>
      </c>
      <c r="D109" s="3" t="s">
        <v>2135</v>
      </c>
      <c r="E109" s="3" t="s">
        <v>2078</v>
      </c>
      <c r="F109" s="3" t="s">
        <v>2079</v>
      </c>
      <c r="G109" s="3" t="s">
        <v>260</v>
      </c>
      <c r="H109" s="3" t="s">
        <v>2003</v>
      </c>
      <c r="I109" s="3" t="s">
        <v>2080</v>
      </c>
      <c r="J109" s="3" t="s">
        <v>2093</v>
      </c>
      <c r="K109" s="2">
        <v>400</v>
      </c>
      <c r="L109" s="1">
        <v>31000</v>
      </c>
      <c r="M109" s="1">
        <v>12400000</v>
      </c>
    </row>
    <row r="110" spans="1:13">
      <c r="A110" s="14">
        <v>2026</v>
      </c>
      <c r="B110" s="12">
        <v>4</v>
      </c>
      <c r="C110" s="13">
        <v>46139</v>
      </c>
      <c r="D110" s="3" t="s">
        <v>2135</v>
      </c>
      <c r="E110" s="3" t="s">
        <v>2078</v>
      </c>
      <c r="F110" s="3" t="s">
        <v>2079</v>
      </c>
      <c r="G110" s="3" t="s">
        <v>260</v>
      </c>
      <c r="H110" s="3" t="s">
        <v>2003</v>
      </c>
      <c r="I110" s="3" t="s">
        <v>2080</v>
      </c>
      <c r="J110" s="3" t="s">
        <v>466</v>
      </c>
      <c r="K110" s="2">
        <v>300</v>
      </c>
      <c r="L110" s="1">
        <v>55000</v>
      </c>
      <c r="M110" s="1">
        <v>16500000</v>
      </c>
    </row>
    <row r="111" spans="1:13">
      <c r="A111" s="14">
        <v>2026</v>
      </c>
      <c r="B111" s="12">
        <v>4</v>
      </c>
      <c r="C111" s="13">
        <v>46139</v>
      </c>
      <c r="D111" s="3" t="s">
        <v>2135</v>
      </c>
      <c r="E111" s="3" t="s">
        <v>2078</v>
      </c>
      <c r="F111" s="3" t="s">
        <v>2079</v>
      </c>
      <c r="G111" s="3" t="s">
        <v>260</v>
      </c>
      <c r="H111" s="3" t="s">
        <v>2003</v>
      </c>
      <c r="I111" s="3" t="s">
        <v>2080</v>
      </c>
      <c r="J111" s="3" t="s">
        <v>38</v>
      </c>
      <c r="K111" s="2">
        <v>200</v>
      </c>
      <c r="L111" s="1">
        <v>33000</v>
      </c>
      <c r="M111" s="1">
        <v>6600000</v>
      </c>
    </row>
    <row r="112" spans="1:13">
      <c r="A112" s="14">
        <v>2026</v>
      </c>
      <c r="B112" s="12">
        <v>5</v>
      </c>
      <c r="C112" s="13">
        <v>46150</v>
      </c>
      <c r="D112" s="3" t="s">
        <v>2136</v>
      </c>
      <c r="E112" s="3" t="s">
        <v>2072</v>
      </c>
      <c r="F112" s="3" t="s">
        <v>464</v>
      </c>
      <c r="G112" s="3" t="s">
        <v>260</v>
      </c>
      <c r="H112" s="3" t="s">
        <v>2003</v>
      </c>
      <c r="I112" s="3" t="s">
        <v>2073</v>
      </c>
      <c r="J112" s="3" t="s">
        <v>2093</v>
      </c>
      <c r="K112" s="2">
        <v>600</v>
      </c>
      <c r="L112" s="1">
        <v>31000</v>
      </c>
      <c r="M112" s="1">
        <v>18600000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D256-BF4F-4145-BFC9-862EB3813B15}">
  <dimension ref="A1:M1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3:M17"/>
    </sheetView>
  </sheetViews>
  <sheetFormatPr baseColWidth="10" defaultRowHeight="16"/>
  <cols>
    <col min="4" max="4" width="16.6640625" customWidth="1"/>
    <col min="5" max="5" width="19.33203125" customWidth="1"/>
    <col min="6" max="6" width="21.1640625" bestFit="1" customWidth="1"/>
    <col min="7" max="7" width="12" customWidth="1"/>
    <col min="9" max="9" width="22.5" customWidth="1"/>
    <col min="10" max="10" width="39.6640625" customWidth="1"/>
    <col min="11" max="11" width="11.1640625" customWidth="1"/>
  </cols>
  <sheetData>
    <row r="1" spans="1:13">
      <c r="K1" s="5">
        <f>SUBTOTAL(9,K3:K1048576)</f>
        <v>970</v>
      </c>
      <c r="M1" s="5">
        <f>SUBTOTAL(9,M3:M1048576)</f>
        <v>12070000</v>
      </c>
    </row>
    <row r="2" spans="1:13" s="15" customForma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>
      <c r="A3" s="14">
        <v>2025</v>
      </c>
      <c r="B3" s="12">
        <v>2</v>
      </c>
      <c r="C3" s="13">
        <v>45698</v>
      </c>
      <c r="D3" s="3" t="s">
        <v>1984</v>
      </c>
      <c r="E3" s="3" t="s">
        <v>1985</v>
      </c>
      <c r="F3" s="3" t="s">
        <v>1986</v>
      </c>
      <c r="G3" s="3" t="s">
        <v>18</v>
      </c>
      <c r="H3" s="3" t="s">
        <v>1987</v>
      </c>
      <c r="I3" s="3" t="s">
        <v>16</v>
      </c>
      <c r="J3" s="3" t="s">
        <v>21</v>
      </c>
      <c r="K3" s="2">
        <v>500</v>
      </c>
      <c r="L3" s="1"/>
      <c r="M3" s="1"/>
    </row>
    <row r="4" spans="1:13">
      <c r="A4" s="14">
        <v>2025</v>
      </c>
      <c r="B4" s="12">
        <v>12</v>
      </c>
      <c r="C4" s="13">
        <v>45994</v>
      </c>
      <c r="D4" s="3" t="s">
        <v>1988</v>
      </c>
      <c r="E4" s="3" t="s">
        <v>1989</v>
      </c>
      <c r="F4" s="3" t="s">
        <v>36</v>
      </c>
      <c r="G4" s="3" t="s">
        <v>18</v>
      </c>
      <c r="H4" s="3" t="s">
        <v>1987</v>
      </c>
      <c r="I4" s="3" t="s">
        <v>1989</v>
      </c>
      <c r="J4" s="3" t="s">
        <v>46</v>
      </c>
      <c r="K4" s="2">
        <v>40</v>
      </c>
      <c r="L4" s="1"/>
      <c r="M4" s="1"/>
    </row>
    <row r="5" spans="1:13">
      <c r="A5" s="14">
        <v>2025</v>
      </c>
      <c r="B5" s="12">
        <v>12</v>
      </c>
      <c r="C5" s="13">
        <v>45994</v>
      </c>
      <c r="D5" s="3" t="s">
        <v>1988</v>
      </c>
      <c r="E5" s="3" t="s">
        <v>1989</v>
      </c>
      <c r="F5" s="3" t="s">
        <v>36</v>
      </c>
      <c r="G5" s="3" t="s">
        <v>18</v>
      </c>
      <c r="H5" s="3" t="s">
        <v>1987</v>
      </c>
      <c r="I5" s="3" t="s">
        <v>1989</v>
      </c>
      <c r="J5" s="3" t="s">
        <v>41</v>
      </c>
      <c r="K5" s="2">
        <v>80</v>
      </c>
      <c r="L5" s="1">
        <v>20000</v>
      </c>
      <c r="M5" s="1">
        <v>1600000</v>
      </c>
    </row>
    <row r="6" spans="1:13">
      <c r="A6" s="14">
        <v>2025</v>
      </c>
      <c r="B6" s="12">
        <v>12</v>
      </c>
      <c r="C6" s="13">
        <v>45994</v>
      </c>
      <c r="D6" s="3" t="s">
        <v>1988</v>
      </c>
      <c r="E6" s="3" t="s">
        <v>1989</v>
      </c>
      <c r="F6" s="3" t="s">
        <v>36</v>
      </c>
      <c r="G6" s="3" t="s">
        <v>18</v>
      </c>
      <c r="H6" s="3" t="s">
        <v>1987</v>
      </c>
      <c r="I6" s="3" t="s">
        <v>1989</v>
      </c>
      <c r="J6" s="3" t="s">
        <v>38</v>
      </c>
      <c r="K6" s="2">
        <v>80</v>
      </c>
      <c r="L6" s="1">
        <v>16500</v>
      </c>
      <c r="M6" s="1">
        <v>1320000</v>
      </c>
    </row>
    <row r="7" spans="1:13">
      <c r="A7" s="14">
        <v>2026</v>
      </c>
      <c r="B7" s="12">
        <v>1</v>
      </c>
      <c r="C7" s="13">
        <v>46028</v>
      </c>
      <c r="D7" s="3" t="s">
        <v>1990</v>
      </c>
      <c r="E7" s="3" t="s">
        <v>1991</v>
      </c>
      <c r="F7" s="3" t="s">
        <v>44</v>
      </c>
      <c r="G7" s="3" t="s">
        <v>18</v>
      </c>
      <c r="H7" s="3" t="s">
        <v>1987</v>
      </c>
      <c r="I7" s="3" t="s">
        <v>1991</v>
      </c>
      <c r="J7" s="3" t="s">
        <v>46</v>
      </c>
      <c r="K7" s="2">
        <v>20</v>
      </c>
      <c r="L7" s="1"/>
      <c r="M7" s="1"/>
    </row>
    <row r="8" spans="1:13">
      <c r="A8" s="14">
        <v>2026</v>
      </c>
      <c r="B8" s="12">
        <v>1</v>
      </c>
      <c r="C8" s="13">
        <v>46045</v>
      </c>
      <c r="D8" s="3" t="s">
        <v>1992</v>
      </c>
      <c r="E8" s="3" t="s">
        <v>1989</v>
      </c>
      <c r="F8" s="3" t="s">
        <v>36</v>
      </c>
      <c r="G8" s="3" t="s">
        <v>18</v>
      </c>
      <c r="H8" s="3" t="s">
        <v>1987</v>
      </c>
      <c r="I8" s="3" t="s">
        <v>1989</v>
      </c>
      <c r="J8" s="3" t="s">
        <v>41</v>
      </c>
      <c r="K8" s="2">
        <v>30</v>
      </c>
      <c r="L8" s="1">
        <v>40000</v>
      </c>
      <c r="M8" s="1">
        <v>1200000</v>
      </c>
    </row>
    <row r="9" spans="1:13">
      <c r="A9" s="14">
        <v>2026</v>
      </c>
      <c r="B9" s="12">
        <v>1</v>
      </c>
      <c r="C9" s="13">
        <v>46045</v>
      </c>
      <c r="D9" s="3" t="s">
        <v>1992</v>
      </c>
      <c r="E9" s="3" t="s">
        <v>1989</v>
      </c>
      <c r="F9" s="3" t="s">
        <v>36</v>
      </c>
      <c r="G9" s="3" t="s">
        <v>18</v>
      </c>
      <c r="H9" s="3" t="s">
        <v>1987</v>
      </c>
      <c r="I9" s="3" t="s">
        <v>1989</v>
      </c>
      <c r="J9" s="3" t="s">
        <v>38</v>
      </c>
      <c r="K9" s="2">
        <v>20</v>
      </c>
      <c r="L9" s="1">
        <v>33000</v>
      </c>
      <c r="M9" s="1">
        <v>660000</v>
      </c>
    </row>
    <row r="10" spans="1:13">
      <c r="A10" s="14">
        <v>2026</v>
      </c>
      <c r="B10" s="12">
        <v>1</v>
      </c>
      <c r="C10" s="13">
        <v>46052</v>
      </c>
      <c r="D10" s="3" t="s">
        <v>1993</v>
      </c>
      <c r="E10" s="3" t="s">
        <v>1989</v>
      </c>
      <c r="F10" s="3" t="s">
        <v>36</v>
      </c>
      <c r="G10" s="3" t="s">
        <v>18</v>
      </c>
      <c r="H10" s="3" t="s">
        <v>1987</v>
      </c>
      <c r="I10" s="3" t="s">
        <v>1989</v>
      </c>
      <c r="J10" s="3" t="s">
        <v>41</v>
      </c>
      <c r="K10" s="2">
        <v>20</v>
      </c>
      <c r="L10" s="1">
        <v>40000</v>
      </c>
      <c r="M10" s="1">
        <v>800000</v>
      </c>
    </row>
    <row r="11" spans="1:13">
      <c r="A11" s="14">
        <v>2026</v>
      </c>
      <c r="B11" s="12">
        <v>2</v>
      </c>
      <c r="C11" s="13">
        <v>46071</v>
      </c>
      <c r="D11" s="3" t="s">
        <v>1994</v>
      </c>
      <c r="E11" s="3" t="s">
        <v>1989</v>
      </c>
      <c r="F11" s="3" t="s">
        <v>36</v>
      </c>
      <c r="G11" s="3" t="s">
        <v>18</v>
      </c>
      <c r="H11" s="3" t="s">
        <v>1987</v>
      </c>
      <c r="I11" s="3" t="s">
        <v>1989</v>
      </c>
      <c r="J11" s="3" t="s">
        <v>38</v>
      </c>
      <c r="K11" s="2">
        <v>40</v>
      </c>
      <c r="L11" s="1">
        <v>33000</v>
      </c>
      <c r="M11" s="1">
        <v>1320000</v>
      </c>
    </row>
    <row r="12" spans="1:13">
      <c r="A12" s="14">
        <v>2026</v>
      </c>
      <c r="B12" s="12">
        <v>3</v>
      </c>
      <c r="C12" s="13">
        <v>46094</v>
      </c>
      <c r="D12" s="3" t="s">
        <v>1995</v>
      </c>
      <c r="E12" s="3" t="s">
        <v>1989</v>
      </c>
      <c r="F12" s="3" t="s">
        <v>36</v>
      </c>
      <c r="G12" s="3" t="s">
        <v>18</v>
      </c>
      <c r="H12" s="3" t="s">
        <v>1987</v>
      </c>
      <c r="I12" s="3" t="s">
        <v>1989</v>
      </c>
      <c r="J12" s="3" t="s">
        <v>41</v>
      </c>
      <c r="K12" s="2">
        <v>40</v>
      </c>
      <c r="L12" s="1">
        <v>40000</v>
      </c>
      <c r="M12" s="1">
        <v>1600000</v>
      </c>
    </row>
    <row r="13" spans="1:13">
      <c r="A13" s="14">
        <v>2026</v>
      </c>
      <c r="B13" s="12">
        <v>3</v>
      </c>
      <c r="C13" s="13">
        <v>46097</v>
      </c>
      <c r="D13" s="3" t="s">
        <v>1996</v>
      </c>
      <c r="E13" s="3" t="s">
        <v>1989</v>
      </c>
      <c r="F13" s="3" t="s">
        <v>36</v>
      </c>
      <c r="G13" s="3" t="s">
        <v>18</v>
      </c>
      <c r="H13" s="3" t="s">
        <v>1987</v>
      </c>
      <c r="I13" s="3" t="s">
        <v>1989</v>
      </c>
      <c r="J13" s="3" t="s">
        <v>41</v>
      </c>
      <c r="K13" s="2">
        <v>20</v>
      </c>
      <c r="L13" s="1">
        <v>40000</v>
      </c>
      <c r="M13" s="1">
        <v>800000</v>
      </c>
    </row>
    <row r="14" spans="1:13">
      <c r="A14" s="14">
        <v>2026</v>
      </c>
      <c r="B14" s="12">
        <v>4</v>
      </c>
      <c r="C14" s="13">
        <v>46115</v>
      </c>
      <c r="D14" s="3" t="s">
        <v>1997</v>
      </c>
      <c r="E14" s="3" t="s">
        <v>1989</v>
      </c>
      <c r="F14" s="3" t="s">
        <v>36</v>
      </c>
      <c r="G14" s="3" t="s">
        <v>18</v>
      </c>
      <c r="H14" s="3" t="s">
        <v>1987</v>
      </c>
      <c r="I14" s="3" t="s">
        <v>1989</v>
      </c>
      <c r="J14" s="3" t="s">
        <v>41</v>
      </c>
      <c r="K14" s="2">
        <v>20</v>
      </c>
      <c r="L14" s="1">
        <v>40000</v>
      </c>
      <c r="M14" s="1">
        <v>800000</v>
      </c>
    </row>
    <row r="15" spans="1:13">
      <c r="A15" s="14">
        <v>2026</v>
      </c>
      <c r="B15" s="12">
        <v>4</v>
      </c>
      <c r="C15" s="13">
        <v>46127</v>
      </c>
      <c r="D15" s="3" t="s">
        <v>1998</v>
      </c>
      <c r="E15" s="3" t="s">
        <v>1989</v>
      </c>
      <c r="F15" s="3" t="s">
        <v>36</v>
      </c>
      <c r="G15" s="3" t="s">
        <v>18</v>
      </c>
      <c r="H15" s="3" t="s">
        <v>1987</v>
      </c>
      <c r="I15" s="3" t="s">
        <v>1989</v>
      </c>
      <c r="J15" s="3" t="s">
        <v>41</v>
      </c>
      <c r="K15" s="2">
        <v>10</v>
      </c>
      <c r="L15" s="1">
        <v>40000</v>
      </c>
      <c r="M15" s="1">
        <v>400000</v>
      </c>
    </row>
    <row r="16" spans="1:13">
      <c r="A16" s="14">
        <v>2026</v>
      </c>
      <c r="B16" s="12">
        <v>4</v>
      </c>
      <c r="C16" s="13">
        <v>46127</v>
      </c>
      <c r="D16" s="3" t="s">
        <v>1998</v>
      </c>
      <c r="E16" s="3" t="s">
        <v>1989</v>
      </c>
      <c r="F16" s="3" t="s">
        <v>36</v>
      </c>
      <c r="G16" s="3" t="s">
        <v>18</v>
      </c>
      <c r="H16" s="3" t="s">
        <v>1987</v>
      </c>
      <c r="I16" s="3" t="s">
        <v>1989</v>
      </c>
      <c r="J16" s="3" t="s">
        <v>38</v>
      </c>
      <c r="K16" s="2">
        <v>10</v>
      </c>
      <c r="L16" s="1">
        <v>33000</v>
      </c>
      <c r="M16" s="1">
        <v>330000</v>
      </c>
    </row>
    <row r="17" spans="1:13">
      <c r="A17" s="14">
        <v>2026</v>
      </c>
      <c r="B17" s="12">
        <v>5</v>
      </c>
      <c r="C17" s="13">
        <v>46154</v>
      </c>
      <c r="D17" s="3" t="s">
        <v>1999</v>
      </c>
      <c r="E17" s="3" t="s">
        <v>1989</v>
      </c>
      <c r="F17" s="3" t="s">
        <v>36</v>
      </c>
      <c r="G17" s="3" t="s">
        <v>18</v>
      </c>
      <c r="H17" s="3" t="s">
        <v>1987</v>
      </c>
      <c r="I17" s="3" t="s">
        <v>1989</v>
      </c>
      <c r="J17" s="3" t="s">
        <v>46</v>
      </c>
      <c r="K17" s="2">
        <v>40</v>
      </c>
      <c r="L17" s="1">
        <v>31000</v>
      </c>
      <c r="M17" s="1">
        <v>1240000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2458-780F-FE43-A5AE-F45298811B6B}">
  <dimension ref="A1:M266"/>
  <sheetViews>
    <sheetView workbookViewId="0">
      <pane xSplit="6" ySplit="2" topLeftCell="G227" activePane="bottomRight" state="frozen"/>
      <selection pane="topRight" activeCell="G1" sqref="G1"/>
      <selection pane="bottomLeft" activeCell="A3" sqref="A3"/>
      <selection pane="bottomRight" activeCell="A3" sqref="A3:M266"/>
    </sheetView>
  </sheetViews>
  <sheetFormatPr baseColWidth="10" defaultRowHeight="16"/>
  <cols>
    <col min="4" max="4" width="14.6640625" customWidth="1"/>
    <col min="5" max="5" width="24.6640625" customWidth="1"/>
    <col min="6" max="6" width="25.33203125" customWidth="1"/>
    <col min="7" max="7" width="11.33203125" customWidth="1"/>
    <col min="9" max="9" width="24.33203125" customWidth="1"/>
    <col min="10" max="10" width="50.83203125" customWidth="1"/>
    <col min="11" max="11" width="12.6640625" customWidth="1"/>
    <col min="12" max="12" width="11" bestFit="1" customWidth="1"/>
    <col min="13" max="13" width="16.1640625" customWidth="1"/>
  </cols>
  <sheetData>
    <row r="1" spans="1:13">
      <c r="K1" s="5">
        <f>SUBTOTAL(9,K3:K1048576)</f>
        <v>43532</v>
      </c>
      <c r="M1" s="5">
        <f>SUBTOTAL(9,M3:M1048576)</f>
        <v>1458185300</v>
      </c>
    </row>
    <row r="2" spans="1:13" s="11" customForma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>
      <c r="A3" s="14">
        <v>2025</v>
      </c>
      <c r="B3" s="12">
        <v>10</v>
      </c>
      <c r="C3" s="13">
        <v>45940</v>
      </c>
      <c r="D3" s="3" t="s">
        <v>1774</v>
      </c>
      <c r="E3" s="3" t="s">
        <v>16</v>
      </c>
      <c r="F3" s="3" t="s">
        <v>281</v>
      </c>
      <c r="G3" s="3" t="s">
        <v>273</v>
      </c>
      <c r="H3" s="3" t="s">
        <v>1775</v>
      </c>
      <c r="I3" s="3" t="s">
        <v>281</v>
      </c>
      <c r="J3" s="3" t="s">
        <v>466</v>
      </c>
      <c r="K3" s="2">
        <v>50</v>
      </c>
      <c r="L3" s="1">
        <v>50000</v>
      </c>
      <c r="M3" s="1">
        <v>2500000</v>
      </c>
    </row>
    <row r="4" spans="1:13">
      <c r="A4" s="14">
        <v>2025</v>
      </c>
      <c r="B4" s="12">
        <v>10</v>
      </c>
      <c r="C4" s="13">
        <v>45940</v>
      </c>
      <c r="D4" s="3" t="s">
        <v>1774</v>
      </c>
      <c r="E4" s="3" t="s">
        <v>16</v>
      </c>
      <c r="F4" s="3" t="s">
        <v>281</v>
      </c>
      <c r="G4" s="3" t="s">
        <v>273</v>
      </c>
      <c r="H4" s="3" t="s">
        <v>1775</v>
      </c>
      <c r="I4" s="3" t="s">
        <v>281</v>
      </c>
      <c r="J4" s="3" t="s">
        <v>38</v>
      </c>
      <c r="K4" s="2">
        <v>50</v>
      </c>
      <c r="L4" s="1">
        <v>33000</v>
      </c>
      <c r="M4" s="1">
        <v>1650000</v>
      </c>
    </row>
    <row r="5" spans="1:13">
      <c r="A5" s="14">
        <v>2025</v>
      </c>
      <c r="B5" s="12">
        <v>10</v>
      </c>
      <c r="C5" s="13">
        <v>45943</v>
      </c>
      <c r="D5" s="3" t="s">
        <v>1776</v>
      </c>
      <c r="E5" s="3" t="s">
        <v>1777</v>
      </c>
      <c r="F5" s="3" t="s">
        <v>864</v>
      </c>
      <c r="G5" s="3" t="s">
        <v>273</v>
      </c>
      <c r="H5" s="3" t="s">
        <v>1775</v>
      </c>
      <c r="I5" s="3" t="s">
        <v>864</v>
      </c>
      <c r="J5" s="3" t="s">
        <v>41</v>
      </c>
      <c r="K5" s="2">
        <v>300</v>
      </c>
      <c r="L5" s="1">
        <v>38000</v>
      </c>
      <c r="M5" s="1">
        <v>11400000</v>
      </c>
    </row>
    <row r="6" spans="1:13">
      <c r="A6" s="14">
        <v>2025</v>
      </c>
      <c r="B6" s="12">
        <v>10</v>
      </c>
      <c r="C6" s="13">
        <v>45943</v>
      </c>
      <c r="D6" s="3" t="s">
        <v>1776</v>
      </c>
      <c r="E6" s="3" t="s">
        <v>1777</v>
      </c>
      <c r="F6" s="3" t="s">
        <v>864</v>
      </c>
      <c r="G6" s="3" t="s">
        <v>273</v>
      </c>
      <c r="H6" s="3" t="s">
        <v>1775</v>
      </c>
      <c r="I6" s="3" t="s">
        <v>864</v>
      </c>
      <c r="J6" s="3" t="s">
        <v>466</v>
      </c>
      <c r="K6" s="2">
        <v>300</v>
      </c>
      <c r="L6" s="1">
        <v>48000</v>
      </c>
      <c r="M6" s="1">
        <v>14400000</v>
      </c>
    </row>
    <row r="7" spans="1:13">
      <c r="A7" s="14">
        <v>2025</v>
      </c>
      <c r="B7" s="12">
        <v>10</v>
      </c>
      <c r="C7" s="13">
        <v>45944</v>
      </c>
      <c r="D7" s="3" t="s">
        <v>1778</v>
      </c>
      <c r="E7" s="3" t="s">
        <v>1779</v>
      </c>
      <c r="F7" s="3" t="s">
        <v>1280</v>
      </c>
      <c r="G7" s="3" t="s">
        <v>273</v>
      </c>
      <c r="H7" s="3" t="s">
        <v>1775</v>
      </c>
      <c r="I7" s="3" t="s">
        <v>1280</v>
      </c>
      <c r="J7" s="3" t="s">
        <v>466</v>
      </c>
      <c r="K7" s="2">
        <v>50</v>
      </c>
      <c r="L7" s="1">
        <v>50000</v>
      </c>
      <c r="M7" s="1">
        <v>2500000</v>
      </c>
    </row>
    <row r="8" spans="1:13">
      <c r="A8" s="14">
        <v>2025</v>
      </c>
      <c r="B8" s="12">
        <v>10</v>
      </c>
      <c r="C8" s="13">
        <v>45944</v>
      </c>
      <c r="D8" s="3" t="s">
        <v>1780</v>
      </c>
      <c r="E8" s="3" t="s">
        <v>1781</v>
      </c>
      <c r="F8" s="3" t="s">
        <v>875</v>
      </c>
      <c r="G8" s="3" t="s">
        <v>273</v>
      </c>
      <c r="H8" s="3" t="s">
        <v>1775</v>
      </c>
      <c r="I8" s="3" t="s">
        <v>875</v>
      </c>
      <c r="J8" s="3" t="s">
        <v>466</v>
      </c>
      <c r="K8" s="2">
        <v>80</v>
      </c>
      <c r="L8" s="1">
        <v>50000</v>
      </c>
      <c r="M8" s="1">
        <v>4000000</v>
      </c>
    </row>
    <row r="9" spans="1:13">
      <c r="A9" s="14">
        <v>2025</v>
      </c>
      <c r="B9" s="12">
        <v>10</v>
      </c>
      <c r="C9" s="13">
        <v>45944</v>
      </c>
      <c r="D9" s="3" t="s">
        <v>1780</v>
      </c>
      <c r="E9" s="3" t="s">
        <v>1781</v>
      </c>
      <c r="F9" s="3" t="s">
        <v>875</v>
      </c>
      <c r="G9" s="3" t="s">
        <v>273</v>
      </c>
      <c r="H9" s="3" t="s">
        <v>1775</v>
      </c>
      <c r="I9" s="3" t="s">
        <v>875</v>
      </c>
      <c r="J9" s="3" t="s">
        <v>38</v>
      </c>
      <c r="K9" s="2">
        <v>100</v>
      </c>
      <c r="L9" s="1">
        <v>33000</v>
      </c>
      <c r="M9" s="1">
        <v>3300000</v>
      </c>
    </row>
    <row r="10" spans="1:13">
      <c r="A10" s="14">
        <v>2025</v>
      </c>
      <c r="B10" s="12">
        <v>10</v>
      </c>
      <c r="C10" s="13">
        <v>45947</v>
      </c>
      <c r="D10" s="3" t="s">
        <v>1782</v>
      </c>
      <c r="E10" s="3" t="s">
        <v>1783</v>
      </c>
      <c r="F10" s="3" t="s">
        <v>1272</v>
      </c>
      <c r="G10" s="3" t="s">
        <v>273</v>
      </c>
      <c r="H10" s="3" t="s">
        <v>1775</v>
      </c>
      <c r="I10" s="3" t="s">
        <v>1272</v>
      </c>
      <c r="J10" s="3" t="s">
        <v>38</v>
      </c>
      <c r="K10" s="2">
        <v>40</v>
      </c>
      <c r="L10" s="1">
        <v>33000</v>
      </c>
      <c r="M10" s="1">
        <v>1320000</v>
      </c>
    </row>
    <row r="11" spans="1:13">
      <c r="A11" s="14">
        <v>2025</v>
      </c>
      <c r="B11" s="12">
        <v>10</v>
      </c>
      <c r="C11" s="13">
        <v>45947</v>
      </c>
      <c r="D11" s="3" t="s">
        <v>1782</v>
      </c>
      <c r="E11" s="3" t="s">
        <v>1783</v>
      </c>
      <c r="F11" s="3" t="s">
        <v>1272</v>
      </c>
      <c r="G11" s="3" t="s">
        <v>273</v>
      </c>
      <c r="H11" s="3" t="s">
        <v>1775</v>
      </c>
      <c r="I11" s="3" t="s">
        <v>1272</v>
      </c>
      <c r="J11" s="3" t="s">
        <v>41</v>
      </c>
      <c r="K11" s="2">
        <v>40</v>
      </c>
      <c r="L11" s="1">
        <v>40000</v>
      </c>
      <c r="M11" s="1">
        <v>1600000</v>
      </c>
    </row>
    <row r="12" spans="1:13">
      <c r="A12" s="14">
        <v>2025</v>
      </c>
      <c r="B12" s="12">
        <v>10</v>
      </c>
      <c r="C12" s="13">
        <v>45951</v>
      </c>
      <c r="D12" s="3" t="s">
        <v>1784</v>
      </c>
      <c r="E12" s="3" t="s">
        <v>16</v>
      </c>
      <c r="F12" s="3" t="s">
        <v>281</v>
      </c>
      <c r="G12" s="3" t="s">
        <v>273</v>
      </c>
      <c r="H12" s="3" t="s">
        <v>1775</v>
      </c>
      <c r="I12" s="3" t="s">
        <v>281</v>
      </c>
      <c r="J12" s="3" t="s">
        <v>41</v>
      </c>
      <c r="K12" s="2">
        <v>50</v>
      </c>
      <c r="L12" s="1">
        <v>40000</v>
      </c>
      <c r="M12" s="1">
        <v>2000000</v>
      </c>
    </row>
    <row r="13" spans="1:13">
      <c r="A13" s="14">
        <v>2025</v>
      </c>
      <c r="B13" s="12">
        <v>10</v>
      </c>
      <c r="C13" s="13">
        <v>45951</v>
      </c>
      <c r="D13" s="3" t="s">
        <v>1785</v>
      </c>
      <c r="E13" s="3" t="s">
        <v>1777</v>
      </c>
      <c r="F13" s="3" t="s">
        <v>864</v>
      </c>
      <c r="G13" s="3" t="s">
        <v>273</v>
      </c>
      <c r="H13" s="3" t="s">
        <v>1775</v>
      </c>
      <c r="I13" s="3" t="s">
        <v>864</v>
      </c>
      <c r="J13" s="3" t="s">
        <v>41</v>
      </c>
      <c r="K13" s="2">
        <v>200</v>
      </c>
      <c r="L13" s="1">
        <v>38000</v>
      </c>
      <c r="M13" s="1">
        <v>7600000</v>
      </c>
    </row>
    <row r="14" spans="1:13">
      <c r="A14" s="14">
        <v>2025</v>
      </c>
      <c r="B14" s="12">
        <v>10</v>
      </c>
      <c r="C14" s="13">
        <v>45951</v>
      </c>
      <c r="D14" s="3" t="s">
        <v>1785</v>
      </c>
      <c r="E14" s="3" t="s">
        <v>1777</v>
      </c>
      <c r="F14" s="3" t="s">
        <v>864</v>
      </c>
      <c r="G14" s="3" t="s">
        <v>273</v>
      </c>
      <c r="H14" s="3" t="s">
        <v>1775</v>
      </c>
      <c r="I14" s="3" t="s">
        <v>864</v>
      </c>
      <c r="J14" s="3" t="s">
        <v>466</v>
      </c>
      <c r="K14" s="2">
        <v>20</v>
      </c>
      <c r="L14" s="1">
        <v>48000</v>
      </c>
      <c r="M14" s="1">
        <v>960000</v>
      </c>
    </row>
    <row r="15" spans="1:13">
      <c r="A15" s="14">
        <v>2025</v>
      </c>
      <c r="B15" s="12">
        <v>10</v>
      </c>
      <c r="C15" s="13">
        <v>45951</v>
      </c>
      <c r="D15" s="3" t="s">
        <v>1786</v>
      </c>
      <c r="E15" s="3" t="s">
        <v>1777</v>
      </c>
      <c r="F15" s="3" t="s">
        <v>864</v>
      </c>
      <c r="G15" s="3" t="s">
        <v>273</v>
      </c>
      <c r="H15" s="3" t="s">
        <v>1775</v>
      </c>
      <c r="I15" s="3" t="s">
        <v>864</v>
      </c>
      <c r="J15" s="3" t="s">
        <v>38</v>
      </c>
      <c r="K15" s="2">
        <v>200</v>
      </c>
      <c r="L15" s="1">
        <v>31000</v>
      </c>
      <c r="M15" s="1">
        <v>6200000</v>
      </c>
    </row>
    <row r="16" spans="1:13">
      <c r="A16" s="14">
        <v>2025</v>
      </c>
      <c r="B16" s="12">
        <v>10</v>
      </c>
      <c r="C16" s="13">
        <v>45953</v>
      </c>
      <c r="D16" s="3" t="s">
        <v>1787</v>
      </c>
      <c r="E16" s="3" t="s">
        <v>1777</v>
      </c>
      <c r="F16" s="3" t="s">
        <v>864</v>
      </c>
      <c r="G16" s="3" t="s">
        <v>273</v>
      </c>
      <c r="H16" s="3" t="s">
        <v>1775</v>
      </c>
      <c r="I16" s="3" t="s">
        <v>864</v>
      </c>
      <c r="J16" s="3" t="s">
        <v>466</v>
      </c>
      <c r="K16" s="2">
        <v>180</v>
      </c>
      <c r="L16" s="1">
        <v>48000</v>
      </c>
      <c r="M16" s="1">
        <v>8640000</v>
      </c>
    </row>
    <row r="17" spans="1:13">
      <c r="A17" s="14">
        <v>2025</v>
      </c>
      <c r="B17" s="12">
        <v>10</v>
      </c>
      <c r="C17" s="13">
        <v>45954</v>
      </c>
      <c r="D17" s="3" t="s">
        <v>1788</v>
      </c>
      <c r="E17" s="3" t="s">
        <v>16</v>
      </c>
      <c r="F17" s="3" t="s">
        <v>281</v>
      </c>
      <c r="G17" s="3" t="s">
        <v>273</v>
      </c>
      <c r="H17" s="3" t="s">
        <v>1775</v>
      </c>
      <c r="I17" s="3" t="s">
        <v>281</v>
      </c>
      <c r="J17" s="3" t="s">
        <v>466</v>
      </c>
      <c r="K17" s="2">
        <v>30</v>
      </c>
      <c r="L17" s="1">
        <v>50000</v>
      </c>
      <c r="M17" s="1">
        <v>1500000</v>
      </c>
    </row>
    <row r="18" spans="1:13">
      <c r="A18" s="14">
        <v>2025</v>
      </c>
      <c r="B18" s="12">
        <v>10</v>
      </c>
      <c r="C18" s="13">
        <v>45957</v>
      </c>
      <c r="D18" s="3" t="s">
        <v>1789</v>
      </c>
      <c r="E18" s="3" t="s">
        <v>1790</v>
      </c>
      <c r="F18" s="3" t="s">
        <v>1359</v>
      </c>
      <c r="G18" s="3" t="s">
        <v>273</v>
      </c>
      <c r="H18" s="3" t="s">
        <v>1775</v>
      </c>
      <c r="I18" s="3" t="s">
        <v>1359</v>
      </c>
      <c r="J18" s="3" t="s">
        <v>41</v>
      </c>
      <c r="K18" s="2">
        <v>400</v>
      </c>
      <c r="L18" s="1">
        <v>40000</v>
      </c>
      <c r="M18" s="1">
        <v>16000000</v>
      </c>
    </row>
    <row r="19" spans="1:13">
      <c r="A19" s="14">
        <v>2025</v>
      </c>
      <c r="B19" s="12">
        <v>10</v>
      </c>
      <c r="C19" s="13">
        <v>45957</v>
      </c>
      <c r="D19" s="3" t="s">
        <v>1789</v>
      </c>
      <c r="E19" s="3" t="s">
        <v>1790</v>
      </c>
      <c r="F19" s="3" t="s">
        <v>1359</v>
      </c>
      <c r="G19" s="3" t="s">
        <v>273</v>
      </c>
      <c r="H19" s="3" t="s">
        <v>1775</v>
      </c>
      <c r="I19" s="3" t="s">
        <v>1359</v>
      </c>
      <c r="J19" s="3" t="s">
        <v>466</v>
      </c>
      <c r="K19" s="2">
        <v>400</v>
      </c>
      <c r="L19" s="1">
        <v>50000</v>
      </c>
      <c r="M19" s="1">
        <v>20000000</v>
      </c>
    </row>
    <row r="20" spans="1:13">
      <c r="A20" s="14">
        <v>2025</v>
      </c>
      <c r="B20" s="12">
        <v>10</v>
      </c>
      <c r="C20" s="13">
        <v>45960</v>
      </c>
      <c r="D20" s="3" t="s">
        <v>1791</v>
      </c>
      <c r="E20" s="3" t="s">
        <v>1792</v>
      </c>
      <c r="F20" s="3" t="s">
        <v>1793</v>
      </c>
      <c r="G20" s="3"/>
      <c r="H20" s="3" t="s">
        <v>1775</v>
      </c>
      <c r="I20" s="3" t="s">
        <v>1794</v>
      </c>
      <c r="J20" s="3" t="s">
        <v>38</v>
      </c>
      <c r="K20" s="2">
        <v>20</v>
      </c>
      <c r="L20" s="1"/>
      <c r="M20" s="1"/>
    </row>
    <row r="21" spans="1:13">
      <c r="A21" s="14">
        <v>2025</v>
      </c>
      <c r="B21" s="12">
        <v>11</v>
      </c>
      <c r="C21" s="13">
        <v>45964</v>
      </c>
      <c r="D21" s="3" t="s">
        <v>1795</v>
      </c>
      <c r="E21" s="3" t="s">
        <v>1319</v>
      </c>
      <c r="F21" s="3" t="s">
        <v>1319</v>
      </c>
      <c r="G21" s="3" t="s">
        <v>273</v>
      </c>
      <c r="H21" s="3" t="s">
        <v>1775</v>
      </c>
      <c r="I21" s="3" t="s">
        <v>1319</v>
      </c>
      <c r="J21" s="3" t="s">
        <v>41</v>
      </c>
      <c r="K21" s="2">
        <v>100</v>
      </c>
      <c r="L21" s="1">
        <v>40000</v>
      </c>
      <c r="M21" s="1">
        <v>4000000</v>
      </c>
    </row>
    <row r="22" spans="1:13">
      <c r="A22" s="14">
        <v>2025</v>
      </c>
      <c r="B22" s="12">
        <v>11</v>
      </c>
      <c r="C22" s="13">
        <v>45968</v>
      </c>
      <c r="D22" s="3" t="s">
        <v>1796</v>
      </c>
      <c r="E22" s="3" t="s">
        <v>1797</v>
      </c>
      <c r="F22" s="3" t="s">
        <v>272</v>
      </c>
      <c r="G22" s="3" t="s">
        <v>273</v>
      </c>
      <c r="H22" s="3" t="s">
        <v>1775</v>
      </c>
      <c r="I22" s="3" t="s">
        <v>272</v>
      </c>
      <c r="J22" s="3" t="s">
        <v>41</v>
      </c>
      <c r="K22" s="2">
        <v>200</v>
      </c>
      <c r="L22" s="1">
        <v>40000</v>
      </c>
      <c r="M22" s="1">
        <v>8000000</v>
      </c>
    </row>
    <row r="23" spans="1:13">
      <c r="A23" s="14">
        <v>2025</v>
      </c>
      <c r="B23" s="12">
        <v>11</v>
      </c>
      <c r="C23" s="13">
        <v>45971</v>
      </c>
      <c r="D23" s="3" t="s">
        <v>1798</v>
      </c>
      <c r="E23" s="3" t="s">
        <v>1777</v>
      </c>
      <c r="F23" s="3" t="s">
        <v>864</v>
      </c>
      <c r="G23" s="3" t="s">
        <v>273</v>
      </c>
      <c r="H23" s="3" t="s">
        <v>1775</v>
      </c>
      <c r="I23" s="3" t="s">
        <v>864</v>
      </c>
      <c r="J23" s="3" t="s">
        <v>46</v>
      </c>
      <c r="K23" s="2">
        <v>600</v>
      </c>
      <c r="L23" s="1">
        <v>31000</v>
      </c>
      <c r="M23" s="1">
        <v>18600000</v>
      </c>
    </row>
    <row r="24" spans="1:13">
      <c r="A24" s="14">
        <v>2025</v>
      </c>
      <c r="B24" s="12">
        <v>11</v>
      </c>
      <c r="C24" s="13">
        <v>45971</v>
      </c>
      <c r="D24" s="3" t="s">
        <v>1799</v>
      </c>
      <c r="E24" s="3" t="s">
        <v>1800</v>
      </c>
      <c r="F24" s="3" t="s">
        <v>288</v>
      </c>
      <c r="G24" s="3" t="s">
        <v>273</v>
      </c>
      <c r="H24" s="3" t="s">
        <v>1775</v>
      </c>
      <c r="I24" s="3" t="s">
        <v>1801</v>
      </c>
      <c r="J24" s="3" t="s">
        <v>38</v>
      </c>
      <c r="K24" s="2">
        <v>50</v>
      </c>
      <c r="L24" s="1">
        <v>33000</v>
      </c>
      <c r="M24" s="1">
        <v>1650000</v>
      </c>
    </row>
    <row r="25" spans="1:13">
      <c r="A25" s="14">
        <v>2025</v>
      </c>
      <c r="B25" s="12">
        <v>11</v>
      </c>
      <c r="C25" s="13">
        <v>45972</v>
      </c>
      <c r="D25" s="3" t="s">
        <v>1802</v>
      </c>
      <c r="E25" s="3" t="s">
        <v>1779</v>
      </c>
      <c r="F25" s="3" t="s">
        <v>1280</v>
      </c>
      <c r="G25" s="3" t="s">
        <v>273</v>
      </c>
      <c r="H25" s="3" t="s">
        <v>1775</v>
      </c>
      <c r="I25" s="3" t="s">
        <v>1280</v>
      </c>
      <c r="J25" s="3" t="s">
        <v>46</v>
      </c>
      <c r="K25" s="2">
        <v>200</v>
      </c>
      <c r="L25" s="1">
        <v>31000</v>
      </c>
      <c r="M25" s="1">
        <v>6200000</v>
      </c>
    </row>
    <row r="26" spans="1:13">
      <c r="A26" s="14">
        <v>2025</v>
      </c>
      <c r="B26" s="12">
        <v>11</v>
      </c>
      <c r="C26" s="13">
        <v>45972</v>
      </c>
      <c r="D26" s="3" t="s">
        <v>1802</v>
      </c>
      <c r="E26" s="3" t="s">
        <v>1779</v>
      </c>
      <c r="F26" s="3" t="s">
        <v>1280</v>
      </c>
      <c r="G26" s="3" t="s">
        <v>273</v>
      </c>
      <c r="H26" s="3" t="s">
        <v>1775</v>
      </c>
      <c r="I26" s="3" t="s">
        <v>1280</v>
      </c>
      <c r="J26" s="3" t="s">
        <v>38</v>
      </c>
      <c r="K26" s="2">
        <v>100</v>
      </c>
      <c r="L26" s="1">
        <v>33000</v>
      </c>
      <c r="M26" s="1">
        <v>3300000</v>
      </c>
    </row>
    <row r="27" spans="1:13">
      <c r="A27" s="14">
        <v>2025</v>
      </c>
      <c r="B27" s="12">
        <v>11</v>
      </c>
      <c r="C27" s="13">
        <v>45972</v>
      </c>
      <c r="D27" s="3" t="s">
        <v>1803</v>
      </c>
      <c r="E27" s="3" t="s">
        <v>1797</v>
      </c>
      <c r="F27" s="3" t="s">
        <v>272</v>
      </c>
      <c r="G27" s="3" t="s">
        <v>273</v>
      </c>
      <c r="H27" s="3" t="s">
        <v>1775</v>
      </c>
      <c r="I27" s="3" t="s">
        <v>272</v>
      </c>
      <c r="J27" s="3" t="s">
        <v>466</v>
      </c>
      <c r="K27" s="2">
        <v>80</v>
      </c>
      <c r="L27" s="1">
        <v>50000</v>
      </c>
      <c r="M27" s="1">
        <v>4000000</v>
      </c>
    </row>
    <row r="28" spans="1:13">
      <c r="A28" s="14">
        <v>2025</v>
      </c>
      <c r="B28" s="12">
        <v>11</v>
      </c>
      <c r="C28" s="13">
        <v>45972</v>
      </c>
      <c r="D28" s="3" t="s">
        <v>1804</v>
      </c>
      <c r="E28" s="3" t="s">
        <v>1781</v>
      </c>
      <c r="F28" s="3" t="s">
        <v>875</v>
      </c>
      <c r="G28" s="3" t="s">
        <v>273</v>
      </c>
      <c r="H28" s="3" t="s">
        <v>1775</v>
      </c>
      <c r="I28" s="3" t="s">
        <v>875</v>
      </c>
      <c r="J28" s="3" t="s">
        <v>41</v>
      </c>
      <c r="K28" s="2">
        <v>50</v>
      </c>
      <c r="L28" s="1">
        <v>40000</v>
      </c>
      <c r="M28" s="1">
        <v>2000000</v>
      </c>
    </row>
    <row r="29" spans="1:13">
      <c r="A29" s="14">
        <v>2025</v>
      </c>
      <c r="B29" s="12">
        <v>11</v>
      </c>
      <c r="C29" s="13">
        <v>45972</v>
      </c>
      <c r="D29" s="3" t="s">
        <v>1804</v>
      </c>
      <c r="E29" s="3" t="s">
        <v>1781</v>
      </c>
      <c r="F29" s="3" t="s">
        <v>875</v>
      </c>
      <c r="G29" s="3" t="s">
        <v>273</v>
      </c>
      <c r="H29" s="3" t="s">
        <v>1775</v>
      </c>
      <c r="I29" s="3" t="s">
        <v>875</v>
      </c>
      <c r="J29" s="3" t="s">
        <v>38</v>
      </c>
      <c r="K29" s="2">
        <v>100</v>
      </c>
      <c r="L29" s="1">
        <v>35000</v>
      </c>
      <c r="M29" s="1">
        <v>3500000</v>
      </c>
    </row>
    <row r="30" spans="1:13">
      <c r="A30" s="14">
        <v>2025</v>
      </c>
      <c r="B30" s="12">
        <v>11</v>
      </c>
      <c r="C30" s="13">
        <v>45973</v>
      </c>
      <c r="D30" s="3" t="s">
        <v>1805</v>
      </c>
      <c r="E30" s="3" t="s">
        <v>1806</v>
      </c>
      <c r="F30" s="3" t="s">
        <v>1499</v>
      </c>
      <c r="G30" s="3" t="s">
        <v>273</v>
      </c>
      <c r="H30" s="3" t="s">
        <v>1775</v>
      </c>
      <c r="I30" s="3" t="s">
        <v>1499</v>
      </c>
      <c r="J30" s="3" t="s">
        <v>41</v>
      </c>
      <c r="K30" s="2">
        <v>400</v>
      </c>
      <c r="L30" s="1">
        <v>40000</v>
      </c>
      <c r="M30" s="1">
        <v>16000000</v>
      </c>
    </row>
    <row r="31" spans="1:13">
      <c r="A31" s="14">
        <v>2025</v>
      </c>
      <c r="B31" s="12">
        <v>11</v>
      </c>
      <c r="C31" s="13">
        <v>45973</v>
      </c>
      <c r="D31" s="3" t="s">
        <v>1805</v>
      </c>
      <c r="E31" s="3" t="s">
        <v>1806</v>
      </c>
      <c r="F31" s="3" t="s">
        <v>1499</v>
      </c>
      <c r="G31" s="3" t="s">
        <v>273</v>
      </c>
      <c r="H31" s="3" t="s">
        <v>1775</v>
      </c>
      <c r="I31" s="3" t="s">
        <v>1499</v>
      </c>
      <c r="J31" s="3" t="s">
        <v>38</v>
      </c>
      <c r="K31" s="2">
        <v>400</v>
      </c>
      <c r="L31" s="1">
        <v>33000</v>
      </c>
      <c r="M31" s="1">
        <v>13200000</v>
      </c>
    </row>
    <row r="32" spans="1:13">
      <c r="A32" s="14">
        <v>2025</v>
      </c>
      <c r="B32" s="12">
        <v>11</v>
      </c>
      <c r="C32" s="13">
        <v>45974</v>
      </c>
      <c r="D32" s="3" t="s">
        <v>1807</v>
      </c>
      <c r="E32" s="3" t="s">
        <v>1808</v>
      </c>
      <c r="F32" s="3" t="s">
        <v>1291</v>
      </c>
      <c r="G32" s="3" t="s">
        <v>273</v>
      </c>
      <c r="H32" s="3" t="s">
        <v>1775</v>
      </c>
      <c r="I32" s="3" t="s">
        <v>1291</v>
      </c>
      <c r="J32" s="3" t="s">
        <v>46</v>
      </c>
      <c r="K32" s="2">
        <v>500</v>
      </c>
      <c r="L32" s="1">
        <v>31000</v>
      </c>
      <c r="M32" s="1">
        <v>15500000</v>
      </c>
    </row>
    <row r="33" spans="1:13">
      <c r="A33" s="14">
        <v>2025</v>
      </c>
      <c r="B33" s="12">
        <v>11</v>
      </c>
      <c r="C33" s="13">
        <v>45974</v>
      </c>
      <c r="D33" s="3" t="s">
        <v>1807</v>
      </c>
      <c r="E33" s="3" t="s">
        <v>1808</v>
      </c>
      <c r="F33" s="3" t="s">
        <v>1291</v>
      </c>
      <c r="G33" s="3" t="s">
        <v>273</v>
      </c>
      <c r="H33" s="3" t="s">
        <v>1775</v>
      </c>
      <c r="I33" s="3" t="s">
        <v>1291</v>
      </c>
      <c r="J33" s="3" t="s">
        <v>41</v>
      </c>
      <c r="K33" s="2">
        <v>500</v>
      </c>
      <c r="L33" s="1">
        <v>40000</v>
      </c>
      <c r="M33" s="1">
        <v>20000000</v>
      </c>
    </row>
    <row r="34" spans="1:13">
      <c r="A34" s="14">
        <v>2025</v>
      </c>
      <c r="B34" s="12">
        <v>11</v>
      </c>
      <c r="C34" s="13">
        <v>45974</v>
      </c>
      <c r="D34" s="3" t="s">
        <v>1807</v>
      </c>
      <c r="E34" s="3" t="s">
        <v>1808</v>
      </c>
      <c r="F34" s="3" t="s">
        <v>1291</v>
      </c>
      <c r="G34" s="3" t="s">
        <v>273</v>
      </c>
      <c r="H34" s="3" t="s">
        <v>1775</v>
      </c>
      <c r="I34" s="3" t="s">
        <v>1291</v>
      </c>
      <c r="J34" s="3" t="s">
        <v>38</v>
      </c>
      <c r="K34" s="2">
        <v>500</v>
      </c>
      <c r="L34" s="1">
        <v>33000</v>
      </c>
      <c r="M34" s="1">
        <v>16500000</v>
      </c>
    </row>
    <row r="35" spans="1:13">
      <c r="A35" s="14">
        <v>2025</v>
      </c>
      <c r="B35" s="12">
        <v>11</v>
      </c>
      <c r="C35" s="13">
        <v>45974</v>
      </c>
      <c r="D35" s="3" t="s">
        <v>1809</v>
      </c>
      <c r="E35" s="3" t="s">
        <v>1797</v>
      </c>
      <c r="F35" s="3" t="s">
        <v>272</v>
      </c>
      <c r="G35" s="3" t="s">
        <v>273</v>
      </c>
      <c r="H35" s="3" t="s">
        <v>1775</v>
      </c>
      <c r="I35" s="3" t="s">
        <v>272</v>
      </c>
      <c r="J35" s="3" t="s">
        <v>21</v>
      </c>
      <c r="K35" s="2">
        <v>120</v>
      </c>
      <c r="L35" s="1">
        <v>16300</v>
      </c>
      <c r="M35" s="1">
        <v>1956000</v>
      </c>
    </row>
    <row r="36" spans="1:13">
      <c r="A36" s="14">
        <v>2025</v>
      </c>
      <c r="B36" s="12">
        <v>11</v>
      </c>
      <c r="C36" s="13">
        <v>45974</v>
      </c>
      <c r="D36" s="3" t="s">
        <v>1809</v>
      </c>
      <c r="E36" s="3" t="s">
        <v>1797</v>
      </c>
      <c r="F36" s="3" t="s">
        <v>272</v>
      </c>
      <c r="G36" s="3" t="s">
        <v>273</v>
      </c>
      <c r="H36" s="3" t="s">
        <v>1775</v>
      </c>
      <c r="I36" s="3" t="s">
        <v>272</v>
      </c>
      <c r="J36" s="3" t="s">
        <v>38</v>
      </c>
      <c r="K36" s="2">
        <v>100</v>
      </c>
      <c r="L36" s="1">
        <v>33000</v>
      </c>
      <c r="M36" s="1">
        <v>3300000</v>
      </c>
    </row>
    <row r="37" spans="1:13">
      <c r="A37" s="14">
        <v>2025</v>
      </c>
      <c r="B37" s="12">
        <v>11</v>
      </c>
      <c r="C37" s="13">
        <v>45974</v>
      </c>
      <c r="D37" s="3" t="s">
        <v>1810</v>
      </c>
      <c r="E37" s="3" t="s">
        <v>16</v>
      </c>
      <c r="F37" s="3" t="s">
        <v>281</v>
      </c>
      <c r="G37" s="3" t="s">
        <v>273</v>
      </c>
      <c r="H37" s="3" t="s">
        <v>1775</v>
      </c>
      <c r="I37" s="3" t="s">
        <v>281</v>
      </c>
      <c r="J37" s="3" t="s">
        <v>38</v>
      </c>
      <c r="K37" s="2">
        <v>50</v>
      </c>
      <c r="L37" s="1">
        <v>33000</v>
      </c>
      <c r="M37" s="1">
        <v>1650000</v>
      </c>
    </row>
    <row r="38" spans="1:13">
      <c r="A38" s="14">
        <v>2025</v>
      </c>
      <c r="B38" s="12">
        <v>11</v>
      </c>
      <c r="C38" s="13">
        <v>45979</v>
      </c>
      <c r="D38" s="3" t="s">
        <v>1811</v>
      </c>
      <c r="E38" s="3" t="s">
        <v>1319</v>
      </c>
      <c r="F38" s="3" t="s">
        <v>1319</v>
      </c>
      <c r="G38" s="3" t="s">
        <v>273</v>
      </c>
      <c r="H38" s="3" t="s">
        <v>1775</v>
      </c>
      <c r="I38" s="3" t="s">
        <v>1319</v>
      </c>
      <c r="J38" s="3" t="s">
        <v>41</v>
      </c>
      <c r="K38" s="2">
        <v>200</v>
      </c>
      <c r="L38" s="1">
        <v>40000</v>
      </c>
      <c r="M38" s="1">
        <v>8000000</v>
      </c>
    </row>
    <row r="39" spans="1:13">
      <c r="A39" s="14">
        <v>2025</v>
      </c>
      <c r="B39" s="12">
        <v>11</v>
      </c>
      <c r="C39" s="13">
        <v>45979</v>
      </c>
      <c r="D39" s="3" t="s">
        <v>1812</v>
      </c>
      <c r="E39" s="3" t="s">
        <v>1797</v>
      </c>
      <c r="F39" s="3" t="s">
        <v>272</v>
      </c>
      <c r="G39" s="3" t="s">
        <v>273</v>
      </c>
      <c r="H39" s="3" t="s">
        <v>1775</v>
      </c>
      <c r="I39" s="3" t="s">
        <v>272</v>
      </c>
      <c r="J39" s="3" t="s">
        <v>466</v>
      </c>
      <c r="K39" s="2">
        <v>80</v>
      </c>
      <c r="L39" s="1">
        <v>50000</v>
      </c>
      <c r="M39" s="1">
        <v>4000000</v>
      </c>
    </row>
    <row r="40" spans="1:13">
      <c r="A40" s="14">
        <v>2025</v>
      </c>
      <c r="B40" s="12">
        <v>11</v>
      </c>
      <c r="C40" s="13">
        <v>45979</v>
      </c>
      <c r="D40" s="3" t="s">
        <v>1813</v>
      </c>
      <c r="E40" s="3" t="s">
        <v>16</v>
      </c>
      <c r="F40" s="3" t="s">
        <v>281</v>
      </c>
      <c r="G40" s="3" t="s">
        <v>273</v>
      </c>
      <c r="H40" s="3" t="s">
        <v>1775</v>
      </c>
      <c r="I40" s="3" t="s">
        <v>281</v>
      </c>
      <c r="J40" s="3" t="s">
        <v>466</v>
      </c>
      <c r="K40" s="2">
        <v>30</v>
      </c>
      <c r="L40" s="1">
        <v>50000</v>
      </c>
      <c r="M40" s="1">
        <v>1500000</v>
      </c>
    </row>
    <row r="41" spans="1:13">
      <c r="A41" s="14">
        <v>2025</v>
      </c>
      <c r="B41" s="12">
        <v>11</v>
      </c>
      <c r="C41" s="13">
        <v>45980</v>
      </c>
      <c r="D41" s="3" t="s">
        <v>1814</v>
      </c>
      <c r="E41" s="3" t="s">
        <v>1815</v>
      </c>
      <c r="F41" s="3" t="s">
        <v>894</v>
      </c>
      <c r="G41" s="3" t="s">
        <v>273</v>
      </c>
      <c r="H41" s="3" t="s">
        <v>1775</v>
      </c>
      <c r="I41" s="3" t="s">
        <v>894</v>
      </c>
      <c r="J41" s="3" t="s">
        <v>41</v>
      </c>
      <c r="K41" s="2">
        <v>500</v>
      </c>
      <c r="L41" s="1">
        <v>40000</v>
      </c>
      <c r="M41" s="1">
        <v>20000000</v>
      </c>
    </row>
    <row r="42" spans="1:13">
      <c r="A42" s="14">
        <v>2025</v>
      </c>
      <c r="B42" s="12">
        <v>11</v>
      </c>
      <c r="C42" s="13">
        <v>45981</v>
      </c>
      <c r="D42" s="3" t="s">
        <v>1816</v>
      </c>
      <c r="E42" s="3" t="s">
        <v>1817</v>
      </c>
      <c r="F42" s="3" t="s">
        <v>1101</v>
      </c>
      <c r="G42" s="3" t="s">
        <v>273</v>
      </c>
      <c r="H42" s="3" t="s">
        <v>1775</v>
      </c>
      <c r="I42" s="3" t="s">
        <v>1101</v>
      </c>
      <c r="J42" s="3" t="s">
        <v>38</v>
      </c>
      <c r="K42" s="2">
        <v>100</v>
      </c>
      <c r="L42" s="1">
        <v>33000</v>
      </c>
      <c r="M42" s="1">
        <v>3300000</v>
      </c>
    </row>
    <row r="43" spans="1:13">
      <c r="A43" s="14">
        <v>2025</v>
      </c>
      <c r="B43" s="12">
        <v>11</v>
      </c>
      <c r="C43" s="13">
        <v>45982</v>
      </c>
      <c r="D43" s="3" t="s">
        <v>1818</v>
      </c>
      <c r="E43" s="3" t="s">
        <v>1797</v>
      </c>
      <c r="F43" s="3" t="s">
        <v>272</v>
      </c>
      <c r="G43" s="3" t="s">
        <v>273</v>
      </c>
      <c r="H43" s="3" t="s">
        <v>1775</v>
      </c>
      <c r="I43" s="3" t="s">
        <v>272</v>
      </c>
      <c r="J43" s="3" t="s">
        <v>21</v>
      </c>
      <c r="K43" s="2">
        <v>480</v>
      </c>
      <c r="L43" s="1">
        <v>16300</v>
      </c>
      <c r="M43" s="1">
        <v>6650400</v>
      </c>
    </row>
    <row r="44" spans="1:13">
      <c r="A44" s="14">
        <v>2025</v>
      </c>
      <c r="B44" s="12">
        <v>11</v>
      </c>
      <c r="C44" s="13">
        <v>45985</v>
      </c>
      <c r="D44" s="3" t="s">
        <v>1819</v>
      </c>
      <c r="E44" s="3" t="s">
        <v>1797</v>
      </c>
      <c r="F44" s="3" t="s">
        <v>272</v>
      </c>
      <c r="G44" s="3" t="s">
        <v>273</v>
      </c>
      <c r="H44" s="3" t="s">
        <v>1775</v>
      </c>
      <c r="I44" s="3" t="s">
        <v>272</v>
      </c>
      <c r="J44" s="3" t="s">
        <v>21</v>
      </c>
      <c r="K44" s="2">
        <v>120</v>
      </c>
      <c r="L44" s="1">
        <v>16300</v>
      </c>
      <c r="M44" s="1">
        <v>1956000</v>
      </c>
    </row>
    <row r="45" spans="1:13">
      <c r="A45" s="14">
        <v>2025</v>
      </c>
      <c r="B45" s="12">
        <v>11</v>
      </c>
      <c r="C45" s="13">
        <v>45985</v>
      </c>
      <c r="D45" s="3" t="s">
        <v>1820</v>
      </c>
      <c r="E45" s="3" t="s">
        <v>16</v>
      </c>
      <c r="F45" s="3" t="s">
        <v>281</v>
      </c>
      <c r="G45" s="3" t="s">
        <v>273</v>
      </c>
      <c r="H45" s="3" t="s">
        <v>1775</v>
      </c>
      <c r="I45" s="3" t="s">
        <v>281</v>
      </c>
      <c r="J45" s="3" t="s">
        <v>21</v>
      </c>
      <c r="K45" s="2">
        <v>300</v>
      </c>
      <c r="L45" s="1">
        <v>16300</v>
      </c>
      <c r="M45" s="1">
        <v>4890000</v>
      </c>
    </row>
    <row r="46" spans="1:13">
      <c r="A46" s="14">
        <v>2025</v>
      </c>
      <c r="B46" s="12">
        <v>11</v>
      </c>
      <c r="C46" s="13">
        <v>45985</v>
      </c>
      <c r="D46" s="3" t="s">
        <v>1821</v>
      </c>
      <c r="E46" s="3" t="s">
        <v>1806</v>
      </c>
      <c r="F46" s="3" t="s">
        <v>1499</v>
      </c>
      <c r="G46" s="3" t="s">
        <v>273</v>
      </c>
      <c r="H46" s="3" t="s">
        <v>1775</v>
      </c>
      <c r="I46" s="3" t="s">
        <v>1499</v>
      </c>
      <c r="J46" s="3" t="s">
        <v>21</v>
      </c>
      <c r="K46" s="2">
        <v>480</v>
      </c>
      <c r="L46" s="1">
        <v>16300</v>
      </c>
      <c r="M46" s="1">
        <v>7824000</v>
      </c>
    </row>
    <row r="47" spans="1:13">
      <c r="A47" s="14">
        <v>2025</v>
      </c>
      <c r="B47" s="12">
        <v>11</v>
      </c>
      <c r="C47" s="13">
        <v>45985</v>
      </c>
      <c r="D47" s="3" t="s">
        <v>1822</v>
      </c>
      <c r="E47" s="3" t="s">
        <v>1319</v>
      </c>
      <c r="F47" s="3" t="s">
        <v>1319</v>
      </c>
      <c r="G47" s="3" t="s">
        <v>273</v>
      </c>
      <c r="H47" s="3" t="s">
        <v>1775</v>
      </c>
      <c r="I47" s="3" t="s">
        <v>1319</v>
      </c>
      <c r="J47" s="3" t="s">
        <v>41</v>
      </c>
      <c r="K47" s="2">
        <v>100</v>
      </c>
      <c r="L47" s="1">
        <v>40000</v>
      </c>
      <c r="M47" s="1">
        <v>4000000</v>
      </c>
    </row>
    <row r="48" spans="1:13">
      <c r="A48" s="14">
        <v>2025</v>
      </c>
      <c r="B48" s="12">
        <v>11</v>
      </c>
      <c r="C48" s="13">
        <v>45985</v>
      </c>
      <c r="D48" s="3" t="s">
        <v>1823</v>
      </c>
      <c r="E48" s="3" t="s">
        <v>1781</v>
      </c>
      <c r="F48" s="3" t="s">
        <v>875</v>
      </c>
      <c r="G48" s="3" t="s">
        <v>273</v>
      </c>
      <c r="H48" s="3" t="s">
        <v>1775</v>
      </c>
      <c r="I48" s="3" t="s">
        <v>875</v>
      </c>
      <c r="J48" s="3" t="s">
        <v>41</v>
      </c>
      <c r="K48" s="2">
        <v>50</v>
      </c>
      <c r="L48" s="1">
        <v>40000</v>
      </c>
      <c r="M48" s="1">
        <v>2000000</v>
      </c>
    </row>
    <row r="49" spans="1:13">
      <c r="A49" s="14">
        <v>2025</v>
      </c>
      <c r="B49" s="12">
        <v>11</v>
      </c>
      <c r="C49" s="13">
        <v>45985</v>
      </c>
      <c r="D49" s="3" t="s">
        <v>1824</v>
      </c>
      <c r="E49" s="3" t="s">
        <v>1815</v>
      </c>
      <c r="F49" s="3" t="s">
        <v>894</v>
      </c>
      <c r="G49" s="3" t="s">
        <v>273</v>
      </c>
      <c r="H49" s="3" t="s">
        <v>1775</v>
      </c>
      <c r="I49" s="3" t="s">
        <v>894</v>
      </c>
      <c r="J49" s="3" t="s">
        <v>41</v>
      </c>
      <c r="K49" s="2">
        <v>500</v>
      </c>
      <c r="L49" s="1">
        <v>40000</v>
      </c>
      <c r="M49" s="1">
        <v>20000000</v>
      </c>
    </row>
    <row r="50" spans="1:13">
      <c r="A50" s="14">
        <v>2025</v>
      </c>
      <c r="B50" s="12">
        <v>11</v>
      </c>
      <c r="C50" s="13">
        <v>45986</v>
      </c>
      <c r="D50" s="3" t="s">
        <v>1825</v>
      </c>
      <c r="E50" s="3" t="s">
        <v>1790</v>
      </c>
      <c r="F50" s="3" t="s">
        <v>1359</v>
      </c>
      <c r="G50" s="3" t="s">
        <v>273</v>
      </c>
      <c r="H50" s="3" t="s">
        <v>1775</v>
      </c>
      <c r="I50" s="3" t="s">
        <v>1359</v>
      </c>
      <c r="J50" s="3" t="s">
        <v>466</v>
      </c>
      <c r="K50" s="2">
        <v>220</v>
      </c>
      <c r="L50" s="1">
        <v>50000</v>
      </c>
      <c r="M50" s="1">
        <v>11000000</v>
      </c>
    </row>
    <row r="51" spans="1:13">
      <c r="A51" s="14">
        <v>2025</v>
      </c>
      <c r="B51" s="12">
        <v>11</v>
      </c>
      <c r="C51" s="13">
        <v>45986</v>
      </c>
      <c r="D51" s="3" t="s">
        <v>1825</v>
      </c>
      <c r="E51" s="3" t="s">
        <v>1790</v>
      </c>
      <c r="F51" s="3" t="s">
        <v>1359</v>
      </c>
      <c r="G51" s="3" t="s">
        <v>273</v>
      </c>
      <c r="H51" s="3" t="s">
        <v>1775</v>
      </c>
      <c r="I51" s="3" t="s">
        <v>1359</v>
      </c>
      <c r="J51" s="3" t="s">
        <v>466</v>
      </c>
      <c r="K51" s="2">
        <v>180</v>
      </c>
      <c r="L51" s="1">
        <v>50000</v>
      </c>
      <c r="M51" s="1">
        <v>9000000</v>
      </c>
    </row>
    <row r="52" spans="1:13">
      <c r="A52" s="14">
        <v>2025</v>
      </c>
      <c r="B52" s="12">
        <v>11</v>
      </c>
      <c r="C52" s="13">
        <v>45986</v>
      </c>
      <c r="D52" s="3" t="s">
        <v>1826</v>
      </c>
      <c r="E52" s="3" t="s">
        <v>1790</v>
      </c>
      <c r="F52" s="3" t="s">
        <v>1359</v>
      </c>
      <c r="G52" s="3" t="s">
        <v>273</v>
      </c>
      <c r="H52" s="3" t="s">
        <v>1775</v>
      </c>
      <c r="I52" s="3" t="s">
        <v>1359</v>
      </c>
      <c r="J52" s="3" t="s">
        <v>41</v>
      </c>
      <c r="K52" s="2">
        <v>600</v>
      </c>
      <c r="L52" s="1">
        <v>40000</v>
      </c>
      <c r="M52" s="1">
        <v>24000000</v>
      </c>
    </row>
    <row r="53" spans="1:13">
      <c r="A53" s="14">
        <v>2025</v>
      </c>
      <c r="B53" s="12">
        <v>11</v>
      </c>
      <c r="C53" s="13">
        <v>45986</v>
      </c>
      <c r="D53" s="3" t="s">
        <v>1827</v>
      </c>
      <c r="E53" s="3" t="s">
        <v>1808</v>
      </c>
      <c r="F53" s="3" t="s">
        <v>1291</v>
      </c>
      <c r="G53" s="3" t="s">
        <v>273</v>
      </c>
      <c r="H53" s="3" t="s">
        <v>1775</v>
      </c>
      <c r="I53" s="3" t="s">
        <v>1291</v>
      </c>
      <c r="J53" s="3" t="s">
        <v>38</v>
      </c>
      <c r="K53" s="2">
        <v>300</v>
      </c>
      <c r="L53" s="1">
        <v>33000</v>
      </c>
      <c r="M53" s="1">
        <v>9900000</v>
      </c>
    </row>
    <row r="54" spans="1:13">
      <c r="A54" s="14">
        <v>2025</v>
      </c>
      <c r="B54" s="12">
        <v>11</v>
      </c>
      <c r="C54" s="13">
        <v>45986</v>
      </c>
      <c r="D54" s="3" t="s">
        <v>1828</v>
      </c>
      <c r="E54" s="3" t="s">
        <v>1808</v>
      </c>
      <c r="F54" s="3" t="s">
        <v>1291</v>
      </c>
      <c r="G54" s="3" t="s">
        <v>273</v>
      </c>
      <c r="H54" s="3" t="s">
        <v>1775</v>
      </c>
      <c r="I54" s="3" t="s">
        <v>1291</v>
      </c>
      <c r="J54" s="3" t="s">
        <v>38</v>
      </c>
      <c r="K54" s="2">
        <v>200</v>
      </c>
      <c r="L54" s="1">
        <v>33000</v>
      </c>
      <c r="M54" s="1">
        <v>6600000</v>
      </c>
    </row>
    <row r="55" spans="1:13">
      <c r="A55" s="14">
        <v>2025</v>
      </c>
      <c r="B55" s="12">
        <v>11</v>
      </c>
      <c r="C55" s="13">
        <v>45986</v>
      </c>
      <c r="D55" s="3" t="s">
        <v>1829</v>
      </c>
      <c r="E55" s="3" t="s">
        <v>1797</v>
      </c>
      <c r="F55" s="3" t="s">
        <v>272</v>
      </c>
      <c r="G55" s="3" t="s">
        <v>273</v>
      </c>
      <c r="H55" s="3" t="s">
        <v>1775</v>
      </c>
      <c r="I55" s="3" t="s">
        <v>272</v>
      </c>
      <c r="J55" s="3" t="s">
        <v>21</v>
      </c>
      <c r="K55" s="2">
        <v>240</v>
      </c>
      <c r="L55" s="1">
        <v>16300</v>
      </c>
      <c r="M55" s="1">
        <v>3912000</v>
      </c>
    </row>
    <row r="56" spans="1:13">
      <c r="A56" s="14">
        <v>2025</v>
      </c>
      <c r="B56" s="12">
        <v>11</v>
      </c>
      <c r="C56" s="13">
        <v>45988</v>
      </c>
      <c r="D56" s="3" t="s">
        <v>1830</v>
      </c>
      <c r="E56" s="3" t="s">
        <v>16</v>
      </c>
      <c r="F56" s="3" t="s">
        <v>281</v>
      </c>
      <c r="G56" s="3" t="s">
        <v>273</v>
      </c>
      <c r="H56" s="3" t="s">
        <v>1775</v>
      </c>
      <c r="I56" s="3" t="s">
        <v>281</v>
      </c>
      <c r="J56" s="3" t="s">
        <v>21</v>
      </c>
      <c r="K56" s="2">
        <v>100</v>
      </c>
      <c r="L56" s="1">
        <v>16300</v>
      </c>
      <c r="M56" s="1">
        <v>1630000</v>
      </c>
    </row>
    <row r="57" spans="1:13">
      <c r="A57" s="14">
        <v>2025</v>
      </c>
      <c r="B57" s="12">
        <v>11</v>
      </c>
      <c r="C57" s="13">
        <v>45989</v>
      </c>
      <c r="D57" s="3" t="s">
        <v>1831</v>
      </c>
      <c r="E57" s="3" t="s">
        <v>1319</v>
      </c>
      <c r="F57" s="3" t="s">
        <v>1319</v>
      </c>
      <c r="G57" s="3" t="s">
        <v>273</v>
      </c>
      <c r="H57" s="3" t="s">
        <v>1775</v>
      </c>
      <c r="I57" s="3" t="s">
        <v>1319</v>
      </c>
      <c r="J57" s="3" t="s">
        <v>41</v>
      </c>
      <c r="K57" s="2">
        <v>200</v>
      </c>
      <c r="L57" s="1">
        <v>40000</v>
      </c>
      <c r="M57" s="1">
        <v>8000000</v>
      </c>
    </row>
    <row r="58" spans="1:13">
      <c r="A58" s="14">
        <v>2025</v>
      </c>
      <c r="B58" s="12">
        <v>11</v>
      </c>
      <c r="C58" s="13">
        <v>45989</v>
      </c>
      <c r="D58" s="3" t="s">
        <v>1832</v>
      </c>
      <c r="E58" s="3" t="s">
        <v>1319</v>
      </c>
      <c r="F58" s="3" t="s">
        <v>1319</v>
      </c>
      <c r="G58" s="3" t="s">
        <v>273</v>
      </c>
      <c r="H58" s="3" t="s">
        <v>1775</v>
      </c>
      <c r="I58" s="3" t="s">
        <v>1319</v>
      </c>
      <c r="J58" s="3" t="s">
        <v>41</v>
      </c>
      <c r="K58" s="2">
        <v>110</v>
      </c>
      <c r="L58" s="1">
        <v>40000</v>
      </c>
      <c r="M58" s="1">
        <v>4400000</v>
      </c>
    </row>
    <row r="59" spans="1:13">
      <c r="A59" s="14">
        <v>2025</v>
      </c>
      <c r="B59" s="12">
        <v>11</v>
      </c>
      <c r="C59" s="13">
        <v>45989</v>
      </c>
      <c r="D59" s="3" t="s">
        <v>1832</v>
      </c>
      <c r="E59" s="3" t="s">
        <v>1319</v>
      </c>
      <c r="F59" s="3" t="s">
        <v>1319</v>
      </c>
      <c r="G59" s="3" t="s">
        <v>273</v>
      </c>
      <c r="H59" s="3" t="s">
        <v>1775</v>
      </c>
      <c r="I59" s="3" t="s">
        <v>1319</v>
      </c>
      <c r="J59" s="3" t="s">
        <v>41</v>
      </c>
      <c r="K59" s="2">
        <v>190</v>
      </c>
      <c r="L59" s="1">
        <v>40000</v>
      </c>
      <c r="M59" s="1">
        <v>7600000</v>
      </c>
    </row>
    <row r="60" spans="1:13">
      <c r="A60" s="14">
        <v>2025</v>
      </c>
      <c r="B60" s="12">
        <v>12</v>
      </c>
      <c r="C60" s="13">
        <v>45992</v>
      </c>
      <c r="D60" s="3" t="s">
        <v>1833</v>
      </c>
      <c r="E60" s="3" t="s">
        <v>1800</v>
      </c>
      <c r="F60" s="3" t="s">
        <v>288</v>
      </c>
      <c r="G60" s="3" t="s">
        <v>273</v>
      </c>
      <c r="H60" s="3" t="s">
        <v>1775</v>
      </c>
      <c r="I60" s="3" t="s">
        <v>1801</v>
      </c>
      <c r="J60" s="3" t="s">
        <v>38</v>
      </c>
      <c r="K60" s="2">
        <v>100</v>
      </c>
      <c r="L60" s="1">
        <v>33000</v>
      </c>
      <c r="M60" s="1">
        <v>3300000</v>
      </c>
    </row>
    <row r="61" spans="1:13">
      <c r="A61" s="14">
        <v>2025</v>
      </c>
      <c r="B61" s="12">
        <v>12</v>
      </c>
      <c r="C61" s="13">
        <v>45993</v>
      </c>
      <c r="D61" s="3" t="s">
        <v>1834</v>
      </c>
      <c r="E61" s="3" t="s">
        <v>1779</v>
      </c>
      <c r="F61" s="3" t="s">
        <v>1280</v>
      </c>
      <c r="G61" s="3" t="s">
        <v>273</v>
      </c>
      <c r="H61" s="3" t="s">
        <v>1775</v>
      </c>
      <c r="I61" s="3" t="s">
        <v>1280</v>
      </c>
      <c r="J61" s="3" t="s">
        <v>46</v>
      </c>
      <c r="K61" s="2">
        <v>200</v>
      </c>
      <c r="L61" s="1">
        <v>31000</v>
      </c>
      <c r="M61" s="1">
        <v>6200000</v>
      </c>
    </row>
    <row r="62" spans="1:13">
      <c r="A62" s="14">
        <v>2025</v>
      </c>
      <c r="B62" s="12">
        <v>12</v>
      </c>
      <c r="C62" s="13">
        <v>45994</v>
      </c>
      <c r="D62" s="3" t="s">
        <v>1835</v>
      </c>
      <c r="E62" s="3" t="s">
        <v>1779</v>
      </c>
      <c r="F62" s="3" t="s">
        <v>1280</v>
      </c>
      <c r="G62" s="3" t="s">
        <v>273</v>
      </c>
      <c r="H62" s="3" t="s">
        <v>1775</v>
      </c>
      <c r="I62" s="3" t="s">
        <v>1280</v>
      </c>
      <c r="J62" s="3" t="s">
        <v>466</v>
      </c>
      <c r="K62" s="2">
        <v>80</v>
      </c>
      <c r="L62" s="1">
        <v>50000</v>
      </c>
      <c r="M62" s="1">
        <v>4000000</v>
      </c>
    </row>
    <row r="63" spans="1:13">
      <c r="A63" s="14">
        <v>2025</v>
      </c>
      <c r="B63" s="12">
        <v>12</v>
      </c>
      <c r="C63" s="13">
        <v>45994</v>
      </c>
      <c r="D63" s="3" t="s">
        <v>1835</v>
      </c>
      <c r="E63" s="3" t="s">
        <v>1779</v>
      </c>
      <c r="F63" s="3" t="s">
        <v>1280</v>
      </c>
      <c r="G63" s="3" t="s">
        <v>273</v>
      </c>
      <c r="H63" s="3" t="s">
        <v>1775</v>
      </c>
      <c r="I63" s="3" t="s">
        <v>1280</v>
      </c>
      <c r="J63" s="3" t="s">
        <v>38</v>
      </c>
      <c r="K63" s="2">
        <v>200</v>
      </c>
      <c r="L63" s="1">
        <v>33000</v>
      </c>
      <c r="M63" s="1">
        <v>6600000</v>
      </c>
    </row>
    <row r="64" spans="1:13">
      <c r="A64" s="14">
        <v>2025</v>
      </c>
      <c r="B64" s="12">
        <v>12</v>
      </c>
      <c r="C64" s="13">
        <v>45994</v>
      </c>
      <c r="D64" s="3" t="s">
        <v>1836</v>
      </c>
      <c r="E64" s="3" t="s">
        <v>1777</v>
      </c>
      <c r="F64" s="3" t="s">
        <v>864</v>
      </c>
      <c r="G64" s="3" t="s">
        <v>273</v>
      </c>
      <c r="H64" s="3" t="s">
        <v>1775</v>
      </c>
      <c r="I64" s="3" t="s">
        <v>864</v>
      </c>
      <c r="J64" s="3" t="s">
        <v>41</v>
      </c>
      <c r="K64" s="2">
        <v>100</v>
      </c>
      <c r="L64" s="1">
        <v>40000</v>
      </c>
      <c r="M64" s="1">
        <v>4000000</v>
      </c>
    </row>
    <row r="65" spans="1:13">
      <c r="A65" s="14">
        <v>2025</v>
      </c>
      <c r="B65" s="12">
        <v>12</v>
      </c>
      <c r="C65" s="13">
        <v>45995</v>
      </c>
      <c r="D65" s="3" t="s">
        <v>1837</v>
      </c>
      <c r="E65" s="3" t="s">
        <v>16</v>
      </c>
      <c r="F65" s="3" t="s">
        <v>281</v>
      </c>
      <c r="G65" s="3" t="s">
        <v>273</v>
      </c>
      <c r="H65" s="3" t="s">
        <v>1775</v>
      </c>
      <c r="I65" s="3" t="s">
        <v>281</v>
      </c>
      <c r="J65" s="3" t="s">
        <v>21</v>
      </c>
      <c r="K65" s="2">
        <v>200</v>
      </c>
      <c r="L65" s="1">
        <v>16300</v>
      </c>
      <c r="M65" s="1">
        <v>3260000</v>
      </c>
    </row>
    <row r="66" spans="1:13">
      <c r="A66" s="14">
        <v>2025</v>
      </c>
      <c r="B66" s="12">
        <v>12</v>
      </c>
      <c r="C66" s="13">
        <v>45996</v>
      </c>
      <c r="D66" s="3" t="s">
        <v>1838</v>
      </c>
      <c r="E66" s="3" t="s">
        <v>16</v>
      </c>
      <c r="F66" s="3" t="s">
        <v>281</v>
      </c>
      <c r="G66" s="3" t="s">
        <v>273</v>
      </c>
      <c r="H66" s="3" t="s">
        <v>1775</v>
      </c>
      <c r="I66" s="3" t="s">
        <v>281</v>
      </c>
      <c r="J66" s="3" t="s">
        <v>466</v>
      </c>
      <c r="K66" s="2">
        <v>50</v>
      </c>
      <c r="L66" s="1">
        <v>50000</v>
      </c>
      <c r="M66" s="1">
        <v>2500000</v>
      </c>
    </row>
    <row r="67" spans="1:13">
      <c r="A67" s="14">
        <v>2025</v>
      </c>
      <c r="B67" s="12">
        <v>12</v>
      </c>
      <c r="C67" s="13">
        <v>46000</v>
      </c>
      <c r="D67" s="3" t="s">
        <v>1839</v>
      </c>
      <c r="E67" s="3" t="s">
        <v>1797</v>
      </c>
      <c r="F67" s="3" t="s">
        <v>272</v>
      </c>
      <c r="G67" s="3" t="s">
        <v>273</v>
      </c>
      <c r="H67" s="3" t="s">
        <v>1775</v>
      </c>
      <c r="I67" s="3" t="s">
        <v>272</v>
      </c>
      <c r="J67" s="3" t="s">
        <v>466</v>
      </c>
      <c r="K67" s="2">
        <v>120</v>
      </c>
      <c r="L67" s="1">
        <v>50000</v>
      </c>
      <c r="M67" s="1">
        <v>6000000</v>
      </c>
    </row>
    <row r="68" spans="1:13">
      <c r="A68" s="14">
        <v>2025</v>
      </c>
      <c r="B68" s="12">
        <v>12</v>
      </c>
      <c r="C68" s="13">
        <v>46006</v>
      </c>
      <c r="D68" s="3" t="s">
        <v>1840</v>
      </c>
      <c r="E68" s="3" t="s">
        <v>16</v>
      </c>
      <c r="F68" s="3" t="s">
        <v>281</v>
      </c>
      <c r="G68" s="3" t="s">
        <v>273</v>
      </c>
      <c r="H68" s="3" t="s">
        <v>1775</v>
      </c>
      <c r="I68" s="3" t="s">
        <v>281</v>
      </c>
      <c r="J68" s="3" t="s">
        <v>21</v>
      </c>
      <c r="K68" s="2">
        <v>50</v>
      </c>
      <c r="L68" s="1">
        <v>16300</v>
      </c>
      <c r="M68" s="1">
        <v>815000</v>
      </c>
    </row>
    <row r="69" spans="1:13">
      <c r="A69" s="14">
        <v>2025</v>
      </c>
      <c r="B69" s="12">
        <v>12</v>
      </c>
      <c r="C69" s="13">
        <v>46006</v>
      </c>
      <c r="D69" s="3" t="s">
        <v>1841</v>
      </c>
      <c r="E69" s="3" t="s">
        <v>1842</v>
      </c>
      <c r="F69" s="3" t="s">
        <v>1843</v>
      </c>
      <c r="G69" s="3" t="s">
        <v>273</v>
      </c>
      <c r="H69" s="3" t="s">
        <v>1775</v>
      </c>
      <c r="I69" s="3" t="s">
        <v>1843</v>
      </c>
      <c r="J69" s="3" t="s">
        <v>46</v>
      </c>
      <c r="K69" s="2">
        <v>200</v>
      </c>
      <c r="L69" s="1">
        <v>31000</v>
      </c>
      <c r="M69" s="1">
        <v>6200000</v>
      </c>
    </row>
    <row r="70" spans="1:13">
      <c r="A70" s="14">
        <v>2025</v>
      </c>
      <c r="B70" s="12">
        <v>12</v>
      </c>
      <c r="C70" s="13">
        <v>46006</v>
      </c>
      <c r="D70" s="3" t="s">
        <v>1844</v>
      </c>
      <c r="E70" s="3" t="s">
        <v>1781</v>
      </c>
      <c r="F70" s="3" t="s">
        <v>875</v>
      </c>
      <c r="G70" s="3" t="s">
        <v>273</v>
      </c>
      <c r="H70" s="3" t="s">
        <v>1775</v>
      </c>
      <c r="I70" s="3" t="s">
        <v>875</v>
      </c>
      <c r="J70" s="3" t="s">
        <v>41</v>
      </c>
      <c r="K70" s="2">
        <v>50</v>
      </c>
      <c r="L70" s="1">
        <v>40000</v>
      </c>
      <c r="M70" s="1">
        <v>2000000</v>
      </c>
    </row>
    <row r="71" spans="1:13">
      <c r="A71" s="14">
        <v>2025</v>
      </c>
      <c r="B71" s="12">
        <v>12</v>
      </c>
      <c r="C71" s="13">
        <v>46008</v>
      </c>
      <c r="D71" s="3" t="s">
        <v>1845</v>
      </c>
      <c r="E71" s="3" t="s">
        <v>1777</v>
      </c>
      <c r="F71" s="3" t="s">
        <v>864</v>
      </c>
      <c r="G71" s="3" t="s">
        <v>273</v>
      </c>
      <c r="H71" s="3" t="s">
        <v>1775</v>
      </c>
      <c r="I71" s="3" t="s">
        <v>864</v>
      </c>
      <c r="J71" s="3" t="s">
        <v>38</v>
      </c>
      <c r="K71" s="2">
        <v>200</v>
      </c>
      <c r="L71" s="1">
        <v>33000</v>
      </c>
      <c r="M71" s="1">
        <v>6600000</v>
      </c>
    </row>
    <row r="72" spans="1:13">
      <c r="A72" s="14">
        <v>2025</v>
      </c>
      <c r="B72" s="12">
        <v>12</v>
      </c>
      <c r="C72" s="13">
        <v>46008</v>
      </c>
      <c r="D72" s="3" t="s">
        <v>1846</v>
      </c>
      <c r="E72" s="3" t="s">
        <v>1797</v>
      </c>
      <c r="F72" s="3" t="s">
        <v>272</v>
      </c>
      <c r="G72" s="3" t="s">
        <v>273</v>
      </c>
      <c r="H72" s="3" t="s">
        <v>1775</v>
      </c>
      <c r="I72" s="3" t="s">
        <v>272</v>
      </c>
      <c r="J72" s="3" t="s">
        <v>21</v>
      </c>
      <c r="K72" s="2">
        <v>30</v>
      </c>
      <c r="L72" s="1">
        <v>16300</v>
      </c>
      <c r="M72" s="1">
        <v>489000</v>
      </c>
    </row>
    <row r="73" spans="1:13">
      <c r="A73" s="14">
        <v>2025</v>
      </c>
      <c r="B73" s="12">
        <v>12</v>
      </c>
      <c r="C73" s="13">
        <v>46008</v>
      </c>
      <c r="D73" s="3" t="s">
        <v>1846</v>
      </c>
      <c r="E73" s="3" t="s">
        <v>1797</v>
      </c>
      <c r="F73" s="3" t="s">
        <v>272</v>
      </c>
      <c r="G73" s="3" t="s">
        <v>273</v>
      </c>
      <c r="H73" s="3" t="s">
        <v>1775</v>
      </c>
      <c r="I73" s="3" t="s">
        <v>272</v>
      </c>
      <c r="J73" s="3" t="s">
        <v>21</v>
      </c>
      <c r="K73" s="2">
        <v>90</v>
      </c>
      <c r="L73" s="1">
        <v>16300</v>
      </c>
      <c r="M73" s="1">
        <v>1467000</v>
      </c>
    </row>
    <row r="74" spans="1:13">
      <c r="A74" s="14">
        <v>2025</v>
      </c>
      <c r="B74" s="12">
        <v>12</v>
      </c>
      <c r="C74" s="13">
        <v>46013</v>
      </c>
      <c r="D74" s="3" t="s">
        <v>1847</v>
      </c>
      <c r="E74" s="3" t="s">
        <v>1792</v>
      </c>
      <c r="F74" s="3" t="s">
        <v>1848</v>
      </c>
      <c r="G74" s="3"/>
      <c r="H74" s="3" t="s">
        <v>1775</v>
      </c>
      <c r="I74" s="3" t="s">
        <v>1849</v>
      </c>
      <c r="J74" s="3" t="s">
        <v>41</v>
      </c>
      <c r="K74" s="2">
        <v>50</v>
      </c>
      <c r="L74" s="1"/>
      <c r="M74" s="1"/>
    </row>
    <row r="75" spans="1:13">
      <c r="A75" s="14">
        <v>2025</v>
      </c>
      <c r="B75" s="12">
        <v>12</v>
      </c>
      <c r="C75" s="13">
        <v>46013</v>
      </c>
      <c r="D75" s="3" t="s">
        <v>1850</v>
      </c>
      <c r="E75" s="3" t="s">
        <v>1800</v>
      </c>
      <c r="F75" s="3" t="s">
        <v>288</v>
      </c>
      <c r="G75" s="3" t="s">
        <v>273</v>
      </c>
      <c r="H75" s="3" t="s">
        <v>1775</v>
      </c>
      <c r="I75" s="3" t="s">
        <v>1801</v>
      </c>
      <c r="J75" s="3" t="s">
        <v>466</v>
      </c>
      <c r="K75" s="2">
        <v>100</v>
      </c>
      <c r="L75" s="1">
        <v>50000</v>
      </c>
      <c r="M75" s="1">
        <v>5000000</v>
      </c>
    </row>
    <row r="76" spans="1:13">
      <c r="A76" s="14">
        <v>2025</v>
      </c>
      <c r="B76" s="12">
        <v>12</v>
      </c>
      <c r="C76" s="13">
        <v>46014</v>
      </c>
      <c r="D76" s="3" t="s">
        <v>1851</v>
      </c>
      <c r="E76" s="3" t="s">
        <v>1779</v>
      </c>
      <c r="F76" s="3" t="s">
        <v>1280</v>
      </c>
      <c r="G76" s="3" t="s">
        <v>273</v>
      </c>
      <c r="H76" s="3" t="s">
        <v>1775</v>
      </c>
      <c r="I76" s="3" t="s">
        <v>1280</v>
      </c>
      <c r="J76" s="3" t="s">
        <v>46</v>
      </c>
      <c r="K76" s="2">
        <v>40</v>
      </c>
      <c r="L76" s="1">
        <v>31000</v>
      </c>
      <c r="M76" s="1">
        <v>1240000</v>
      </c>
    </row>
    <row r="77" spans="1:13">
      <c r="A77" s="14">
        <v>2025</v>
      </c>
      <c r="B77" s="12">
        <v>12</v>
      </c>
      <c r="C77" s="13">
        <v>46015</v>
      </c>
      <c r="D77" s="3" t="s">
        <v>1852</v>
      </c>
      <c r="E77" s="3" t="s">
        <v>1797</v>
      </c>
      <c r="F77" s="3" t="s">
        <v>272</v>
      </c>
      <c r="G77" s="3" t="s">
        <v>273</v>
      </c>
      <c r="H77" s="3" t="s">
        <v>1775</v>
      </c>
      <c r="I77" s="3" t="s">
        <v>272</v>
      </c>
      <c r="J77" s="3" t="s">
        <v>38</v>
      </c>
      <c r="K77" s="2">
        <v>50</v>
      </c>
      <c r="L77" s="1">
        <v>33000</v>
      </c>
      <c r="M77" s="1">
        <v>1650000</v>
      </c>
    </row>
    <row r="78" spans="1:13">
      <c r="A78" s="14">
        <v>2026</v>
      </c>
      <c r="B78" s="12">
        <v>1</v>
      </c>
      <c r="C78" s="13">
        <v>46041</v>
      </c>
      <c r="D78" s="3" t="s">
        <v>1853</v>
      </c>
      <c r="E78" s="3" t="s">
        <v>1781</v>
      </c>
      <c r="F78" s="3" t="s">
        <v>875</v>
      </c>
      <c r="G78" s="3" t="s">
        <v>273</v>
      </c>
      <c r="H78" s="3" t="s">
        <v>1775</v>
      </c>
      <c r="I78" s="3" t="s">
        <v>875</v>
      </c>
      <c r="J78" s="3" t="s">
        <v>41</v>
      </c>
      <c r="K78" s="2">
        <v>50</v>
      </c>
      <c r="L78" s="1">
        <v>40000</v>
      </c>
      <c r="M78" s="1">
        <v>2000000</v>
      </c>
    </row>
    <row r="79" spans="1:13">
      <c r="A79" s="14">
        <v>2026</v>
      </c>
      <c r="B79" s="12">
        <v>1</v>
      </c>
      <c r="C79" s="13">
        <v>46041</v>
      </c>
      <c r="D79" s="3" t="s">
        <v>1853</v>
      </c>
      <c r="E79" s="3" t="s">
        <v>1781</v>
      </c>
      <c r="F79" s="3" t="s">
        <v>875</v>
      </c>
      <c r="G79" s="3" t="s">
        <v>273</v>
      </c>
      <c r="H79" s="3" t="s">
        <v>1775</v>
      </c>
      <c r="I79" s="3" t="s">
        <v>875</v>
      </c>
      <c r="J79" s="3" t="s">
        <v>466</v>
      </c>
      <c r="K79" s="2">
        <v>80</v>
      </c>
      <c r="L79" s="1">
        <v>50000</v>
      </c>
      <c r="M79" s="1">
        <v>4000000</v>
      </c>
    </row>
    <row r="80" spans="1:13">
      <c r="A80" s="14">
        <v>2026</v>
      </c>
      <c r="B80" s="12">
        <v>1</v>
      </c>
      <c r="C80" s="13">
        <v>46041</v>
      </c>
      <c r="D80" s="3" t="s">
        <v>1853</v>
      </c>
      <c r="E80" s="3" t="s">
        <v>1781</v>
      </c>
      <c r="F80" s="3" t="s">
        <v>875</v>
      </c>
      <c r="G80" s="3" t="s">
        <v>273</v>
      </c>
      <c r="H80" s="3" t="s">
        <v>1775</v>
      </c>
      <c r="I80" s="3" t="s">
        <v>875</v>
      </c>
      <c r="J80" s="3" t="s">
        <v>38</v>
      </c>
      <c r="K80" s="2">
        <v>300</v>
      </c>
      <c r="L80" s="1">
        <v>33000</v>
      </c>
      <c r="M80" s="1">
        <v>9900000</v>
      </c>
    </row>
    <row r="81" spans="1:13">
      <c r="A81" s="14">
        <v>2026</v>
      </c>
      <c r="B81" s="12">
        <v>1</v>
      </c>
      <c r="C81" s="13">
        <v>46041</v>
      </c>
      <c r="D81" s="3" t="s">
        <v>1854</v>
      </c>
      <c r="E81" s="3" t="s">
        <v>1783</v>
      </c>
      <c r="F81" s="3" t="s">
        <v>1272</v>
      </c>
      <c r="G81" s="3" t="s">
        <v>273</v>
      </c>
      <c r="H81" s="3" t="s">
        <v>1775</v>
      </c>
      <c r="I81" s="3" t="s">
        <v>1272</v>
      </c>
      <c r="J81" s="3" t="s">
        <v>41</v>
      </c>
      <c r="K81" s="2">
        <v>50</v>
      </c>
      <c r="L81" s="1">
        <v>40000</v>
      </c>
      <c r="M81" s="1">
        <v>2000000</v>
      </c>
    </row>
    <row r="82" spans="1:13">
      <c r="A82" s="14">
        <v>2026</v>
      </c>
      <c r="B82" s="12">
        <v>1</v>
      </c>
      <c r="C82" s="13">
        <v>46041</v>
      </c>
      <c r="D82" s="3" t="s">
        <v>1855</v>
      </c>
      <c r="E82" s="3" t="s">
        <v>1797</v>
      </c>
      <c r="F82" s="3" t="s">
        <v>272</v>
      </c>
      <c r="G82" s="3" t="s">
        <v>273</v>
      </c>
      <c r="H82" s="3" t="s">
        <v>1775</v>
      </c>
      <c r="I82" s="3" t="s">
        <v>272</v>
      </c>
      <c r="J82" s="3" t="s">
        <v>466</v>
      </c>
      <c r="K82" s="2">
        <v>100</v>
      </c>
      <c r="L82" s="1">
        <v>50000</v>
      </c>
      <c r="M82" s="1">
        <v>5000000</v>
      </c>
    </row>
    <row r="83" spans="1:13">
      <c r="A83" s="14">
        <v>2026</v>
      </c>
      <c r="B83" s="12">
        <v>1</v>
      </c>
      <c r="C83" s="13">
        <v>46041</v>
      </c>
      <c r="D83" s="3" t="s">
        <v>1855</v>
      </c>
      <c r="E83" s="3" t="s">
        <v>1797</v>
      </c>
      <c r="F83" s="3" t="s">
        <v>272</v>
      </c>
      <c r="G83" s="3" t="s">
        <v>273</v>
      </c>
      <c r="H83" s="3" t="s">
        <v>1775</v>
      </c>
      <c r="I83" s="3" t="s">
        <v>272</v>
      </c>
      <c r="J83" s="3" t="s">
        <v>21</v>
      </c>
      <c r="K83" s="2">
        <v>110</v>
      </c>
      <c r="L83" s="1">
        <v>16300</v>
      </c>
      <c r="M83" s="1">
        <v>1793000</v>
      </c>
    </row>
    <row r="84" spans="1:13">
      <c r="A84" s="14">
        <v>2026</v>
      </c>
      <c r="B84" s="12">
        <v>1</v>
      </c>
      <c r="C84" s="13">
        <v>46041</v>
      </c>
      <c r="D84" s="3" t="s">
        <v>1856</v>
      </c>
      <c r="E84" s="3" t="s">
        <v>16</v>
      </c>
      <c r="F84" s="3" t="s">
        <v>281</v>
      </c>
      <c r="G84" s="3" t="s">
        <v>273</v>
      </c>
      <c r="H84" s="3" t="s">
        <v>1775</v>
      </c>
      <c r="I84" s="3" t="s">
        <v>281</v>
      </c>
      <c r="J84" s="3" t="s">
        <v>21</v>
      </c>
      <c r="K84" s="2">
        <v>50</v>
      </c>
      <c r="L84" s="1">
        <v>16300</v>
      </c>
      <c r="M84" s="1">
        <v>815000</v>
      </c>
    </row>
    <row r="85" spans="1:13">
      <c r="A85" s="14">
        <v>2026</v>
      </c>
      <c r="B85" s="12">
        <v>1</v>
      </c>
      <c r="C85" s="13">
        <v>46041</v>
      </c>
      <c r="D85" s="3" t="s">
        <v>1856</v>
      </c>
      <c r="E85" s="3" t="s">
        <v>16</v>
      </c>
      <c r="F85" s="3" t="s">
        <v>281</v>
      </c>
      <c r="G85" s="3" t="s">
        <v>273</v>
      </c>
      <c r="H85" s="3" t="s">
        <v>1775</v>
      </c>
      <c r="I85" s="3" t="s">
        <v>281</v>
      </c>
      <c r="J85" s="3" t="s">
        <v>21</v>
      </c>
      <c r="K85" s="2">
        <v>250</v>
      </c>
      <c r="L85" s="1">
        <v>16300</v>
      </c>
      <c r="M85" s="1">
        <v>4075000</v>
      </c>
    </row>
    <row r="86" spans="1:13">
      <c r="A86" s="14">
        <v>2026</v>
      </c>
      <c r="B86" s="12">
        <v>1</v>
      </c>
      <c r="C86" s="13">
        <v>46041</v>
      </c>
      <c r="D86" s="3" t="s">
        <v>1857</v>
      </c>
      <c r="E86" s="3" t="s">
        <v>1779</v>
      </c>
      <c r="F86" s="3" t="s">
        <v>1280</v>
      </c>
      <c r="G86" s="3" t="s">
        <v>273</v>
      </c>
      <c r="H86" s="3" t="s">
        <v>1775</v>
      </c>
      <c r="I86" s="3" t="s">
        <v>1280</v>
      </c>
      <c r="J86" s="3" t="s">
        <v>46</v>
      </c>
      <c r="K86" s="2">
        <v>50</v>
      </c>
      <c r="L86" s="1">
        <v>31000</v>
      </c>
      <c r="M86" s="1">
        <v>1550000</v>
      </c>
    </row>
    <row r="87" spans="1:13">
      <c r="A87" s="14">
        <v>2026</v>
      </c>
      <c r="B87" s="12">
        <v>1</v>
      </c>
      <c r="C87" s="13">
        <v>46041</v>
      </c>
      <c r="D87" s="3" t="s">
        <v>1857</v>
      </c>
      <c r="E87" s="3" t="s">
        <v>1779</v>
      </c>
      <c r="F87" s="3" t="s">
        <v>1280</v>
      </c>
      <c r="G87" s="3" t="s">
        <v>273</v>
      </c>
      <c r="H87" s="3" t="s">
        <v>1775</v>
      </c>
      <c r="I87" s="3" t="s">
        <v>1280</v>
      </c>
      <c r="J87" s="3" t="s">
        <v>46</v>
      </c>
      <c r="K87" s="2">
        <v>100</v>
      </c>
      <c r="L87" s="1">
        <v>31000</v>
      </c>
      <c r="M87" s="1">
        <v>3100000</v>
      </c>
    </row>
    <row r="88" spans="1:13">
      <c r="A88" s="14">
        <v>2026</v>
      </c>
      <c r="B88" s="12">
        <v>1</v>
      </c>
      <c r="C88" s="13">
        <v>46041</v>
      </c>
      <c r="D88" s="3" t="s">
        <v>1857</v>
      </c>
      <c r="E88" s="3" t="s">
        <v>1779</v>
      </c>
      <c r="F88" s="3" t="s">
        <v>1280</v>
      </c>
      <c r="G88" s="3" t="s">
        <v>273</v>
      </c>
      <c r="H88" s="3" t="s">
        <v>1775</v>
      </c>
      <c r="I88" s="3" t="s">
        <v>1280</v>
      </c>
      <c r="J88" s="3" t="s">
        <v>46</v>
      </c>
      <c r="K88" s="2">
        <v>50</v>
      </c>
      <c r="L88" s="1">
        <v>31000</v>
      </c>
      <c r="M88" s="1">
        <v>1550000</v>
      </c>
    </row>
    <row r="89" spans="1:13">
      <c r="A89" s="14">
        <v>2026</v>
      </c>
      <c r="B89" s="12">
        <v>1</v>
      </c>
      <c r="C89" s="13">
        <v>46041</v>
      </c>
      <c r="D89" s="3" t="s">
        <v>1857</v>
      </c>
      <c r="E89" s="3" t="s">
        <v>1779</v>
      </c>
      <c r="F89" s="3" t="s">
        <v>1280</v>
      </c>
      <c r="G89" s="3" t="s">
        <v>273</v>
      </c>
      <c r="H89" s="3" t="s">
        <v>1775</v>
      </c>
      <c r="I89" s="3" t="s">
        <v>1280</v>
      </c>
      <c r="J89" s="3" t="s">
        <v>466</v>
      </c>
      <c r="K89" s="2">
        <v>40</v>
      </c>
      <c r="L89" s="1">
        <v>50000</v>
      </c>
      <c r="M89" s="1">
        <v>2000000</v>
      </c>
    </row>
    <row r="90" spans="1:13">
      <c r="A90" s="14">
        <v>2026</v>
      </c>
      <c r="B90" s="12">
        <v>1</v>
      </c>
      <c r="C90" s="13">
        <v>46041</v>
      </c>
      <c r="D90" s="3" t="s">
        <v>1858</v>
      </c>
      <c r="E90" s="3" t="s">
        <v>1797</v>
      </c>
      <c r="F90" s="3" t="s">
        <v>272</v>
      </c>
      <c r="G90" s="3" t="s">
        <v>273</v>
      </c>
      <c r="H90" s="3" t="s">
        <v>1775</v>
      </c>
      <c r="I90" s="3" t="s">
        <v>272</v>
      </c>
      <c r="J90" s="3" t="s">
        <v>466</v>
      </c>
      <c r="K90" s="2">
        <v>120</v>
      </c>
      <c r="L90" s="1">
        <v>50000</v>
      </c>
      <c r="M90" s="1">
        <v>6000000</v>
      </c>
    </row>
    <row r="91" spans="1:13">
      <c r="A91" s="14">
        <v>2026</v>
      </c>
      <c r="B91" s="12">
        <v>1</v>
      </c>
      <c r="C91" s="13">
        <v>46042</v>
      </c>
      <c r="D91" s="3" t="s">
        <v>1859</v>
      </c>
      <c r="E91" s="3" t="s">
        <v>16</v>
      </c>
      <c r="F91" s="3" t="s">
        <v>281</v>
      </c>
      <c r="G91" s="3" t="s">
        <v>273</v>
      </c>
      <c r="H91" s="3" t="s">
        <v>1775</v>
      </c>
      <c r="I91" s="3" t="s">
        <v>281</v>
      </c>
      <c r="J91" s="3" t="s">
        <v>466</v>
      </c>
      <c r="K91" s="2">
        <v>50</v>
      </c>
      <c r="L91" s="1">
        <v>50000</v>
      </c>
      <c r="M91" s="1">
        <v>2500000</v>
      </c>
    </row>
    <row r="92" spans="1:13">
      <c r="A92" s="14">
        <v>2026</v>
      </c>
      <c r="B92" s="12">
        <v>1</v>
      </c>
      <c r="C92" s="13">
        <v>46042</v>
      </c>
      <c r="D92" s="3" t="s">
        <v>1860</v>
      </c>
      <c r="E92" s="3" t="s">
        <v>1790</v>
      </c>
      <c r="F92" s="3" t="s">
        <v>1359</v>
      </c>
      <c r="G92" s="3" t="s">
        <v>273</v>
      </c>
      <c r="H92" s="3" t="s">
        <v>1775</v>
      </c>
      <c r="I92" s="3" t="s">
        <v>1359</v>
      </c>
      <c r="J92" s="3" t="s">
        <v>41</v>
      </c>
      <c r="K92" s="2">
        <v>400</v>
      </c>
      <c r="L92" s="1">
        <v>40000</v>
      </c>
      <c r="M92" s="1">
        <v>16000000</v>
      </c>
    </row>
    <row r="93" spans="1:13">
      <c r="A93" s="14">
        <v>2026</v>
      </c>
      <c r="B93" s="12">
        <v>1</v>
      </c>
      <c r="C93" s="13">
        <v>46042</v>
      </c>
      <c r="D93" s="3" t="s">
        <v>1860</v>
      </c>
      <c r="E93" s="3" t="s">
        <v>1790</v>
      </c>
      <c r="F93" s="3" t="s">
        <v>1359</v>
      </c>
      <c r="G93" s="3" t="s">
        <v>273</v>
      </c>
      <c r="H93" s="3" t="s">
        <v>1775</v>
      </c>
      <c r="I93" s="3" t="s">
        <v>1359</v>
      </c>
      <c r="J93" s="3" t="s">
        <v>466</v>
      </c>
      <c r="K93" s="2">
        <v>500</v>
      </c>
      <c r="L93" s="1">
        <v>50000</v>
      </c>
      <c r="M93" s="1">
        <v>25000000</v>
      </c>
    </row>
    <row r="94" spans="1:13">
      <c r="A94" s="14">
        <v>2026</v>
      </c>
      <c r="B94" s="12">
        <v>1</v>
      </c>
      <c r="C94" s="13">
        <v>46042</v>
      </c>
      <c r="D94" s="3" t="s">
        <v>1861</v>
      </c>
      <c r="E94" s="3" t="s">
        <v>1862</v>
      </c>
      <c r="F94" s="3" t="s">
        <v>1264</v>
      </c>
      <c r="G94" s="3" t="s">
        <v>273</v>
      </c>
      <c r="H94" s="3" t="s">
        <v>1775</v>
      </c>
      <c r="I94" s="3" t="s">
        <v>1264</v>
      </c>
      <c r="J94" s="3" t="s">
        <v>46</v>
      </c>
      <c r="K94" s="2">
        <v>80</v>
      </c>
      <c r="L94" s="1">
        <v>31000</v>
      </c>
      <c r="M94" s="1">
        <v>2480000</v>
      </c>
    </row>
    <row r="95" spans="1:13">
      <c r="A95" s="14">
        <v>2026</v>
      </c>
      <c r="B95" s="12">
        <v>1</v>
      </c>
      <c r="C95" s="13">
        <v>46042</v>
      </c>
      <c r="D95" s="3" t="s">
        <v>1861</v>
      </c>
      <c r="E95" s="3" t="s">
        <v>1862</v>
      </c>
      <c r="F95" s="3" t="s">
        <v>1264</v>
      </c>
      <c r="G95" s="3" t="s">
        <v>273</v>
      </c>
      <c r="H95" s="3" t="s">
        <v>1775</v>
      </c>
      <c r="I95" s="3" t="s">
        <v>1264</v>
      </c>
      <c r="J95" s="3" t="s">
        <v>38</v>
      </c>
      <c r="K95" s="2">
        <v>100</v>
      </c>
      <c r="L95" s="1">
        <v>33000</v>
      </c>
      <c r="M95" s="1">
        <v>3300000</v>
      </c>
    </row>
    <row r="96" spans="1:13">
      <c r="A96" s="14">
        <v>2026</v>
      </c>
      <c r="B96" s="12">
        <v>1</v>
      </c>
      <c r="C96" s="13">
        <v>46042</v>
      </c>
      <c r="D96" s="3" t="s">
        <v>1863</v>
      </c>
      <c r="E96" s="3" t="s">
        <v>1777</v>
      </c>
      <c r="F96" s="3" t="s">
        <v>864</v>
      </c>
      <c r="G96" s="3" t="s">
        <v>273</v>
      </c>
      <c r="H96" s="3" t="s">
        <v>1775</v>
      </c>
      <c r="I96" s="3" t="s">
        <v>864</v>
      </c>
      <c r="J96" s="3" t="s">
        <v>46</v>
      </c>
      <c r="K96" s="2">
        <v>500</v>
      </c>
      <c r="L96" s="1">
        <v>31000</v>
      </c>
      <c r="M96" s="1">
        <v>15500000</v>
      </c>
    </row>
    <row r="97" spans="1:13">
      <c r="A97" s="14">
        <v>2026</v>
      </c>
      <c r="B97" s="12">
        <v>1</v>
      </c>
      <c r="C97" s="13">
        <v>46042</v>
      </c>
      <c r="D97" s="3" t="s">
        <v>1863</v>
      </c>
      <c r="E97" s="3" t="s">
        <v>1777</v>
      </c>
      <c r="F97" s="3" t="s">
        <v>864</v>
      </c>
      <c r="G97" s="3" t="s">
        <v>273</v>
      </c>
      <c r="H97" s="3" t="s">
        <v>1775</v>
      </c>
      <c r="I97" s="3" t="s">
        <v>864</v>
      </c>
      <c r="J97" s="3" t="s">
        <v>41</v>
      </c>
      <c r="K97" s="2">
        <v>400</v>
      </c>
      <c r="L97" s="1">
        <v>40000</v>
      </c>
      <c r="M97" s="1">
        <v>16000000</v>
      </c>
    </row>
    <row r="98" spans="1:13">
      <c r="A98" s="14">
        <v>2026</v>
      </c>
      <c r="B98" s="12">
        <v>1</v>
      </c>
      <c r="C98" s="13">
        <v>46042</v>
      </c>
      <c r="D98" s="3" t="s">
        <v>1863</v>
      </c>
      <c r="E98" s="3" t="s">
        <v>1777</v>
      </c>
      <c r="F98" s="3" t="s">
        <v>864</v>
      </c>
      <c r="G98" s="3" t="s">
        <v>273</v>
      </c>
      <c r="H98" s="3" t="s">
        <v>1775</v>
      </c>
      <c r="I98" s="3" t="s">
        <v>864</v>
      </c>
      <c r="J98" s="3" t="s">
        <v>38</v>
      </c>
      <c r="K98" s="2">
        <v>400</v>
      </c>
      <c r="L98" s="1">
        <v>33000</v>
      </c>
      <c r="M98" s="1">
        <v>13200000</v>
      </c>
    </row>
    <row r="99" spans="1:13">
      <c r="A99" s="14">
        <v>2026</v>
      </c>
      <c r="B99" s="12">
        <v>1</v>
      </c>
      <c r="C99" s="13">
        <v>46042</v>
      </c>
      <c r="D99" s="3" t="s">
        <v>1864</v>
      </c>
      <c r="E99" s="3" t="s">
        <v>1865</v>
      </c>
      <c r="F99" s="3" t="s">
        <v>1027</v>
      </c>
      <c r="G99" s="3" t="s">
        <v>273</v>
      </c>
      <c r="H99" s="3" t="s">
        <v>1775</v>
      </c>
      <c r="I99" s="3" t="s">
        <v>1027</v>
      </c>
      <c r="J99" s="3" t="s">
        <v>46</v>
      </c>
      <c r="K99" s="2">
        <v>50</v>
      </c>
      <c r="L99" s="1">
        <v>31000</v>
      </c>
      <c r="M99" s="1">
        <v>1550000</v>
      </c>
    </row>
    <row r="100" spans="1:13">
      <c r="A100" s="14">
        <v>2026</v>
      </c>
      <c r="B100" s="12">
        <v>1</v>
      </c>
      <c r="C100" s="13">
        <v>46042</v>
      </c>
      <c r="D100" s="3" t="s">
        <v>1864</v>
      </c>
      <c r="E100" s="3" t="s">
        <v>1865</v>
      </c>
      <c r="F100" s="3" t="s">
        <v>1027</v>
      </c>
      <c r="G100" s="3" t="s">
        <v>273</v>
      </c>
      <c r="H100" s="3" t="s">
        <v>1775</v>
      </c>
      <c r="I100" s="3" t="s">
        <v>1027</v>
      </c>
      <c r="J100" s="3" t="s">
        <v>41</v>
      </c>
      <c r="K100" s="2">
        <v>50</v>
      </c>
      <c r="L100" s="1">
        <v>40000</v>
      </c>
      <c r="M100" s="1">
        <v>2000000</v>
      </c>
    </row>
    <row r="101" spans="1:13">
      <c r="A101" s="14">
        <v>2026</v>
      </c>
      <c r="B101" s="12">
        <v>1</v>
      </c>
      <c r="C101" s="13">
        <v>46044</v>
      </c>
      <c r="D101" s="3" t="s">
        <v>1866</v>
      </c>
      <c r="E101" s="3" t="s">
        <v>1815</v>
      </c>
      <c r="F101" s="3" t="s">
        <v>894</v>
      </c>
      <c r="G101" s="3" t="s">
        <v>273</v>
      </c>
      <c r="H101" s="3" t="s">
        <v>1775</v>
      </c>
      <c r="I101" s="3" t="s">
        <v>894</v>
      </c>
      <c r="J101" s="3" t="s">
        <v>38</v>
      </c>
      <c r="K101" s="2">
        <v>500</v>
      </c>
      <c r="L101" s="1">
        <v>33000</v>
      </c>
      <c r="M101" s="1">
        <v>16500000</v>
      </c>
    </row>
    <row r="102" spans="1:13">
      <c r="A102" s="14">
        <v>2026</v>
      </c>
      <c r="B102" s="12">
        <v>1</v>
      </c>
      <c r="C102" s="13">
        <v>46045</v>
      </c>
      <c r="D102" s="3" t="s">
        <v>1867</v>
      </c>
      <c r="E102" s="3" t="s">
        <v>1806</v>
      </c>
      <c r="F102" s="3" t="s">
        <v>1499</v>
      </c>
      <c r="G102" s="3" t="s">
        <v>273</v>
      </c>
      <c r="H102" s="3" t="s">
        <v>1775</v>
      </c>
      <c r="I102" s="3" t="s">
        <v>1499</v>
      </c>
      <c r="J102" s="3" t="s">
        <v>41</v>
      </c>
      <c r="K102" s="2">
        <v>400</v>
      </c>
      <c r="L102" s="1">
        <v>40000</v>
      </c>
      <c r="M102" s="1">
        <v>16000000</v>
      </c>
    </row>
    <row r="103" spans="1:13">
      <c r="A103" s="14">
        <v>2026</v>
      </c>
      <c r="B103" s="12">
        <v>1</v>
      </c>
      <c r="C103" s="13">
        <v>46045</v>
      </c>
      <c r="D103" s="3" t="s">
        <v>1867</v>
      </c>
      <c r="E103" s="3" t="s">
        <v>1806</v>
      </c>
      <c r="F103" s="3" t="s">
        <v>1499</v>
      </c>
      <c r="G103" s="3" t="s">
        <v>273</v>
      </c>
      <c r="H103" s="3" t="s">
        <v>1775</v>
      </c>
      <c r="I103" s="3" t="s">
        <v>1499</v>
      </c>
      <c r="J103" s="3" t="s">
        <v>38</v>
      </c>
      <c r="K103" s="2">
        <v>400</v>
      </c>
      <c r="L103" s="1">
        <v>33000</v>
      </c>
      <c r="M103" s="1">
        <v>13200000</v>
      </c>
    </row>
    <row r="104" spans="1:13">
      <c r="A104" s="14">
        <v>2026</v>
      </c>
      <c r="B104" s="12">
        <v>1</v>
      </c>
      <c r="C104" s="13">
        <v>46045</v>
      </c>
      <c r="D104" s="3" t="s">
        <v>1867</v>
      </c>
      <c r="E104" s="3" t="s">
        <v>1806</v>
      </c>
      <c r="F104" s="3" t="s">
        <v>1499</v>
      </c>
      <c r="G104" s="3" t="s">
        <v>273</v>
      </c>
      <c r="H104" s="3" t="s">
        <v>1775</v>
      </c>
      <c r="I104" s="3" t="s">
        <v>1499</v>
      </c>
      <c r="J104" s="3" t="s">
        <v>21</v>
      </c>
      <c r="K104" s="2">
        <v>480</v>
      </c>
      <c r="L104" s="1">
        <v>16300</v>
      </c>
      <c r="M104" s="1">
        <v>7824000</v>
      </c>
    </row>
    <row r="105" spans="1:13">
      <c r="A105" s="14">
        <v>2026</v>
      </c>
      <c r="B105" s="12">
        <v>1</v>
      </c>
      <c r="C105" s="13">
        <v>46045</v>
      </c>
      <c r="D105" s="3" t="s">
        <v>1868</v>
      </c>
      <c r="E105" s="3" t="s">
        <v>16</v>
      </c>
      <c r="F105" s="3" t="s">
        <v>281</v>
      </c>
      <c r="G105" s="3" t="s">
        <v>273</v>
      </c>
      <c r="H105" s="3" t="s">
        <v>1775</v>
      </c>
      <c r="I105" s="3" t="s">
        <v>281</v>
      </c>
      <c r="J105" s="3" t="s">
        <v>21</v>
      </c>
      <c r="K105" s="2">
        <v>120</v>
      </c>
      <c r="L105" s="1">
        <v>16300</v>
      </c>
      <c r="M105" s="1">
        <v>1956000</v>
      </c>
    </row>
    <row r="106" spans="1:13">
      <c r="A106" s="14">
        <v>2026</v>
      </c>
      <c r="B106" s="12">
        <v>1</v>
      </c>
      <c r="C106" s="13">
        <v>46048</v>
      </c>
      <c r="D106" s="3" t="s">
        <v>1869</v>
      </c>
      <c r="E106" s="3" t="s">
        <v>1797</v>
      </c>
      <c r="F106" s="3" t="s">
        <v>272</v>
      </c>
      <c r="G106" s="3" t="s">
        <v>273</v>
      </c>
      <c r="H106" s="3" t="s">
        <v>1775</v>
      </c>
      <c r="I106" s="3" t="s">
        <v>272</v>
      </c>
      <c r="J106" s="3" t="s">
        <v>21</v>
      </c>
      <c r="K106" s="2">
        <v>130</v>
      </c>
      <c r="L106" s="1">
        <v>16300</v>
      </c>
      <c r="M106" s="1">
        <v>2119000</v>
      </c>
    </row>
    <row r="107" spans="1:13">
      <c r="A107" s="14">
        <v>2026</v>
      </c>
      <c r="B107" s="12">
        <v>1</v>
      </c>
      <c r="C107" s="13">
        <v>46048</v>
      </c>
      <c r="D107" s="3" t="s">
        <v>1869</v>
      </c>
      <c r="E107" s="3" t="s">
        <v>1797</v>
      </c>
      <c r="F107" s="3" t="s">
        <v>272</v>
      </c>
      <c r="G107" s="3" t="s">
        <v>273</v>
      </c>
      <c r="H107" s="3" t="s">
        <v>1775</v>
      </c>
      <c r="I107" s="3" t="s">
        <v>272</v>
      </c>
      <c r="J107" s="3" t="s">
        <v>21</v>
      </c>
      <c r="K107" s="2">
        <v>110</v>
      </c>
      <c r="L107" s="1">
        <v>16300</v>
      </c>
      <c r="M107" s="1">
        <v>1793000</v>
      </c>
    </row>
    <row r="108" spans="1:13">
      <c r="A108" s="14">
        <v>2026</v>
      </c>
      <c r="B108" s="12">
        <v>1</v>
      </c>
      <c r="C108" s="13">
        <v>46048</v>
      </c>
      <c r="D108" s="3" t="s">
        <v>1870</v>
      </c>
      <c r="E108" s="3" t="s">
        <v>1779</v>
      </c>
      <c r="F108" s="3" t="s">
        <v>1280</v>
      </c>
      <c r="G108" s="3" t="s">
        <v>273</v>
      </c>
      <c r="H108" s="3" t="s">
        <v>1775</v>
      </c>
      <c r="I108" s="3" t="s">
        <v>1280</v>
      </c>
      <c r="J108" s="3" t="s">
        <v>38</v>
      </c>
      <c r="K108" s="2">
        <v>80</v>
      </c>
      <c r="L108" s="1">
        <v>33000</v>
      </c>
      <c r="M108" s="1">
        <v>2640000</v>
      </c>
    </row>
    <row r="109" spans="1:13">
      <c r="A109" s="14">
        <v>2026</v>
      </c>
      <c r="B109" s="12">
        <v>1</v>
      </c>
      <c r="C109" s="13">
        <v>46048</v>
      </c>
      <c r="D109" s="3" t="s">
        <v>1871</v>
      </c>
      <c r="E109" s="3" t="s">
        <v>1797</v>
      </c>
      <c r="F109" s="3" t="s">
        <v>272</v>
      </c>
      <c r="G109" s="3" t="s">
        <v>273</v>
      </c>
      <c r="H109" s="3" t="s">
        <v>1775</v>
      </c>
      <c r="I109" s="3" t="s">
        <v>272</v>
      </c>
      <c r="J109" s="3" t="s">
        <v>21</v>
      </c>
      <c r="K109" s="2">
        <v>120</v>
      </c>
      <c r="L109" s="1">
        <v>16300</v>
      </c>
      <c r="M109" s="1">
        <v>1956000</v>
      </c>
    </row>
    <row r="110" spans="1:13">
      <c r="A110" s="14">
        <v>2026</v>
      </c>
      <c r="B110" s="12">
        <v>1</v>
      </c>
      <c r="C110" s="13">
        <v>46048</v>
      </c>
      <c r="D110" s="3" t="s">
        <v>1872</v>
      </c>
      <c r="E110" s="3" t="s">
        <v>1862</v>
      </c>
      <c r="F110" s="3" t="s">
        <v>1264</v>
      </c>
      <c r="G110" s="3" t="s">
        <v>273</v>
      </c>
      <c r="H110" s="3" t="s">
        <v>1775</v>
      </c>
      <c r="I110" s="3" t="s">
        <v>1264</v>
      </c>
      <c r="J110" s="3" t="s">
        <v>46</v>
      </c>
      <c r="K110" s="2">
        <v>160</v>
      </c>
      <c r="L110" s="1">
        <v>31000</v>
      </c>
      <c r="M110" s="1">
        <v>4960000</v>
      </c>
    </row>
    <row r="111" spans="1:13">
      <c r="A111" s="14">
        <v>2026</v>
      </c>
      <c r="B111" s="12">
        <v>1</v>
      </c>
      <c r="C111" s="13">
        <v>46048</v>
      </c>
      <c r="D111" s="3" t="s">
        <v>1873</v>
      </c>
      <c r="E111" s="3" t="s">
        <v>1797</v>
      </c>
      <c r="F111" s="3" t="s">
        <v>272</v>
      </c>
      <c r="G111" s="3" t="s">
        <v>273</v>
      </c>
      <c r="H111" s="3" t="s">
        <v>1775</v>
      </c>
      <c r="I111" s="3" t="s">
        <v>272</v>
      </c>
      <c r="J111" s="3" t="s">
        <v>41</v>
      </c>
      <c r="K111" s="2">
        <v>50</v>
      </c>
      <c r="L111" s="1">
        <v>40000</v>
      </c>
      <c r="M111" s="1">
        <v>2000000</v>
      </c>
    </row>
    <row r="112" spans="1:13">
      <c r="A112" s="14">
        <v>2026</v>
      </c>
      <c r="B112" s="12">
        <v>1</v>
      </c>
      <c r="C112" s="13">
        <v>46049</v>
      </c>
      <c r="D112" s="3" t="s">
        <v>1874</v>
      </c>
      <c r="E112" s="3" t="s">
        <v>1800</v>
      </c>
      <c r="F112" s="3" t="s">
        <v>288</v>
      </c>
      <c r="G112" s="3" t="s">
        <v>273</v>
      </c>
      <c r="H112" s="3" t="s">
        <v>1775</v>
      </c>
      <c r="I112" s="3" t="s">
        <v>1801</v>
      </c>
      <c r="J112" s="3" t="s">
        <v>38</v>
      </c>
      <c r="K112" s="2">
        <v>100</v>
      </c>
      <c r="L112" s="1">
        <v>33000</v>
      </c>
      <c r="M112" s="1">
        <v>3300000</v>
      </c>
    </row>
    <row r="113" spans="1:13">
      <c r="A113" s="14">
        <v>2026</v>
      </c>
      <c r="B113" s="12">
        <v>1</v>
      </c>
      <c r="C113" s="13">
        <v>46049</v>
      </c>
      <c r="D113" s="3" t="s">
        <v>1875</v>
      </c>
      <c r="E113" s="3" t="s">
        <v>1779</v>
      </c>
      <c r="F113" s="3" t="s">
        <v>1280</v>
      </c>
      <c r="G113" s="3" t="s">
        <v>273</v>
      </c>
      <c r="H113" s="3" t="s">
        <v>1775</v>
      </c>
      <c r="I113" s="3" t="s">
        <v>1280</v>
      </c>
      <c r="J113" s="3" t="s">
        <v>46</v>
      </c>
      <c r="K113" s="2">
        <v>200</v>
      </c>
      <c r="L113" s="1">
        <v>31000</v>
      </c>
      <c r="M113" s="1">
        <v>6200000</v>
      </c>
    </row>
    <row r="114" spans="1:13">
      <c r="A114" s="14">
        <v>2026</v>
      </c>
      <c r="B114" s="12">
        <v>1</v>
      </c>
      <c r="C114" s="13">
        <v>46050</v>
      </c>
      <c r="D114" s="3" t="s">
        <v>1876</v>
      </c>
      <c r="E114" s="3" t="s">
        <v>1777</v>
      </c>
      <c r="F114" s="3" t="s">
        <v>864</v>
      </c>
      <c r="G114" s="3" t="s">
        <v>273</v>
      </c>
      <c r="H114" s="3" t="s">
        <v>1775</v>
      </c>
      <c r="I114" s="3" t="s">
        <v>864</v>
      </c>
      <c r="J114" s="3" t="s">
        <v>46</v>
      </c>
      <c r="K114" s="1">
        <v>1000</v>
      </c>
      <c r="L114" s="1">
        <v>31000</v>
      </c>
      <c r="M114" s="1">
        <v>31000000</v>
      </c>
    </row>
    <row r="115" spans="1:13">
      <c r="A115" s="14">
        <v>2026</v>
      </c>
      <c r="B115" s="12">
        <v>1</v>
      </c>
      <c r="C115" s="13">
        <v>46050</v>
      </c>
      <c r="D115" s="3" t="s">
        <v>1877</v>
      </c>
      <c r="E115" s="3" t="s">
        <v>1779</v>
      </c>
      <c r="F115" s="3" t="s">
        <v>1280</v>
      </c>
      <c r="G115" s="3" t="s">
        <v>273</v>
      </c>
      <c r="H115" s="3" t="s">
        <v>1775</v>
      </c>
      <c r="I115" s="3" t="s">
        <v>1280</v>
      </c>
      <c r="J115" s="3" t="s">
        <v>38</v>
      </c>
      <c r="K115" s="2">
        <v>80</v>
      </c>
      <c r="L115" s="1">
        <v>33000</v>
      </c>
      <c r="M115" s="1">
        <v>2640000</v>
      </c>
    </row>
    <row r="116" spans="1:13">
      <c r="A116" s="14">
        <v>2026</v>
      </c>
      <c r="B116" s="12">
        <v>1</v>
      </c>
      <c r="C116" s="13">
        <v>46050</v>
      </c>
      <c r="D116" s="3" t="s">
        <v>1878</v>
      </c>
      <c r="E116" s="3" t="s">
        <v>1779</v>
      </c>
      <c r="F116" s="3" t="s">
        <v>1280</v>
      </c>
      <c r="G116" s="3" t="s">
        <v>273</v>
      </c>
      <c r="H116" s="3" t="s">
        <v>1775</v>
      </c>
      <c r="I116" s="3" t="s">
        <v>1280</v>
      </c>
      <c r="J116" s="3" t="s">
        <v>466</v>
      </c>
      <c r="K116" s="2">
        <v>80</v>
      </c>
      <c r="L116" s="1">
        <v>50000</v>
      </c>
      <c r="M116" s="1">
        <v>4000000</v>
      </c>
    </row>
    <row r="117" spans="1:13">
      <c r="A117" s="14">
        <v>2026</v>
      </c>
      <c r="B117" s="12">
        <v>2</v>
      </c>
      <c r="C117" s="13">
        <v>46055</v>
      </c>
      <c r="D117" s="3" t="s">
        <v>1879</v>
      </c>
      <c r="E117" s="3" t="s">
        <v>1797</v>
      </c>
      <c r="F117" s="3" t="s">
        <v>272</v>
      </c>
      <c r="G117" s="3" t="s">
        <v>273</v>
      </c>
      <c r="H117" s="3" t="s">
        <v>1775</v>
      </c>
      <c r="I117" s="3" t="s">
        <v>272</v>
      </c>
      <c r="J117" s="3" t="s">
        <v>21</v>
      </c>
      <c r="K117" s="2">
        <v>120</v>
      </c>
      <c r="L117" s="1">
        <v>16300</v>
      </c>
      <c r="M117" s="1">
        <v>1956000</v>
      </c>
    </row>
    <row r="118" spans="1:13">
      <c r="A118" s="14">
        <v>2026</v>
      </c>
      <c r="B118" s="12">
        <v>2</v>
      </c>
      <c r="C118" s="13">
        <v>46056</v>
      </c>
      <c r="D118" s="3" t="s">
        <v>1880</v>
      </c>
      <c r="E118" s="3" t="s">
        <v>1781</v>
      </c>
      <c r="F118" s="3" t="s">
        <v>875</v>
      </c>
      <c r="G118" s="3" t="s">
        <v>273</v>
      </c>
      <c r="H118" s="3" t="s">
        <v>1775</v>
      </c>
      <c r="I118" s="3" t="s">
        <v>875</v>
      </c>
      <c r="J118" s="3" t="s">
        <v>41</v>
      </c>
      <c r="K118" s="2">
        <v>50</v>
      </c>
      <c r="L118" s="1">
        <v>40000</v>
      </c>
      <c r="M118" s="1">
        <v>2000000</v>
      </c>
    </row>
    <row r="119" spans="1:13">
      <c r="A119" s="14">
        <v>2026</v>
      </c>
      <c r="B119" s="12">
        <v>2</v>
      </c>
      <c r="C119" s="13">
        <v>46056</v>
      </c>
      <c r="D119" s="3" t="s">
        <v>1881</v>
      </c>
      <c r="E119" s="3" t="s">
        <v>1792</v>
      </c>
      <c r="F119" s="3" t="s">
        <v>1848</v>
      </c>
      <c r="G119" s="3"/>
      <c r="H119" s="3" t="s">
        <v>1775</v>
      </c>
      <c r="I119" s="3" t="s">
        <v>1849</v>
      </c>
      <c r="J119" s="3" t="s">
        <v>21</v>
      </c>
      <c r="K119" s="2">
        <v>170</v>
      </c>
      <c r="L119" s="1"/>
      <c r="M119" s="1"/>
    </row>
    <row r="120" spans="1:13">
      <c r="A120" s="14">
        <v>2026</v>
      </c>
      <c r="B120" s="12">
        <v>2</v>
      </c>
      <c r="C120" s="13">
        <v>46056</v>
      </c>
      <c r="D120" s="3" t="s">
        <v>1882</v>
      </c>
      <c r="E120" s="3" t="s">
        <v>1797</v>
      </c>
      <c r="F120" s="3" t="s">
        <v>272</v>
      </c>
      <c r="G120" s="3" t="s">
        <v>273</v>
      </c>
      <c r="H120" s="3" t="s">
        <v>1775</v>
      </c>
      <c r="I120" s="3" t="s">
        <v>272</v>
      </c>
      <c r="J120" s="3" t="s">
        <v>21</v>
      </c>
      <c r="K120" s="2">
        <v>95</v>
      </c>
      <c r="L120" s="1">
        <v>16300</v>
      </c>
      <c r="M120" s="1">
        <v>1548500</v>
      </c>
    </row>
    <row r="121" spans="1:13">
      <c r="A121" s="14">
        <v>2026</v>
      </c>
      <c r="B121" s="12">
        <v>2</v>
      </c>
      <c r="C121" s="13">
        <v>46056</v>
      </c>
      <c r="D121" s="3" t="s">
        <v>1883</v>
      </c>
      <c r="E121" s="3" t="s">
        <v>1797</v>
      </c>
      <c r="F121" s="3" t="s">
        <v>272</v>
      </c>
      <c r="G121" s="3" t="s">
        <v>273</v>
      </c>
      <c r="H121" s="3" t="s">
        <v>1775</v>
      </c>
      <c r="I121" s="3" t="s">
        <v>272</v>
      </c>
      <c r="J121" s="3" t="s">
        <v>41</v>
      </c>
      <c r="K121" s="2">
        <v>50</v>
      </c>
      <c r="L121" s="1">
        <v>40000</v>
      </c>
      <c r="M121" s="1">
        <v>2000000</v>
      </c>
    </row>
    <row r="122" spans="1:13">
      <c r="A122" s="14">
        <v>2026</v>
      </c>
      <c r="B122" s="12">
        <v>2</v>
      </c>
      <c r="C122" s="13">
        <v>46058</v>
      </c>
      <c r="D122" s="3" t="s">
        <v>1884</v>
      </c>
      <c r="E122" s="3" t="s">
        <v>1781</v>
      </c>
      <c r="F122" s="3" t="s">
        <v>875</v>
      </c>
      <c r="G122" s="3" t="s">
        <v>273</v>
      </c>
      <c r="H122" s="3" t="s">
        <v>1775</v>
      </c>
      <c r="I122" s="3" t="s">
        <v>875</v>
      </c>
      <c r="J122" s="3" t="s">
        <v>38</v>
      </c>
      <c r="K122" s="2">
        <v>800</v>
      </c>
      <c r="L122" s="1">
        <v>33000</v>
      </c>
      <c r="M122" s="1">
        <v>26400000</v>
      </c>
    </row>
    <row r="123" spans="1:13">
      <c r="A123" s="14">
        <v>2026</v>
      </c>
      <c r="B123" s="12">
        <v>2</v>
      </c>
      <c r="C123" s="13">
        <v>46058</v>
      </c>
      <c r="D123" s="3" t="s">
        <v>1885</v>
      </c>
      <c r="E123" s="3" t="s">
        <v>1790</v>
      </c>
      <c r="F123" s="3" t="s">
        <v>1359</v>
      </c>
      <c r="G123" s="3" t="s">
        <v>273</v>
      </c>
      <c r="H123" s="3" t="s">
        <v>1775</v>
      </c>
      <c r="I123" s="3" t="s">
        <v>1359</v>
      </c>
      <c r="J123" s="3" t="s">
        <v>41</v>
      </c>
      <c r="K123" s="2">
        <v>200</v>
      </c>
      <c r="L123" s="1">
        <v>40000</v>
      </c>
      <c r="M123" s="1">
        <v>8000000</v>
      </c>
    </row>
    <row r="124" spans="1:13">
      <c r="A124" s="14">
        <v>2026</v>
      </c>
      <c r="B124" s="12">
        <v>2</v>
      </c>
      <c r="C124" s="13">
        <v>46058</v>
      </c>
      <c r="D124" s="3" t="s">
        <v>1885</v>
      </c>
      <c r="E124" s="3" t="s">
        <v>1790</v>
      </c>
      <c r="F124" s="3" t="s">
        <v>1359</v>
      </c>
      <c r="G124" s="3" t="s">
        <v>273</v>
      </c>
      <c r="H124" s="3" t="s">
        <v>1775</v>
      </c>
      <c r="I124" s="3" t="s">
        <v>1359</v>
      </c>
      <c r="J124" s="3" t="s">
        <v>466</v>
      </c>
      <c r="K124" s="2">
        <v>200</v>
      </c>
      <c r="L124" s="1">
        <v>50000</v>
      </c>
      <c r="M124" s="1">
        <v>10000000</v>
      </c>
    </row>
    <row r="125" spans="1:13">
      <c r="A125" s="14">
        <v>2026</v>
      </c>
      <c r="B125" s="12">
        <v>2</v>
      </c>
      <c r="C125" s="13">
        <v>46059</v>
      </c>
      <c r="D125" s="3" t="s">
        <v>1886</v>
      </c>
      <c r="E125" s="3" t="s">
        <v>1779</v>
      </c>
      <c r="F125" s="3" t="s">
        <v>1280</v>
      </c>
      <c r="G125" s="3" t="s">
        <v>273</v>
      </c>
      <c r="H125" s="3" t="s">
        <v>1775</v>
      </c>
      <c r="I125" s="3" t="s">
        <v>1280</v>
      </c>
      <c r="J125" s="3" t="s">
        <v>38</v>
      </c>
      <c r="K125" s="2">
        <v>40</v>
      </c>
      <c r="L125" s="1">
        <v>33000</v>
      </c>
      <c r="M125" s="1">
        <v>1320000</v>
      </c>
    </row>
    <row r="126" spans="1:13">
      <c r="A126" s="14">
        <v>2026</v>
      </c>
      <c r="B126" s="12">
        <v>2</v>
      </c>
      <c r="C126" s="13">
        <v>46059</v>
      </c>
      <c r="D126" s="3" t="s">
        <v>1887</v>
      </c>
      <c r="E126" s="3" t="s">
        <v>1797</v>
      </c>
      <c r="F126" s="3" t="s">
        <v>272</v>
      </c>
      <c r="G126" s="3" t="s">
        <v>273</v>
      </c>
      <c r="H126" s="3" t="s">
        <v>1775</v>
      </c>
      <c r="I126" s="3" t="s">
        <v>272</v>
      </c>
      <c r="J126" s="3" t="s">
        <v>21</v>
      </c>
      <c r="K126" s="2">
        <v>240</v>
      </c>
      <c r="L126" s="1">
        <v>16300</v>
      </c>
      <c r="M126" s="1">
        <v>3912000</v>
      </c>
    </row>
    <row r="127" spans="1:13">
      <c r="A127" s="14">
        <v>2026</v>
      </c>
      <c r="B127" s="12">
        <v>2</v>
      </c>
      <c r="C127" s="13">
        <v>46059</v>
      </c>
      <c r="D127" s="3" t="s">
        <v>1888</v>
      </c>
      <c r="E127" s="3" t="s">
        <v>1806</v>
      </c>
      <c r="F127" s="3" t="s">
        <v>1499</v>
      </c>
      <c r="G127" s="3" t="s">
        <v>273</v>
      </c>
      <c r="H127" s="3" t="s">
        <v>1775</v>
      </c>
      <c r="I127" s="3" t="s">
        <v>1499</v>
      </c>
      <c r="J127" s="3" t="s">
        <v>21</v>
      </c>
      <c r="K127" s="2">
        <v>480</v>
      </c>
      <c r="L127" s="1">
        <v>16300</v>
      </c>
      <c r="M127" s="1">
        <v>7824000</v>
      </c>
    </row>
    <row r="128" spans="1:13">
      <c r="A128" s="14">
        <v>2026</v>
      </c>
      <c r="B128" s="12">
        <v>2</v>
      </c>
      <c r="C128" s="13">
        <v>46059</v>
      </c>
      <c r="D128" s="3" t="s">
        <v>1889</v>
      </c>
      <c r="E128" s="3" t="s">
        <v>16</v>
      </c>
      <c r="F128" s="3" t="s">
        <v>281</v>
      </c>
      <c r="G128" s="3" t="s">
        <v>273</v>
      </c>
      <c r="H128" s="3" t="s">
        <v>1775</v>
      </c>
      <c r="I128" s="3" t="s">
        <v>281</v>
      </c>
      <c r="J128" s="3" t="s">
        <v>21</v>
      </c>
      <c r="K128" s="2">
        <v>50</v>
      </c>
      <c r="L128" s="1">
        <v>16300</v>
      </c>
      <c r="M128" s="1">
        <v>815000</v>
      </c>
    </row>
    <row r="129" spans="1:13">
      <c r="A129" s="14">
        <v>2026</v>
      </c>
      <c r="B129" s="12">
        <v>2</v>
      </c>
      <c r="C129" s="13">
        <v>46059</v>
      </c>
      <c r="D129" s="3" t="s">
        <v>1890</v>
      </c>
      <c r="E129" s="3" t="s">
        <v>1797</v>
      </c>
      <c r="F129" s="3" t="s">
        <v>272</v>
      </c>
      <c r="G129" s="3" t="s">
        <v>273</v>
      </c>
      <c r="H129" s="3" t="s">
        <v>1775</v>
      </c>
      <c r="I129" s="3" t="s">
        <v>272</v>
      </c>
      <c r="J129" s="3" t="s">
        <v>41</v>
      </c>
      <c r="K129" s="2">
        <v>50</v>
      </c>
      <c r="L129" s="1">
        <v>40000</v>
      </c>
      <c r="M129" s="1">
        <v>2000000</v>
      </c>
    </row>
    <row r="130" spans="1:13">
      <c r="A130" s="14">
        <v>2026</v>
      </c>
      <c r="B130" s="12">
        <v>2</v>
      </c>
      <c r="C130" s="13">
        <v>46063</v>
      </c>
      <c r="D130" s="3" t="s">
        <v>1891</v>
      </c>
      <c r="E130" s="3" t="s">
        <v>16</v>
      </c>
      <c r="F130" s="3" t="s">
        <v>281</v>
      </c>
      <c r="G130" s="3" t="s">
        <v>273</v>
      </c>
      <c r="H130" s="3" t="s">
        <v>1775</v>
      </c>
      <c r="I130" s="3" t="s">
        <v>281</v>
      </c>
      <c r="J130" s="3" t="s">
        <v>21</v>
      </c>
      <c r="K130" s="2">
        <v>40</v>
      </c>
      <c r="L130" s="1">
        <v>16300</v>
      </c>
      <c r="M130" s="1">
        <v>652000</v>
      </c>
    </row>
    <row r="131" spans="1:13">
      <c r="A131" s="14">
        <v>2026</v>
      </c>
      <c r="B131" s="12">
        <v>2</v>
      </c>
      <c r="C131" s="13">
        <v>46063</v>
      </c>
      <c r="D131" s="3" t="s">
        <v>1892</v>
      </c>
      <c r="E131" s="3" t="s">
        <v>1797</v>
      </c>
      <c r="F131" s="3" t="s">
        <v>272</v>
      </c>
      <c r="G131" s="3" t="s">
        <v>273</v>
      </c>
      <c r="H131" s="3" t="s">
        <v>1775</v>
      </c>
      <c r="I131" s="3" t="s">
        <v>272</v>
      </c>
      <c r="J131" s="3" t="s">
        <v>41</v>
      </c>
      <c r="K131" s="2">
        <v>100</v>
      </c>
      <c r="L131" s="1">
        <v>40000</v>
      </c>
      <c r="M131" s="1">
        <v>4000000</v>
      </c>
    </row>
    <row r="132" spans="1:13">
      <c r="A132" s="14">
        <v>2026</v>
      </c>
      <c r="B132" s="12">
        <v>2</v>
      </c>
      <c r="C132" s="13">
        <v>46063</v>
      </c>
      <c r="D132" s="3" t="s">
        <v>1893</v>
      </c>
      <c r="E132" s="3" t="s">
        <v>1783</v>
      </c>
      <c r="F132" s="3" t="s">
        <v>1272</v>
      </c>
      <c r="G132" s="3" t="s">
        <v>273</v>
      </c>
      <c r="H132" s="3" t="s">
        <v>1775</v>
      </c>
      <c r="I132" s="3" t="s">
        <v>1272</v>
      </c>
      <c r="J132" s="3" t="s">
        <v>41</v>
      </c>
      <c r="K132" s="2">
        <v>50</v>
      </c>
      <c r="L132" s="1">
        <v>40000</v>
      </c>
      <c r="M132" s="1">
        <v>2000000</v>
      </c>
    </row>
    <row r="133" spans="1:13">
      <c r="A133" s="14">
        <v>2026</v>
      </c>
      <c r="B133" s="12">
        <v>2</v>
      </c>
      <c r="C133" s="13">
        <v>46064</v>
      </c>
      <c r="D133" s="3" t="s">
        <v>1894</v>
      </c>
      <c r="E133" s="3" t="s">
        <v>1815</v>
      </c>
      <c r="F133" s="3" t="s">
        <v>894</v>
      </c>
      <c r="G133" s="3" t="s">
        <v>273</v>
      </c>
      <c r="H133" s="3" t="s">
        <v>1775</v>
      </c>
      <c r="I133" s="3" t="s">
        <v>894</v>
      </c>
      <c r="J133" s="3" t="s">
        <v>41</v>
      </c>
      <c r="K133" s="2">
        <v>500</v>
      </c>
      <c r="L133" s="1">
        <v>40000</v>
      </c>
      <c r="M133" s="1">
        <v>20000000</v>
      </c>
    </row>
    <row r="134" spans="1:13">
      <c r="A134" s="14">
        <v>2026</v>
      </c>
      <c r="B134" s="12">
        <v>2</v>
      </c>
      <c r="C134" s="13">
        <v>46064</v>
      </c>
      <c r="D134" s="3" t="s">
        <v>1895</v>
      </c>
      <c r="E134" s="3" t="s">
        <v>1779</v>
      </c>
      <c r="F134" s="3" t="s">
        <v>1280</v>
      </c>
      <c r="G134" s="3" t="s">
        <v>273</v>
      </c>
      <c r="H134" s="3" t="s">
        <v>1775</v>
      </c>
      <c r="I134" s="3" t="s">
        <v>1280</v>
      </c>
      <c r="J134" s="3" t="s">
        <v>38</v>
      </c>
      <c r="K134" s="2">
        <v>40</v>
      </c>
      <c r="L134" s="1">
        <v>33000</v>
      </c>
      <c r="M134" s="1">
        <v>1320000</v>
      </c>
    </row>
    <row r="135" spans="1:13">
      <c r="A135" s="14">
        <v>2026</v>
      </c>
      <c r="B135" s="12">
        <v>2</v>
      </c>
      <c r="C135" s="13">
        <v>46064</v>
      </c>
      <c r="D135" s="3" t="s">
        <v>1896</v>
      </c>
      <c r="E135" s="3" t="s">
        <v>16</v>
      </c>
      <c r="F135" s="3" t="s">
        <v>281</v>
      </c>
      <c r="G135" s="3" t="s">
        <v>273</v>
      </c>
      <c r="H135" s="3" t="s">
        <v>1775</v>
      </c>
      <c r="I135" s="3" t="s">
        <v>281</v>
      </c>
      <c r="J135" s="3" t="s">
        <v>21</v>
      </c>
      <c r="K135" s="2">
        <v>50</v>
      </c>
      <c r="L135" s="1">
        <v>16300</v>
      </c>
      <c r="M135" s="1">
        <v>815000</v>
      </c>
    </row>
    <row r="136" spans="1:13">
      <c r="A136" s="14">
        <v>2026</v>
      </c>
      <c r="B136" s="12">
        <v>2</v>
      </c>
      <c r="C136" s="13">
        <v>46065</v>
      </c>
      <c r="D136" s="3" t="s">
        <v>1897</v>
      </c>
      <c r="E136" s="3" t="s">
        <v>1862</v>
      </c>
      <c r="F136" s="3" t="s">
        <v>1264</v>
      </c>
      <c r="G136" s="3" t="s">
        <v>273</v>
      </c>
      <c r="H136" s="3" t="s">
        <v>1775</v>
      </c>
      <c r="I136" s="3" t="s">
        <v>1264</v>
      </c>
      <c r="J136" s="3" t="s">
        <v>46</v>
      </c>
      <c r="K136" s="2">
        <v>80</v>
      </c>
      <c r="L136" s="1">
        <v>31000</v>
      </c>
      <c r="M136" s="1">
        <v>2480000</v>
      </c>
    </row>
    <row r="137" spans="1:13">
      <c r="A137" s="14">
        <v>2026</v>
      </c>
      <c r="B137" s="12">
        <v>2</v>
      </c>
      <c r="C137" s="13">
        <v>46065</v>
      </c>
      <c r="D137" s="3" t="s">
        <v>1898</v>
      </c>
      <c r="E137" s="3" t="s">
        <v>1779</v>
      </c>
      <c r="F137" s="3" t="s">
        <v>1280</v>
      </c>
      <c r="G137" s="3" t="s">
        <v>273</v>
      </c>
      <c r="H137" s="3" t="s">
        <v>1775</v>
      </c>
      <c r="I137" s="3" t="s">
        <v>1280</v>
      </c>
      <c r="J137" s="3" t="s">
        <v>38</v>
      </c>
      <c r="K137" s="2">
        <v>40</v>
      </c>
      <c r="L137" s="1">
        <v>33000</v>
      </c>
      <c r="M137" s="1">
        <v>1320000</v>
      </c>
    </row>
    <row r="138" spans="1:13">
      <c r="A138" s="14">
        <v>2026</v>
      </c>
      <c r="B138" s="12">
        <v>2</v>
      </c>
      <c r="C138" s="13">
        <v>46066</v>
      </c>
      <c r="D138" s="3" t="s">
        <v>1899</v>
      </c>
      <c r="E138" s="3" t="s">
        <v>16</v>
      </c>
      <c r="F138" s="3" t="s">
        <v>281</v>
      </c>
      <c r="G138" s="3" t="s">
        <v>273</v>
      </c>
      <c r="H138" s="3" t="s">
        <v>1775</v>
      </c>
      <c r="I138" s="3" t="s">
        <v>281</v>
      </c>
      <c r="J138" s="3" t="s">
        <v>466</v>
      </c>
      <c r="K138" s="2">
        <v>40</v>
      </c>
      <c r="L138" s="1">
        <v>50000</v>
      </c>
      <c r="M138" s="1">
        <v>2000000</v>
      </c>
    </row>
    <row r="139" spans="1:13">
      <c r="A139" s="14">
        <v>2026</v>
      </c>
      <c r="B139" s="12">
        <v>2</v>
      </c>
      <c r="C139" s="13">
        <v>46066</v>
      </c>
      <c r="D139" s="3" t="s">
        <v>1900</v>
      </c>
      <c r="E139" s="3" t="s">
        <v>1797</v>
      </c>
      <c r="F139" s="3" t="s">
        <v>272</v>
      </c>
      <c r="G139" s="3" t="s">
        <v>273</v>
      </c>
      <c r="H139" s="3" t="s">
        <v>1775</v>
      </c>
      <c r="I139" s="3" t="s">
        <v>272</v>
      </c>
      <c r="J139" s="3" t="s">
        <v>21</v>
      </c>
      <c r="K139" s="2">
        <v>240</v>
      </c>
      <c r="L139" s="1">
        <v>16300</v>
      </c>
      <c r="M139" s="1">
        <v>3912000</v>
      </c>
    </row>
    <row r="140" spans="1:13">
      <c r="A140" s="14">
        <v>2026</v>
      </c>
      <c r="B140" s="12">
        <v>2</v>
      </c>
      <c r="C140" s="13">
        <v>46070</v>
      </c>
      <c r="D140" s="3" t="s">
        <v>1901</v>
      </c>
      <c r="E140" s="3" t="s">
        <v>1779</v>
      </c>
      <c r="F140" s="3" t="s">
        <v>1280</v>
      </c>
      <c r="G140" s="3" t="s">
        <v>273</v>
      </c>
      <c r="H140" s="3" t="s">
        <v>1775</v>
      </c>
      <c r="I140" s="3" t="s">
        <v>1280</v>
      </c>
      <c r="J140" s="3" t="s">
        <v>41</v>
      </c>
      <c r="K140" s="2">
        <v>40</v>
      </c>
      <c r="L140" s="1">
        <v>40000</v>
      </c>
      <c r="M140" s="1">
        <v>1600000</v>
      </c>
    </row>
    <row r="141" spans="1:13">
      <c r="A141" s="14">
        <v>2026</v>
      </c>
      <c r="B141" s="12">
        <v>2</v>
      </c>
      <c r="C141" s="13">
        <v>46071</v>
      </c>
      <c r="D141" s="3" t="s">
        <v>1902</v>
      </c>
      <c r="E141" s="3" t="s">
        <v>16</v>
      </c>
      <c r="F141" s="3" t="s">
        <v>281</v>
      </c>
      <c r="G141" s="3" t="s">
        <v>273</v>
      </c>
      <c r="H141" s="3" t="s">
        <v>1775</v>
      </c>
      <c r="I141" s="3" t="s">
        <v>281</v>
      </c>
      <c r="J141" s="3" t="s">
        <v>21</v>
      </c>
      <c r="K141" s="2">
        <v>50</v>
      </c>
      <c r="L141" s="1">
        <v>16300</v>
      </c>
      <c r="M141" s="1">
        <v>815000</v>
      </c>
    </row>
    <row r="142" spans="1:13">
      <c r="A142" s="14">
        <v>2026</v>
      </c>
      <c r="B142" s="12">
        <v>2</v>
      </c>
      <c r="C142" s="13">
        <v>46072</v>
      </c>
      <c r="D142" s="3" t="s">
        <v>1903</v>
      </c>
      <c r="E142" s="3" t="s">
        <v>1808</v>
      </c>
      <c r="F142" s="3" t="s">
        <v>1291</v>
      </c>
      <c r="G142" s="3" t="s">
        <v>273</v>
      </c>
      <c r="H142" s="3" t="s">
        <v>1775</v>
      </c>
      <c r="I142" s="3" t="s">
        <v>1291</v>
      </c>
      <c r="J142" s="3" t="s">
        <v>46</v>
      </c>
      <c r="K142" s="2">
        <v>120</v>
      </c>
      <c r="L142" s="1">
        <v>31000</v>
      </c>
      <c r="M142" s="1">
        <v>3720000</v>
      </c>
    </row>
    <row r="143" spans="1:13">
      <c r="A143" s="14">
        <v>2026</v>
      </c>
      <c r="B143" s="12">
        <v>2</v>
      </c>
      <c r="C143" s="13">
        <v>46072</v>
      </c>
      <c r="D143" s="3" t="s">
        <v>1904</v>
      </c>
      <c r="E143" s="3" t="s">
        <v>1781</v>
      </c>
      <c r="F143" s="3" t="s">
        <v>875</v>
      </c>
      <c r="G143" s="3" t="s">
        <v>273</v>
      </c>
      <c r="H143" s="3" t="s">
        <v>1775</v>
      </c>
      <c r="I143" s="3" t="s">
        <v>875</v>
      </c>
      <c r="J143" s="3" t="s">
        <v>38</v>
      </c>
      <c r="K143" s="2">
        <v>50</v>
      </c>
      <c r="L143" s="1">
        <v>33000</v>
      </c>
      <c r="M143" s="1">
        <v>1650000</v>
      </c>
    </row>
    <row r="144" spans="1:13">
      <c r="A144" s="14">
        <v>2026</v>
      </c>
      <c r="B144" s="12">
        <v>2</v>
      </c>
      <c r="C144" s="13">
        <v>46073</v>
      </c>
      <c r="D144" s="3" t="s">
        <v>1905</v>
      </c>
      <c r="E144" s="3" t="s">
        <v>1779</v>
      </c>
      <c r="F144" s="3" t="s">
        <v>1280</v>
      </c>
      <c r="G144" s="3" t="s">
        <v>273</v>
      </c>
      <c r="H144" s="3" t="s">
        <v>1775</v>
      </c>
      <c r="I144" s="3" t="s">
        <v>1280</v>
      </c>
      <c r="J144" s="3" t="s">
        <v>466</v>
      </c>
      <c r="K144" s="2">
        <v>40</v>
      </c>
      <c r="L144" s="1">
        <v>50000</v>
      </c>
      <c r="M144" s="1">
        <v>2000000</v>
      </c>
    </row>
    <row r="145" spans="1:13">
      <c r="A145" s="14">
        <v>2026</v>
      </c>
      <c r="B145" s="12">
        <v>2</v>
      </c>
      <c r="C145" s="13">
        <v>46073</v>
      </c>
      <c r="D145" s="3" t="s">
        <v>1906</v>
      </c>
      <c r="E145" s="3" t="s">
        <v>1797</v>
      </c>
      <c r="F145" s="3" t="s">
        <v>272</v>
      </c>
      <c r="G145" s="3" t="s">
        <v>273</v>
      </c>
      <c r="H145" s="3" t="s">
        <v>1775</v>
      </c>
      <c r="I145" s="3" t="s">
        <v>272</v>
      </c>
      <c r="J145" s="3" t="s">
        <v>41</v>
      </c>
      <c r="K145" s="2">
        <v>40</v>
      </c>
      <c r="L145" s="1">
        <v>40000</v>
      </c>
      <c r="M145" s="1">
        <v>1600000</v>
      </c>
    </row>
    <row r="146" spans="1:13">
      <c r="A146" s="14">
        <v>2026</v>
      </c>
      <c r="B146" s="12">
        <v>2</v>
      </c>
      <c r="C146" s="13">
        <v>46073</v>
      </c>
      <c r="D146" s="3" t="s">
        <v>1906</v>
      </c>
      <c r="E146" s="3" t="s">
        <v>1797</v>
      </c>
      <c r="F146" s="3" t="s">
        <v>272</v>
      </c>
      <c r="G146" s="3" t="s">
        <v>273</v>
      </c>
      <c r="H146" s="3" t="s">
        <v>1775</v>
      </c>
      <c r="I146" s="3" t="s">
        <v>272</v>
      </c>
      <c r="J146" s="3" t="s">
        <v>21</v>
      </c>
      <c r="K146" s="2">
        <v>120</v>
      </c>
      <c r="L146" s="1">
        <v>16300</v>
      </c>
      <c r="M146" s="1">
        <v>1956000</v>
      </c>
    </row>
    <row r="147" spans="1:13">
      <c r="A147" s="14">
        <v>2026</v>
      </c>
      <c r="B147" s="12">
        <v>2</v>
      </c>
      <c r="C147" s="13">
        <v>46073</v>
      </c>
      <c r="D147" s="3" t="s">
        <v>1907</v>
      </c>
      <c r="E147" s="3" t="s">
        <v>1797</v>
      </c>
      <c r="F147" s="3" t="s">
        <v>272</v>
      </c>
      <c r="G147" s="3" t="s">
        <v>273</v>
      </c>
      <c r="H147" s="3" t="s">
        <v>1775</v>
      </c>
      <c r="I147" s="3" t="s">
        <v>272</v>
      </c>
      <c r="J147" s="3" t="s">
        <v>21</v>
      </c>
      <c r="K147" s="2">
        <v>120</v>
      </c>
      <c r="L147" s="1">
        <v>16300</v>
      </c>
      <c r="M147" s="1">
        <v>1956000</v>
      </c>
    </row>
    <row r="148" spans="1:13">
      <c r="A148" s="14">
        <v>2026</v>
      </c>
      <c r="B148" s="12">
        <v>2</v>
      </c>
      <c r="C148" s="13">
        <v>46073</v>
      </c>
      <c r="D148" s="3" t="s">
        <v>1908</v>
      </c>
      <c r="E148" s="3" t="s">
        <v>1319</v>
      </c>
      <c r="F148" s="3" t="s">
        <v>1319</v>
      </c>
      <c r="G148" s="3" t="s">
        <v>273</v>
      </c>
      <c r="H148" s="3" t="s">
        <v>1775</v>
      </c>
      <c r="I148" s="3" t="s">
        <v>1319</v>
      </c>
      <c r="J148" s="3" t="s">
        <v>41</v>
      </c>
      <c r="K148" s="2">
        <v>100</v>
      </c>
      <c r="L148" s="1">
        <v>40000</v>
      </c>
      <c r="M148" s="1">
        <v>4000000</v>
      </c>
    </row>
    <row r="149" spans="1:13">
      <c r="A149" s="14">
        <v>2026</v>
      </c>
      <c r="B149" s="12">
        <v>2</v>
      </c>
      <c r="C149" s="13">
        <v>46076</v>
      </c>
      <c r="D149" s="3" t="s">
        <v>1909</v>
      </c>
      <c r="E149" s="3" t="s">
        <v>1806</v>
      </c>
      <c r="F149" s="3" t="s">
        <v>1499</v>
      </c>
      <c r="G149" s="3" t="s">
        <v>273</v>
      </c>
      <c r="H149" s="3" t="s">
        <v>1775</v>
      </c>
      <c r="I149" s="3" t="s">
        <v>1499</v>
      </c>
      <c r="J149" s="3" t="s">
        <v>41</v>
      </c>
      <c r="K149" s="2">
        <v>220</v>
      </c>
      <c r="L149" s="1">
        <v>40000</v>
      </c>
      <c r="M149" s="1">
        <v>8800000</v>
      </c>
    </row>
    <row r="150" spans="1:13">
      <c r="A150" s="14">
        <v>2026</v>
      </c>
      <c r="B150" s="12">
        <v>2</v>
      </c>
      <c r="C150" s="13">
        <v>46076</v>
      </c>
      <c r="D150" s="3" t="s">
        <v>1909</v>
      </c>
      <c r="E150" s="3" t="s">
        <v>1806</v>
      </c>
      <c r="F150" s="3" t="s">
        <v>1499</v>
      </c>
      <c r="G150" s="3" t="s">
        <v>273</v>
      </c>
      <c r="H150" s="3" t="s">
        <v>1775</v>
      </c>
      <c r="I150" s="3" t="s">
        <v>1499</v>
      </c>
      <c r="J150" s="3" t="s">
        <v>41</v>
      </c>
      <c r="K150" s="2">
        <v>380</v>
      </c>
      <c r="L150" s="1">
        <v>40000</v>
      </c>
      <c r="M150" s="1">
        <v>15200000</v>
      </c>
    </row>
    <row r="151" spans="1:13">
      <c r="A151" s="14">
        <v>2026</v>
      </c>
      <c r="B151" s="12">
        <v>2</v>
      </c>
      <c r="C151" s="13">
        <v>46076</v>
      </c>
      <c r="D151" s="3" t="s">
        <v>1909</v>
      </c>
      <c r="E151" s="3" t="s">
        <v>1806</v>
      </c>
      <c r="F151" s="3" t="s">
        <v>1499</v>
      </c>
      <c r="G151" s="3" t="s">
        <v>273</v>
      </c>
      <c r="H151" s="3" t="s">
        <v>1775</v>
      </c>
      <c r="I151" s="3" t="s">
        <v>1499</v>
      </c>
      <c r="J151" s="3" t="s">
        <v>38</v>
      </c>
      <c r="K151" s="2">
        <v>200</v>
      </c>
      <c r="L151" s="1">
        <v>33000</v>
      </c>
      <c r="M151" s="1">
        <v>6600000</v>
      </c>
    </row>
    <row r="152" spans="1:13">
      <c r="A152" s="14">
        <v>2026</v>
      </c>
      <c r="B152" s="12">
        <v>2</v>
      </c>
      <c r="C152" s="13">
        <v>46076</v>
      </c>
      <c r="D152" s="3" t="s">
        <v>1910</v>
      </c>
      <c r="E152" s="3" t="s">
        <v>1779</v>
      </c>
      <c r="F152" s="3" t="s">
        <v>1280</v>
      </c>
      <c r="G152" s="3" t="s">
        <v>273</v>
      </c>
      <c r="H152" s="3" t="s">
        <v>1775</v>
      </c>
      <c r="I152" s="3" t="s">
        <v>1280</v>
      </c>
      <c r="J152" s="3" t="s">
        <v>46</v>
      </c>
      <c r="K152" s="2">
        <v>200</v>
      </c>
      <c r="L152" s="1">
        <v>31000</v>
      </c>
      <c r="M152" s="1">
        <v>6200000</v>
      </c>
    </row>
    <row r="153" spans="1:13">
      <c r="A153" s="14">
        <v>2026</v>
      </c>
      <c r="B153" s="12">
        <v>2</v>
      </c>
      <c r="C153" s="13">
        <v>46076</v>
      </c>
      <c r="D153" s="3" t="s">
        <v>1910</v>
      </c>
      <c r="E153" s="3" t="s">
        <v>1779</v>
      </c>
      <c r="F153" s="3" t="s">
        <v>1280</v>
      </c>
      <c r="G153" s="3" t="s">
        <v>273</v>
      </c>
      <c r="H153" s="3" t="s">
        <v>1775</v>
      </c>
      <c r="I153" s="3" t="s">
        <v>1280</v>
      </c>
      <c r="J153" s="3" t="s">
        <v>38</v>
      </c>
      <c r="K153" s="2">
        <v>150</v>
      </c>
      <c r="L153" s="1">
        <v>33000</v>
      </c>
      <c r="M153" s="1">
        <v>4950000</v>
      </c>
    </row>
    <row r="154" spans="1:13">
      <c r="A154" s="14">
        <v>2026</v>
      </c>
      <c r="B154" s="12">
        <v>2</v>
      </c>
      <c r="C154" s="13">
        <v>46077</v>
      </c>
      <c r="D154" s="3" t="s">
        <v>1911</v>
      </c>
      <c r="E154" s="3" t="s">
        <v>16</v>
      </c>
      <c r="F154" s="3" t="s">
        <v>281</v>
      </c>
      <c r="G154" s="3" t="s">
        <v>273</v>
      </c>
      <c r="H154" s="3" t="s">
        <v>1775</v>
      </c>
      <c r="I154" s="3" t="s">
        <v>281</v>
      </c>
      <c r="J154" s="3" t="s">
        <v>466</v>
      </c>
      <c r="K154" s="2">
        <v>40</v>
      </c>
      <c r="L154" s="1">
        <v>50000</v>
      </c>
      <c r="M154" s="1">
        <v>2000000</v>
      </c>
    </row>
    <row r="155" spans="1:13">
      <c r="A155" s="14">
        <v>2026</v>
      </c>
      <c r="B155" s="12">
        <v>2</v>
      </c>
      <c r="C155" s="13">
        <v>46078</v>
      </c>
      <c r="D155" s="3" t="s">
        <v>1912</v>
      </c>
      <c r="E155" s="3" t="s">
        <v>16</v>
      </c>
      <c r="F155" s="3" t="s">
        <v>281</v>
      </c>
      <c r="G155" s="3" t="s">
        <v>273</v>
      </c>
      <c r="H155" s="3" t="s">
        <v>1775</v>
      </c>
      <c r="I155" s="3" t="s">
        <v>281</v>
      </c>
      <c r="J155" s="3" t="s">
        <v>21</v>
      </c>
      <c r="K155" s="2">
        <v>200</v>
      </c>
      <c r="L155" s="1">
        <v>16300</v>
      </c>
      <c r="M155" s="1">
        <v>3260000</v>
      </c>
    </row>
    <row r="156" spans="1:13">
      <c r="A156" s="14">
        <v>2026</v>
      </c>
      <c r="B156" s="12">
        <v>2</v>
      </c>
      <c r="C156" s="13">
        <v>46078</v>
      </c>
      <c r="D156" s="3" t="s">
        <v>1913</v>
      </c>
      <c r="E156" s="3" t="s">
        <v>1797</v>
      </c>
      <c r="F156" s="3" t="s">
        <v>272</v>
      </c>
      <c r="G156" s="3" t="s">
        <v>273</v>
      </c>
      <c r="H156" s="3" t="s">
        <v>1775</v>
      </c>
      <c r="I156" s="3" t="s">
        <v>272</v>
      </c>
      <c r="J156" s="3" t="s">
        <v>41</v>
      </c>
      <c r="K156" s="2">
        <v>50</v>
      </c>
      <c r="L156" s="1">
        <v>40000</v>
      </c>
      <c r="M156" s="1">
        <v>2000000</v>
      </c>
    </row>
    <row r="157" spans="1:13">
      <c r="A157" s="14">
        <v>2026</v>
      </c>
      <c r="B157" s="12">
        <v>2</v>
      </c>
      <c r="C157" s="13">
        <v>46078</v>
      </c>
      <c r="D157" s="3" t="s">
        <v>1913</v>
      </c>
      <c r="E157" s="3" t="s">
        <v>1797</v>
      </c>
      <c r="F157" s="3" t="s">
        <v>272</v>
      </c>
      <c r="G157" s="3" t="s">
        <v>273</v>
      </c>
      <c r="H157" s="3" t="s">
        <v>1775</v>
      </c>
      <c r="I157" s="3" t="s">
        <v>272</v>
      </c>
      <c r="J157" s="3" t="s">
        <v>466</v>
      </c>
      <c r="K157" s="2">
        <v>50</v>
      </c>
      <c r="L157" s="1">
        <v>50000</v>
      </c>
      <c r="M157" s="1">
        <v>2500000</v>
      </c>
    </row>
    <row r="158" spans="1:13">
      <c r="A158" s="14">
        <v>2026</v>
      </c>
      <c r="B158" s="12">
        <v>2</v>
      </c>
      <c r="C158" s="13">
        <v>46078</v>
      </c>
      <c r="D158" s="3" t="s">
        <v>1913</v>
      </c>
      <c r="E158" s="3" t="s">
        <v>1797</v>
      </c>
      <c r="F158" s="3" t="s">
        <v>272</v>
      </c>
      <c r="G158" s="3" t="s">
        <v>273</v>
      </c>
      <c r="H158" s="3" t="s">
        <v>1775</v>
      </c>
      <c r="I158" s="3" t="s">
        <v>272</v>
      </c>
      <c r="J158" s="3" t="s">
        <v>21</v>
      </c>
      <c r="K158" s="2">
        <v>120</v>
      </c>
      <c r="L158" s="1">
        <v>16300</v>
      </c>
      <c r="M158" s="1">
        <v>1956000</v>
      </c>
    </row>
    <row r="159" spans="1:13">
      <c r="A159" s="14">
        <v>2026</v>
      </c>
      <c r="B159" s="12">
        <v>2</v>
      </c>
      <c r="C159" s="13">
        <v>46079</v>
      </c>
      <c r="D159" s="3" t="s">
        <v>1914</v>
      </c>
      <c r="E159" s="3" t="s">
        <v>1779</v>
      </c>
      <c r="F159" s="3" t="s">
        <v>1280</v>
      </c>
      <c r="G159" s="3" t="s">
        <v>273</v>
      </c>
      <c r="H159" s="3" t="s">
        <v>1775</v>
      </c>
      <c r="I159" s="3" t="s">
        <v>1280</v>
      </c>
      <c r="J159" s="3" t="s">
        <v>466</v>
      </c>
      <c r="K159" s="2">
        <v>40</v>
      </c>
      <c r="L159" s="1">
        <v>50000</v>
      </c>
      <c r="M159" s="1">
        <v>2000000</v>
      </c>
    </row>
    <row r="160" spans="1:13">
      <c r="A160" s="14">
        <v>2026</v>
      </c>
      <c r="B160" s="12">
        <v>2</v>
      </c>
      <c r="C160" s="13">
        <v>46080</v>
      </c>
      <c r="D160" s="3" t="s">
        <v>1915</v>
      </c>
      <c r="E160" s="3" t="s">
        <v>1808</v>
      </c>
      <c r="F160" s="3" t="s">
        <v>1291</v>
      </c>
      <c r="G160" s="3" t="s">
        <v>273</v>
      </c>
      <c r="H160" s="3" t="s">
        <v>1775</v>
      </c>
      <c r="I160" s="3" t="s">
        <v>1291</v>
      </c>
      <c r="J160" s="3" t="s">
        <v>46</v>
      </c>
      <c r="K160" s="2">
        <v>500</v>
      </c>
      <c r="L160" s="1">
        <v>31000</v>
      </c>
      <c r="M160" s="1">
        <v>15500000</v>
      </c>
    </row>
    <row r="161" spans="1:13">
      <c r="A161" s="14">
        <v>2026</v>
      </c>
      <c r="B161" s="12">
        <v>2</v>
      </c>
      <c r="C161" s="13">
        <v>46080</v>
      </c>
      <c r="D161" s="3" t="s">
        <v>1915</v>
      </c>
      <c r="E161" s="3" t="s">
        <v>1808</v>
      </c>
      <c r="F161" s="3" t="s">
        <v>1291</v>
      </c>
      <c r="G161" s="3" t="s">
        <v>273</v>
      </c>
      <c r="H161" s="3" t="s">
        <v>1775</v>
      </c>
      <c r="I161" s="3" t="s">
        <v>1291</v>
      </c>
      <c r="J161" s="3" t="s">
        <v>41</v>
      </c>
      <c r="K161" s="2">
        <v>200</v>
      </c>
      <c r="L161" s="1">
        <v>40000</v>
      </c>
      <c r="M161" s="1">
        <v>8000000</v>
      </c>
    </row>
    <row r="162" spans="1:13">
      <c r="A162" s="14">
        <v>2026</v>
      </c>
      <c r="B162" s="12">
        <v>3</v>
      </c>
      <c r="C162" s="13">
        <v>46083</v>
      </c>
      <c r="D162" s="3" t="s">
        <v>1916</v>
      </c>
      <c r="E162" s="3" t="s">
        <v>16</v>
      </c>
      <c r="F162" s="3" t="s">
        <v>281</v>
      </c>
      <c r="G162" s="3" t="s">
        <v>273</v>
      </c>
      <c r="H162" s="3" t="s">
        <v>1775</v>
      </c>
      <c r="I162" s="3" t="s">
        <v>281</v>
      </c>
      <c r="J162" s="3" t="s">
        <v>38</v>
      </c>
      <c r="K162" s="2">
        <v>50</v>
      </c>
      <c r="L162" s="1">
        <v>33000</v>
      </c>
      <c r="M162" s="1">
        <v>1650000</v>
      </c>
    </row>
    <row r="163" spans="1:13">
      <c r="A163" s="14">
        <v>2026</v>
      </c>
      <c r="B163" s="12">
        <v>3</v>
      </c>
      <c r="C163" s="13">
        <v>46083</v>
      </c>
      <c r="D163" s="3" t="s">
        <v>1917</v>
      </c>
      <c r="E163" s="3" t="s">
        <v>1797</v>
      </c>
      <c r="F163" s="3" t="s">
        <v>272</v>
      </c>
      <c r="G163" s="3" t="s">
        <v>273</v>
      </c>
      <c r="H163" s="3" t="s">
        <v>1775</v>
      </c>
      <c r="I163" s="3" t="s">
        <v>272</v>
      </c>
      <c r="J163" s="3" t="s">
        <v>38</v>
      </c>
      <c r="K163" s="2">
        <v>50</v>
      </c>
      <c r="L163" s="1">
        <v>33000</v>
      </c>
      <c r="M163" s="1">
        <v>1650000</v>
      </c>
    </row>
    <row r="164" spans="1:13">
      <c r="A164" s="14">
        <v>2026</v>
      </c>
      <c r="B164" s="12">
        <v>3</v>
      </c>
      <c r="C164" s="13">
        <v>46084</v>
      </c>
      <c r="D164" s="3" t="s">
        <v>1918</v>
      </c>
      <c r="E164" s="3" t="s">
        <v>1797</v>
      </c>
      <c r="F164" s="3" t="s">
        <v>272</v>
      </c>
      <c r="G164" s="3" t="s">
        <v>273</v>
      </c>
      <c r="H164" s="3" t="s">
        <v>1775</v>
      </c>
      <c r="I164" s="3" t="s">
        <v>272</v>
      </c>
      <c r="J164" s="3" t="s">
        <v>21</v>
      </c>
      <c r="K164" s="2">
        <v>240</v>
      </c>
      <c r="L164" s="1">
        <v>16300</v>
      </c>
      <c r="M164" s="1">
        <v>3912000</v>
      </c>
    </row>
    <row r="165" spans="1:13">
      <c r="A165" s="14">
        <v>2026</v>
      </c>
      <c r="B165" s="12">
        <v>3</v>
      </c>
      <c r="C165" s="13">
        <v>46084</v>
      </c>
      <c r="D165" s="3" t="s">
        <v>1919</v>
      </c>
      <c r="E165" s="3" t="s">
        <v>1806</v>
      </c>
      <c r="F165" s="3" t="s">
        <v>1499</v>
      </c>
      <c r="G165" s="3" t="s">
        <v>273</v>
      </c>
      <c r="H165" s="3" t="s">
        <v>1775</v>
      </c>
      <c r="I165" s="3" t="s">
        <v>1499</v>
      </c>
      <c r="J165" s="3" t="s">
        <v>21</v>
      </c>
      <c r="K165" s="2">
        <v>480</v>
      </c>
      <c r="L165" s="1">
        <v>16300</v>
      </c>
      <c r="M165" s="1">
        <v>7824000</v>
      </c>
    </row>
    <row r="166" spans="1:13">
      <c r="A166" s="14">
        <v>2026</v>
      </c>
      <c r="B166" s="12">
        <v>3</v>
      </c>
      <c r="C166" s="13">
        <v>46085</v>
      </c>
      <c r="D166" s="3" t="s">
        <v>1920</v>
      </c>
      <c r="E166" s="3" t="s">
        <v>1779</v>
      </c>
      <c r="F166" s="3" t="s">
        <v>1280</v>
      </c>
      <c r="G166" s="3" t="s">
        <v>273</v>
      </c>
      <c r="H166" s="3" t="s">
        <v>1775</v>
      </c>
      <c r="I166" s="3" t="s">
        <v>1280</v>
      </c>
      <c r="J166" s="3" t="s">
        <v>46</v>
      </c>
      <c r="K166" s="2">
        <v>100</v>
      </c>
      <c r="L166" s="1">
        <v>31000</v>
      </c>
      <c r="M166" s="1">
        <v>3100000</v>
      </c>
    </row>
    <row r="167" spans="1:13">
      <c r="A167" s="14">
        <v>2026</v>
      </c>
      <c r="B167" s="12">
        <v>3</v>
      </c>
      <c r="C167" s="13">
        <v>46086</v>
      </c>
      <c r="D167" s="3" t="s">
        <v>1921</v>
      </c>
      <c r="E167" s="3" t="s">
        <v>16</v>
      </c>
      <c r="F167" s="3" t="s">
        <v>281</v>
      </c>
      <c r="G167" s="3" t="s">
        <v>273</v>
      </c>
      <c r="H167" s="3" t="s">
        <v>1775</v>
      </c>
      <c r="I167" s="3" t="s">
        <v>281</v>
      </c>
      <c r="J167" s="3" t="s">
        <v>21</v>
      </c>
      <c r="K167" s="2">
        <v>100</v>
      </c>
      <c r="L167" s="1">
        <v>16300</v>
      </c>
      <c r="M167" s="1">
        <v>1630000</v>
      </c>
    </row>
    <row r="168" spans="1:13">
      <c r="A168" s="14">
        <v>2026</v>
      </c>
      <c r="B168" s="12">
        <v>3</v>
      </c>
      <c r="C168" s="13">
        <v>46091</v>
      </c>
      <c r="D168" s="3" t="s">
        <v>1922</v>
      </c>
      <c r="E168" s="3" t="s">
        <v>1779</v>
      </c>
      <c r="F168" s="3" t="s">
        <v>1280</v>
      </c>
      <c r="G168" s="3" t="s">
        <v>273</v>
      </c>
      <c r="H168" s="3" t="s">
        <v>1775</v>
      </c>
      <c r="I168" s="3" t="s">
        <v>1280</v>
      </c>
      <c r="J168" s="3" t="s">
        <v>466</v>
      </c>
      <c r="K168" s="2">
        <v>40</v>
      </c>
      <c r="L168" s="1">
        <v>50000</v>
      </c>
      <c r="M168" s="1">
        <v>2000000</v>
      </c>
    </row>
    <row r="169" spans="1:13">
      <c r="A169" s="14">
        <v>2026</v>
      </c>
      <c r="B169" s="12">
        <v>3</v>
      </c>
      <c r="C169" s="13">
        <v>46091</v>
      </c>
      <c r="D169" s="3" t="s">
        <v>1923</v>
      </c>
      <c r="E169" s="3" t="s">
        <v>1781</v>
      </c>
      <c r="F169" s="3" t="s">
        <v>875</v>
      </c>
      <c r="G169" s="3" t="s">
        <v>273</v>
      </c>
      <c r="H169" s="3" t="s">
        <v>1775</v>
      </c>
      <c r="I169" s="3" t="s">
        <v>875</v>
      </c>
      <c r="J169" s="3" t="s">
        <v>466</v>
      </c>
      <c r="K169" s="2">
        <v>100</v>
      </c>
      <c r="L169" s="1">
        <v>50000</v>
      </c>
      <c r="M169" s="1">
        <v>5000000</v>
      </c>
    </row>
    <row r="170" spans="1:13">
      <c r="A170" s="14">
        <v>2026</v>
      </c>
      <c r="B170" s="12">
        <v>3</v>
      </c>
      <c r="C170" s="13">
        <v>46092</v>
      </c>
      <c r="D170" s="3" t="s">
        <v>1924</v>
      </c>
      <c r="E170" s="3" t="s">
        <v>1792</v>
      </c>
      <c r="F170" s="3" t="s">
        <v>1848</v>
      </c>
      <c r="G170" s="3"/>
      <c r="H170" s="3" t="s">
        <v>1775</v>
      </c>
      <c r="I170" s="3" t="s">
        <v>1849</v>
      </c>
      <c r="J170" s="3" t="s">
        <v>41</v>
      </c>
      <c r="K170" s="2">
        <v>819</v>
      </c>
      <c r="L170" s="1"/>
      <c r="M170" s="1"/>
    </row>
    <row r="171" spans="1:13">
      <c r="A171" s="14">
        <v>2026</v>
      </c>
      <c r="B171" s="12">
        <v>3</v>
      </c>
      <c r="C171" s="13">
        <v>46092</v>
      </c>
      <c r="D171" s="3" t="s">
        <v>1925</v>
      </c>
      <c r="E171" s="3" t="s">
        <v>1865</v>
      </c>
      <c r="F171" s="3" t="s">
        <v>1027</v>
      </c>
      <c r="G171" s="3" t="s">
        <v>273</v>
      </c>
      <c r="H171" s="3" t="s">
        <v>1775</v>
      </c>
      <c r="I171" s="3" t="s">
        <v>1027</v>
      </c>
      <c r="J171" s="3" t="s">
        <v>41</v>
      </c>
      <c r="K171" s="2">
        <v>100</v>
      </c>
      <c r="L171" s="1">
        <v>40000</v>
      </c>
      <c r="M171" s="1">
        <v>4000000</v>
      </c>
    </row>
    <row r="172" spans="1:13">
      <c r="A172" s="14">
        <v>2026</v>
      </c>
      <c r="B172" s="12">
        <v>3</v>
      </c>
      <c r="C172" s="13">
        <v>46092</v>
      </c>
      <c r="D172" s="3" t="s">
        <v>1926</v>
      </c>
      <c r="E172" s="3" t="s">
        <v>1790</v>
      </c>
      <c r="F172" s="3" t="s">
        <v>1359</v>
      </c>
      <c r="G172" s="3" t="s">
        <v>273</v>
      </c>
      <c r="H172" s="3" t="s">
        <v>1775</v>
      </c>
      <c r="I172" s="3" t="s">
        <v>1359</v>
      </c>
      <c r="J172" s="3" t="s">
        <v>41</v>
      </c>
      <c r="K172" s="2">
        <v>35</v>
      </c>
      <c r="L172" s="1">
        <v>40000</v>
      </c>
      <c r="M172" s="1">
        <v>1400000</v>
      </c>
    </row>
    <row r="173" spans="1:13">
      <c r="A173" s="14">
        <v>2026</v>
      </c>
      <c r="B173" s="12">
        <v>3</v>
      </c>
      <c r="C173" s="13">
        <v>46092</v>
      </c>
      <c r="D173" s="3" t="s">
        <v>1926</v>
      </c>
      <c r="E173" s="3" t="s">
        <v>1790</v>
      </c>
      <c r="F173" s="3" t="s">
        <v>1359</v>
      </c>
      <c r="G173" s="3" t="s">
        <v>273</v>
      </c>
      <c r="H173" s="3" t="s">
        <v>1775</v>
      </c>
      <c r="I173" s="3" t="s">
        <v>1359</v>
      </c>
      <c r="J173" s="3" t="s">
        <v>41</v>
      </c>
      <c r="K173" s="2">
        <v>114</v>
      </c>
      <c r="L173" s="1">
        <v>40000</v>
      </c>
      <c r="M173" s="1">
        <v>4560000</v>
      </c>
    </row>
    <row r="174" spans="1:13">
      <c r="A174" s="14">
        <v>2026</v>
      </c>
      <c r="B174" s="12">
        <v>3</v>
      </c>
      <c r="C174" s="13">
        <v>46092</v>
      </c>
      <c r="D174" s="3" t="s">
        <v>1926</v>
      </c>
      <c r="E174" s="3" t="s">
        <v>1790</v>
      </c>
      <c r="F174" s="3" t="s">
        <v>1359</v>
      </c>
      <c r="G174" s="3" t="s">
        <v>273</v>
      </c>
      <c r="H174" s="3" t="s">
        <v>1775</v>
      </c>
      <c r="I174" s="3" t="s">
        <v>1359</v>
      </c>
      <c r="J174" s="3" t="s">
        <v>41</v>
      </c>
      <c r="K174" s="2">
        <v>51</v>
      </c>
      <c r="L174" s="1">
        <v>40000</v>
      </c>
      <c r="M174" s="1">
        <v>2040000</v>
      </c>
    </row>
    <row r="175" spans="1:13">
      <c r="A175" s="14">
        <v>2026</v>
      </c>
      <c r="B175" s="12">
        <v>3</v>
      </c>
      <c r="C175" s="13">
        <v>46092</v>
      </c>
      <c r="D175" s="3" t="s">
        <v>1926</v>
      </c>
      <c r="E175" s="3" t="s">
        <v>1790</v>
      </c>
      <c r="F175" s="3" t="s">
        <v>1359</v>
      </c>
      <c r="G175" s="3" t="s">
        <v>273</v>
      </c>
      <c r="H175" s="3" t="s">
        <v>1775</v>
      </c>
      <c r="I175" s="3" t="s">
        <v>1359</v>
      </c>
      <c r="J175" s="3" t="s">
        <v>466</v>
      </c>
      <c r="K175" s="2">
        <v>200</v>
      </c>
      <c r="L175" s="1">
        <v>50000</v>
      </c>
      <c r="M175" s="1">
        <v>10000000</v>
      </c>
    </row>
    <row r="176" spans="1:13">
      <c r="A176" s="14">
        <v>2026</v>
      </c>
      <c r="B176" s="12">
        <v>3</v>
      </c>
      <c r="C176" s="13">
        <v>46093</v>
      </c>
      <c r="D176" s="3" t="s">
        <v>1927</v>
      </c>
      <c r="E176" s="3" t="s">
        <v>1779</v>
      </c>
      <c r="F176" s="3" t="s">
        <v>1280</v>
      </c>
      <c r="G176" s="3" t="s">
        <v>273</v>
      </c>
      <c r="H176" s="3" t="s">
        <v>1775</v>
      </c>
      <c r="I176" s="3" t="s">
        <v>1280</v>
      </c>
      <c r="J176" s="3" t="s">
        <v>46</v>
      </c>
      <c r="K176" s="2">
        <v>120</v>
      </c>
      <c r="L176" s="1">
        <v>31000</v>
      </c>
      <c r="M176" s="1">
        <v>3720000</v>
      </c>
    </row>
    <row r="177" spans="1:13">
      <c r="A177" s="14">
        <v>2026</v>
      </c>
      <c r="B177" s="12">
        <v>3</v>
      </c>
      <c r="C177" s="13">
        <v>46093</v>
      </c>
      <c r="D177" s="3" t="s">
        <v>1928</v>
      </c>
      <c r="E177" s="3" t="s">
        <v>1800</v>
      </c>
      <c r="F177" s="3" t="s">
        <v>288</v>
      </c>
      <c r="G177" s="3" t="s">
        <v>273</v>
      </c>
      <c r="H177" s="3" t="s">
        <v>1775</v>
      </c>
      <c r="I177" s="3" t="s">
        <v>1801</v>
      </c>
      <c r="J177" s="3" t="s">
        <v>38</v>
      </c>
      <c r="K177" s="2">
        <v>100</v>
      </c>
      <c r="L177" s="1">
        <v>33000</v>
      </c>
      <c r="M177" s="1">
        <v>3300000</v>
      </c>
    </row>
    <row r="178" spans="1:13">
      <c r="A178" s="14">
        <v>2026</v>
      </c>
      <c r="B178" s="12">
        <v>3</v>
      </c>
      <c r="C178" s="13">
        <v>46097</v>
      </c>
      <c r="D178" s="3" t="s">
        <v>1929</v>
      </c>
      <c r="E178" s="3" t="s">
        <v>16</v>
      </c>
      <c r="F178" s="3" t="s">
        <v>281</v>
      </c>
      <c r="G178" s="3" t="s">
        <v>273</v>
      </c>
      <c r="H178" s="3" t="s">
        <v>1775</v>
      </c>
      <c r="I178" s="3" t="s">
        <v>281</v>
      </c>
      <c r="J178" s="3" t="s">
        <v>466</v>
      </c>
      <c r="K178" s="2">
        <v>40</v>
      </c>
      <c r="L178" s="1">
        <v>50000</v>
      </c>
      <c r="M178" s="1">
        <v>2000000</v>
      </c>
    </row>
    <row r="179" spans="1:13">
      <c r="A179" s="14">
        <v>2026</v>
      </c>
      <c r="B179" s="12">
        <v>3</v>
      </c>
      <c r="C179" s="13">
        <v>46098</v>
      </c>
      <c r="D179" s="3" t="s">
        <v>1930</v>
      </c>
      <c r="E179" s="3" t="s">
        <v>1779</v>
      </c>
      <c r="F179" s="3" t="s">
        <v>1280</v>
      </c>
      <c r="G179" s="3" t="s">
        <v>273</v>
      </c>
      <c r="H179" s="3" t="s">
        <v>1775</v>
      </c>
      <c r="I179" s="3" t="s">
        <v>1280</v>
      </c>
      <c r="J179" s="3" t="s">
        <v>38</v>
      </c>
      <c r="K179" s="2">
        <v>100</v>
      </c>
      <c r="L179" s="1">
        <v>33000</v>
      </c>
      <c r="M179" s="1">
        <v>3300000</v>
      </c>
    </row>
    <row r="180" spans="1:13">
      <c r="A180" s="14">
        <v>2026</v>
      </c>
      <c r="B180" s="12">
        <v>3</v>
      </c>
      <c r="C180" s="13">
        <v>46098</v>
      </c>
      <c r="D180" s="3" t="s">
        <v>1931</v>
      </c>
      <c r="E180" s="3" t="s">
        <v>1797</v>
      </c>
      <c r="F180" s="3" t="s">
        <v>272</v>
      </c>
      <c r="G180" s="3" t="s">
        <v>273</v>
      </c>
      <c r="H180" s="3" t="s">
        <v>1775</v>
      </c>
      <c r="I180" s="3" t="s">
        <v>272</v>
      </c>
      <c r="J180" s="3" t="s">
        <v>41</v>
      </c>
      <c r="K180" s="2">
        <v>50</v>
      </c>
      <c r="L180" s="1">
        <v>40000</v>
      </c>
      <c r="M180" s="1">
        <v>2000000</v>
      </c>
    </row>
    <row r="181" spans="1:13">
      <c r="A181" s="14">
        <v>2026</v>
      </c>
      <c r="B181" s="12">
        <v>3</v>
      </c>
      <c r="C181" s="13">
        <v>46098</v>
      </c>
      <c r="D181" s="3" t="s">
        <v>1931</v>
      </c>
      <c r="E181" s="3" t="s">
        <v>1797</v>
      </c>
      <c r="F181" s="3" t="s">
        <v>272</v>
      </c>
      <c r="G181" s="3" t="s">
        <v>273</v>
      </c>
      <c r="H181" s="3" t="s">
        <v>1775</v>
      </c>
      <c r="I181" s="3" t="s">
        <v>272</v>
      </c>
      <c r="J181" s="3" t="s">
        <v>38</v>
      </c>
      <c r="K181" s="2">
        <v>50</v>
      </c>
      <c r="L181" s="1">
        <v>33000</v>
      </c>
      <c r="M181" s="1">
        <v>1650000</v>
      </c>
    </row>
    <row r="182" spans="1:13">
      <c r="A182" s="14">
        <v>2026</v>
      </c>
      <c r="B182" s="12">
        <v>3</v>
      </c>
      <c r="C182" s="13">
        <v>46098</v>
      </c>
      <c r="D182" s="3" t="s">
        <v>1932</v>
      </c>
      <c r="E182" s="3" t="s">
        <v>1815</v>
      </c>
      <c r="F182" s="3" t="s">
        <v>894</v>
      </c>
      <c r="G182" s="3" t="s">
        <v>273</v>
      </c>
      <c r="H182" s="3" t="s">
        <v>1775</v>
      </c>
      <c r="I182" s="3" t="s">
        <v>894</v>
      </c>
      <c r="J182" s="3" t="s">
        <v>41</v>
      </c>
      <c r="K182" s="2">
        <v>496</v>
      </c>
      <c r="L182" s="1">
        <v>40000</v>
      </c>
      <c r="M182" s="1">
        <v>19840000</v>
      </c>
    </row>
    <row r="183" spans="1:13">
      <c r="A183" s="14">
        <v>2026</v>
      </c>
      <c r="B183" s="12">
        <v>3</v>
      </c>
      <c r="C183" s="13">
        <v>46098</v>
      </c>
      <c r="D183" s="3" t="s">
        <v>1932</v>
      </c>
      <c r="E183" s="3" t="s">
        <v>1815</v>
      </c>
      <c r="F183" s="3" t="s">
        <v>894</v>
      </c>
      <c r="G183" s="3" t="s">
        <v>273</v>
      </c>
      <c r="H183" s="3" t="s">
        <v>1775</v>
      </c>
      <c r="I183" s="3" t="s">
        <v>894</v>
      </c>
      <c r="J183" s="3" t="s">
        <v>41</v>
      </c>
      <c r="K183" s="2">
        <v>4</v>
      </c>
      <c r="L183" s="1">
        <v>40000</v>
      </c>
      <c r="M183" s="1">
        <v>160000</v>
      </c>
    </row>
    <row r="184" spans="1:13">
      <c r="A184" s="14">
        <v>2026</v>
      </c>
      <c r="B184" s="12">
        <v>3</v>
      </c>
      <c r="C184" s="13">
        <v>46098</v>
      </c>
      <c r="D184" s="3" t="s">
        <v>1933</v>
      </c>
      <c r="E184" s="3" t="s">
        <v>1797</v>
      </c>
      <c r="F184" s="3" t="s">
        <v>272</v>
      </c>
      <c r="G184" s="3" t="s">
        <v>273</v>
      </c>
      <c r="H184" s="3" t="s">
        <v>1775</v>
      </c>
      <c r="I184" s="3" t="s">
        <v>272</v>
      </c>
      <c r="J184" s="3" t="s">
        <v>41</v>
      </c>
      <c r="K184" s="2">
        <v>50</v>
      </c>
      <c r="L184" s="1">
        <v>40000</v>
      </c>
      <c r="M184" s="1">
        <v>2000000</v>
      </c>
    </row>
    <row r="185" spans="1:13">
      <c r="A185" s="14">
        <v>2026</v>
      </c>
      <c r="B185" s="12">
        <v>3</v>
      </c>
      <c r="C185" s="13">
        <v>46098</v>
      </c>
      <c r="D185" s="3" t="s">
        <v>1933</v>
      </c>
      <c r="E185" s="3" t="s">
        <v>1797</v>
      </c>
      <c r="F185" s="3" t="s">
        <v>272</v>
      </c>
      <c r="G185" s="3" t="s">
        <v>273</v>
      </c>
      <c r="H185" s="3" t="s">
        <v>1775</v>
      </c>
      <c r="I185" s="3" t="s">
        <v>272</v>
      </c>
      <c r="J185" s="3" t="s">
        <v>21</v>
      </c>
      <c r="K185" s="2">
        <v>120</v>
      </c>
      <c r="L185" s="1">
        <v>16300</v>
      </c>
      <c r="M185" s="1">
        <v>1956000</v>
      </c>
    </row>
    <row r="186" spans="1:13">
      <c r="A186" s="14">
        <v>2026</v>
      </c>
      <c r="B186" s="12">
        <v>3</v>
      </c>
      <c r="C186" s="13">
        <v>46099</v>
      </c>
      <c r="D186" s="3" t="s">
        <v>1934</v>
      </c>
      <c r="E186" s="3" t="s">
        <v>1797</v>
      </c>
      <c r="F186" s="3" t="s">
        <v>272</v>
      </c>
      <c r="G186" s="3" t="s">
        <v>273</v>
      </c>
      <c r="H186" s="3" t="s">
        <v>1775</v>
      </c>
      <c r="I186" s="3" t="s">
        <v>272</v>
      </c>
      <c r="J186" s="3" t="s">
        <v>21</v>
      </c>
      <c r="K186" s="2">
        <v>120</v>
      </c>
      <c r="L186" s="1">
        <v>16300</v>
      </c>
      <c r="M186" s="1">
        <v>1956000</v>
      </c>
    </row>
    <row r="187" spans="1:13">
      <c r="A187" s="14">
        <v>2026</v>
      </c>
      <c r="B187" s="12">
        <v>3</v>
      </c>
      <c r="C187" s="13">
        <v>46105</v>
      </c>
      <c r="D187" s="3" t="s">
        <v>1935</v>
      </c>
      <c r="E187" s="3" t="s">
        <v>1865</v>
      </c>
      <c r="F187" s="3" t="s">
        <v>1027</v>
      </c>
      <c r="G187" s="3" t="s">
        <v>273</v>
      </c>
      <c r="H187" s="3" t="s">
        <v>1775</v>
      </c>
      <c r="I187" s="3" t="s">
        <v>1027</v>
      </c>
      <c r="J187" s="3" t="s">
        <v>46</v>
      </c>
      <c r="K187" s="2">
        <v>200</v>
      </c>
      <c r="L187" s="1">
        <v>31000</v>
      </c>
      <c r="M187" s="1">
        <v>6200000</v>
      </c>
    </row>
    <row r="188" spans="1:13">
      <c r="A188" s="14">
        <v>2026</v>
      </c>
      <c r="B188" s="12">
        <v>3</v>
      </c>
      <c r="C188" s="13">
        <v>46105</v>
      </c>
      <c r="D188" s="3" t="s">
        <v>1936</v>
      </c>
      <c r="E188" s="3" t="s">
        <v>1797</v>
      </c>
      <c r="F188" s="3" t="s">
        <v>272</v>
      </c>
      <c r="G188" s="3" t="s">
        <v>273</v>
      </c>
      <c r="H188" s="3" t="s">
        <v>1775</v>
      </c>
      <c r="I188" s="3" t="s">
        <v>272</v>
      </c>
      <c r="J188" s="3" t="s">
        <v>41</v>
      </c>
      <c r="K188" s="2">
        <v>50</v>
      </c>
      <c r="L188" s="1">
        <v>40000</v>
      </c>
      <c r="M188" s="1">
        <v>2000000</v>
      </c>
    </row>
    <row r="189" spans="1:13">
      <c r="A189" s="14">
        <v>2026</v>
      </c>
      <c r="B189" s="12">
        <v>3</v>
      </c>
      <c r="C189" s="13">
        <v>46106</v>
      </c>
      <c r="D189" s="3" t="s">
        <v>1937</v>
      </c>
      <c r="E189" s="3" t="s">
        <v>1797</v>
      </c>
      <c r="F189" s="3" t="s">
        <v>272</v>
      </c>
      <c r="G189" s="3" t="s">
        <v>273</v>
      </c>
      <c r="H189" s="3" t="s">
        <v>1775</v>
      </c>
      <c r="I189" s="3" t="s">
        <v>272</v>
      </c>
      <c r="J189" s="3" t="s">
        <v>41</v>
      </c>
      <c r="K189" s="2">
        <v>50</v>
      </c>
      <c r="L189" s="1">
        <v>40000</v>
      </c>
      <c r="M189" s="1">
        <v>2000000</v>
      </c>
    </row>
    <row r="190" spans="1:13">
      <c r="A190" s="14">
        <v>2026</v>
      </c>
      <c r="B190" s="12">
        <v>3</v>
      </c>
      <c r="C190" s="13">
        <v>46106</v>
      </c>
      <c r="D190" s="3" t="s">
        <v>1937</v>
      </c>
      <c r="E190" s="3" t="s">
        <v>1797</v>
      </c>
      <c r="F190" s="3" t="s">
        <v>272</v>
      </c>
      <c r="G190" s="3" t="s">
        <v>273</v>
      </c>
      <c r="H190" s="3" t="s">
        <v>1775</v>
      </c>
      <c r="I190" s="3" t="s">
        <v>272</v>
      </c>
      <c r="J190" s="3" t="s">
        <v>21</v>
      </c>
      <c r="K190" s="2">
        <v>120</v>
      </c>
      <c r="L190" s="1">
        <v>16300</v>
      </c>
      <c r="M190" s="1">
        <v>1956000</v>
      </c>
    </row>
    <row r="191" spans="1:13">
      <c r="A191" s="14">
        <v>2026</v>
      </c>
      <c r="B191" s="12">
        <v>3</v>
      </c>
      <c r="C191" s="13">
        <v>46106</v>
      </c>
      <c r="D191" s="3" t="s">
        <v>1938</v>
      </c>
      <c r="E191" s="3" t="s">
        <v>1797</v>
      </c>
      <c r="F191" s="3" t="s">
        <v>272</v>
      </c>
      <c r="G191" s="3" t="s">
        <v>273</v>
      </c>
      <c r="H191" s="3" t="s">
        <v>1775</v>
      </c>
      <c r="I191" s="3" t="s">
        <v>272</v>
      </c>
      <c r="J191" s="3" t="s">
        <v>466</v>
      </c>
      <c r="K191" s="2">
        <v>40</v>
      </c>
      <c r="L191" s="1">
        <v>50000</v>
      </c>
      <c r="M191" s="1">
        <v>2000000</v>
      </c>
    </row>
    <row r="192" spans="1:13">
      <c r="A192" s="14">
        <v>2026</v>
      </c>
      <c r="B192" s="12">
        <v>3</v>
      </c>
      <c r="C192" s="13">
        <v>46106</v>
      </c>
      <c r="D192" s="3" t="s">
        <v>1939</v>
      </c>
      <c r="E192" s="3" t="s">
        <v>16</v>
      </c>
      <c r="F192" s="3" t="s">
        <v>281</v>
      </c>
      <c r="G192" s="3" t="s">
        <v>273</v>
      </c>
      <c r="H192" s="3" t="s">
        <v>1775</v>
      </c>
      <c r="I192" s="3" t="s">
        <v>281</v>
      </c>
      <c r="J192" s="3" t="s">
        <v>21</v>
      </c>
      <c r="K192" s="2">
        <v>110</v>
      </c>
      <c r="L192" s="1">
        <v>16300</v>
      </c>
      <c r="M192" s="1">
        <v>1793000</v>
      </c>
    </row>
    <row r="193" spans="1:13">
      <c r="A193" s="14">
        <v>2026</v>
      </c>
      <c r="B193" s="12">
        <v>3</v>
      </c>
      <c r="C193" s="13">
        <v>46107</v>
      </c>
      <c r="D193" s="3" t="s">
        <v>1940</v>
      </c>
      <c r="E193" s="3" t="s">
        <v>1862</v>
      </c>
      <c r="F193" s="3" t="s">
        <v>1264</v>
      </c>
      <c r="G193" s="3" t="s">
        <v>273</v>
      </c>
      <c r="H193" s="3" t="s">
        <v>1775</v>
      </c>
      <c r="I193" s="3" t="s">
        <v>1264</v>
      </c>
      <c r="J193" s="3" t="s">
        <v>46</v>
      </c>
      <c r="K193" s="2">
        <v>120</v>
      </c>
      <c r="L193" s="1">
        <v>31000</v>
      </c>
      <c r="M193" s="1">
        <v>3720000</v>
      </c>
    </row>
    <row r="194" spans="1:13">
      <c r="A194" s="14">
        <v>2026</v>
      </c>
      <c r="B194" s="12">
        <v>3</v>
      </c>
      <c r="C194" s="13">
        <v>46108</v>
      </c>
      <c r="D194" s="3" t="s">
        <v>1941</v>
      </c>
      <c r="E194" s="3" t="s">
        <v>1797</v>
      </c>
      <c r="F194" s="3" t="s">
        <v>272</v>
      </c>
      <c r="G194" s="3" t="s">
        <v>273</v>
      </c>
      <c r="H194" s="3" t="s">
        <v>1775</v>
      </c>
      <c r="I194" s="3" t="s">
        <v>272</v>
      </c>
      <c r="J194" s="3" t="s">
        <v>41</v>
      </c>
      <c r="K194" s="2">
        <v>65</v>
      </c>
      <c r="L194" s="1">
        <v>40000</v>
      </c>
      <c r="M194" s="1">
        <v>2600000</v>
      </c>
    </row>
    <row r="195" spans="1:13">
      <c r="A195" s="14">
        <v>2026</v>
      </c>
      <c r="B195" s="12">
        <v>3</v>
      </c>
      <c r="C195" s="13">
        <v>46108</v>
      </c>
      <c r="D195" s="3" t="s">
        <v>1941</v>
      </c>
      <c r="E195" s="3" t="s">
        <v>1797</v>
      </c>
      <c r="F195" s="3" t="s">
        <v>272</v>
      </c>
      <c r="G195" s="3" t="s">
        <v>273</v>
      </c>
      <c r="H195" s="3" t="s">
        <v>1775</v>
      </c>
      <c r="I195" s="3" t="s">
        <v>272</v>
      </c>
      <c r="J195" s="3" t="s">
        <v>41</v>
      </c>
      <c r="K195" s="2">
        <v>35</v>
      </c>
      <c r="L195" s="1">
        <v>40000</v>
      </c>
      <c r="M195" s="1">
        <v>1400000</v>
      </c>
    </row>
    <row r="196" spans="1:13">
      <c r="A196" s="14">
        <v>2026</v>
      </c>
      <c r="B196" s="12">
        <v>3</v>
      </c>
      <c r="C196" s="13">
        <v>46111</v>
      </c>
      <c r="D196" s="3" t="s">
        <v>1942</v>
      </c>
      <c r="E196" s="3" t="s">
        <v>1779</v>
      </c>
      <c r="F196" s="3" t="s">
        <v>1280</v>
      </c>
      <c r="G196" s="3" t="s">
        <v>273</v>
      </c>
      <c r="H196" s="3" t="s">
        <v>1775</v>
      </c>
      <c r="I196" s="3" t="s">
        <v>1280</v>
      </c>
      <c r="J196" s="3" t="s">
        <v>46</v>
      </c>
      <c r="K196" s="2">
        <v>120</v>
      </c>
      <c r="L196" s="1">
        <v>31000</v>
      </c>
      <c r="M196" s="1">
        <v>3720000</v>
      </c>
    </row>
    <row r="197" spans="1:13">
      <c r="A197" s="14">
        <v>2026</v>
      </c>
      <c r="B197" s="12">
        <v>3</v>
      </c>
      <c r="C197" s="13">
        <v>46111</v>
      </c>
      <c r="D197" s="3" t="s">
        <v>1943</v>
      </c>
      <c r="E197" s="3" t="s">
        <v>16</v>
      </c>
      <c r="F197" s="3" t="s">
        <v>281</v>
      </c>
      <c r="G197" s="3" t="s">
        <v>273</v>
      </c>
      <c r="H197" s="3" t="s">
        <v>1775</v>
      </c>
      <c r="I197" s="3" t="s">
        <v>281</v>
      </c>
      <c r="J197" s="3" t="s">
        <v>38</v>
      </c>
      <c r="K197" s="2">
        <v>50</v>
      </c>
      <c r="L197" s="1">
        <v>33000</v>
      </c>
      <c r="M197" s="1">
        <v>1650000</v>
      </c>
    </row>
    <row r="198" spans="1:13">
      <c r="A198" s="14">
        <v>2026</v>
      </c>
      <c r="B198" s="12">
        <v>3</v>
      </c>
      <c r="C198" s="13">
        <v>46112</v>
      </c>
      <c r="D198" s="3" t="s">
        <v>1944</v>
      </c>
      <c r="E198" s="3" t="s">
        <v>1797</v>
      </c>
      <c r="F198" s="3" t="s">
        <v>272</v>
      </c>
      <c r="G198" s="3" t="s">
        <v>273</v>
      </c>
      <c r="H198" s="3" t="s">
        <v>1775</v>
      </c>
      <c r="I198" s="3" t="s">
        <v>272</v>
      </c>
      <c r="J198" s="3" t="s">
        <v>466</v>
      </c>
      <c r="K198" s="2">
        <v>40</v>
      </c>
      <c r="L198" s="1">
        <v>50000</v>
      </c>
      <c r="M198" s="1">
        <v>2000000</v>
      </c>
    </row>
    <row r="199" spans="1:13">
      <c r="A199" s="14">
        <v>2026</v>
      </c>
      <c r="B199" s="12">
        <v>3</v>
      </c>
      <c r="C199" s="13">
        <v>46112</v>
      </c>
      <c r="D199" s="3" t="s">
        <v>1944</v>
      </c>
      <c r="E199" s="3" t="s">
        <v>1797</v>
      </c>
      <c r="F199" s="3" t="s">
        <v>272</v>
      </c>
      <c r="G199" s="3" t="s">
        <v>273</v>
      </c>
      <c r="H199" s="3" t="s">
        <v>1775</v>
      </c>
      <c r="I199" s="3" t="s">
        <v>272</v>
      </c>
      <c r="J199" s="3" t="s">
        <v>38</v>
      </c>
      <c r="K199" s="2">
        <v>40</v>
      </c>
      <c r="L199" s="1">
        <v>33000</v>
      </c>
      <c r="M199" s="1">
        <v>1320000</v>
      </c>
    </row>
    <row r="200" spans="1:13">
      <c r="A200" s="14">
        <v>2026</v>
      </c>
      <c r="B200" s="12">
        <v>4</v>
      </c>
      <c r="C200" s="13">
        <v>46114</v>
      </c>
      <c r="D200" s="3" t="s">
        <v>1945</v>
      </c>
      <c r="E200" s="3" t="s">
        <v>1779</v>
      </c>
      <c r="F200" s="3" t="s">
        <v>1280</v>
      </c>
      <c r="G200" s="3" t="s">
        <v>273</v>
      </c>
      <c r="H200" s="3" t="s">
        <v>1775</v>
      </c>
      <c r="I200" s="3" t="s">
        <v>1280</v>
      </c>
      <c r="J200" s="3" t="s">
        <v>41</v>
      </c>
      <c r="K200" s="2">
        <v>61</v>
      </c>
      <c r="L200" s="1">
        <v>40000</v>
      </c>
      <c r="M200" s="1">
        <v>2440000</v>
      </c>
    </row>
    <row r="201" spans="1:13">
      <c r="A201" s="14">
        <v>2026</v>
      </c>
      <c r="B201" s="12">
        <v>4</v>
      </c>
      <c r="C201" s="13">
        <v>46114</v>
      </c>
      <c r="D201" s="3" t="s">
        <v>1945</v>
      </c>
      <c r="E201" s="3" t="s">
        <v>1779</v>
      </c>
      <c r="F201" s="3" t="s">
        <v>1280</v>
      </c>
      <c r="G201" s="3" t="s">
        <v>273</v>
      </c>
      <c r="H201" s="3" t="s">
        <v>1775</v>
      </c>
      <c r="I201" s="3" t="s">
        <v>1280</v>
      </c>
      <c r="J201" s="3" t="s">
        <v>41</v>
      </c>
      <c r="K201" s="2">
        <v>39</v>
      </c>
      <c r="L201" s="1">
        <v>40000</v>
      </c>
      <c r="M201" s="1">
        <v>1560000</v>
      </c>
    </row>
    <row r="202" spans="1:13">
      <c r="A202" s="14">
        <v>2026</v>
      </c>
      <c r="B202" s="12">
        <v>4</v>
      </c>
      <c r="C202" s="13">
        <v>46114</v>
      </c>
      <c r="D202" s="3" t="s">
        <v>1946</v>
      </c>
      <c r="E202" s="3" t="s">
        <v>1806</v>
      </c>
      <c r="F202" s="3" t="s">
        <v>1499</v>
      </c>
      <c r="G202" s="3" t="s">
        <v>273</v>
      </c>
      <c r="H202" s="3" t="s">
        <v>1775</v>
      </c>
      <c r="I202" s="3" t="s">
        <v>1499</v>
      </c>
      <c r="J202" s="3" t="s">
        <v>41</v>
      </c>
      <c r="K202" s="2">
        <v>200</v>
      </c>
      <c r="L202" s="1">
        <v>40000</v>
      </c>
      <c r="M202" s="1">
        <v>8000000</v>
      </c>
    </row>
    <row r="203" spans="1:13">
      <c r="A203" s="14">
        <v>2026</v>
      </c>
      <c r="B203" s="12">
        <v>4</v>
      </c>
      <c r="C203" s="13">
        <v>46114</v>
      </c>
      <c r="D203" s="3" t="s">
        <v>1946</v>
      </c>
      <c r="E203" s="3" t="s">
        <v>1806</v>
      </c>
      <c r="F203" s="3" t="s">
        <v>1499</v>
      </c>
      <c r="G203" s="3" t="s">
        <v>273</v>
      </c>
      <c r="H203" s="3" t="s">
        <v>1775</v>
      </c>
      <c r="I203" s="3" t="s">
        <v>1499</v>
      </c>
      <c r="J203" s="3" t="s">
        <v>38</v>
      </c>
      <c r="K203" s="2">
        <v>20</v>
      </c>
      <c r="L203" s="1">
        <v>33000</v>
      </c>
      <c r="M203" s="1">
        <v>660000</v>
      </c>
    </row>
    <row r="204" spans="1:13">
      <c r="A204" s="14">
        <v>2026</v>
      </c>
      <c r="B204" s="12">
        <v>4</v>
      </c>
      <c r="C204" s="13">
        <v>46114</v>
      </c>
      <c r="D204" s="3" t="s">
        <v>1946</v>
      </c>
      <c r="E204" s="3" t="s">
        <v>1806</v>
      </c>
      <c r="F204" s="3" t="s">
        <v>1499</v>
      </c>
      <c r="G204" s="3" t="s">
        <v>273</v>
      </c>
      <c r="H204" s="3" t="s">
        <v>1775</v>
      </c>
      <c r="I204" s="3" t="s">
        <v>1499</v>
      </c>
      <c r="J204" s="3" t="s">
        <v>38</v>
      </c>
      <c r="K204" s="2">
        <v>180</v>
      </c>
      <c r="L204" s="1">
        <v>33000</v>
      </c>
      <c r="M204" s="1">
        <v>5940000</v>
      </c>
    </row>
    <row r="205" spans="1:13">
      <c r="A205" s="14">
        <v>2026</v>
      </c>
      <c r="B205" s="12">
        <v>4</v>
      </c>
      <c r="C205" s="13">
        <v>46118</v>
      </c>
      <c r="D205" s="3" t="s">
        <v>1947</v>
      </c>
      <c r="E205" s="3" t="s">
        <v>1781</v>
      </c>
      <c r="F205" s="3" t="s">
        <v>875</v>
      </c>
      <c r="G205" s="3" t="s">
        <v>273</v>
      </c>
      <c r="H205" s="3" t="s">
        <v>1775</v>
      </c>
      <c r="I205" s="3" t="s">
        <v>875</v>
      </c>
      <c r="J205" s="3" t="s">
        <v>466</v>
      </c>
      <c r="K205" s="2">
        <v>70</v>
      </c>
      <c r="L205" s="1">
        <v>50000</v>
      </c>
      <c r="M205" s="1">
        <v>3500000</v>
      </c>
    </row>
    <row r="206" spans="1:13">
      <c r="A206" s="14">
        <v>2026</v>
      </c>
      <c r="B206" s="12">
        <v>4</v>
      </c>
      <c r="C206" s="13">
        <v>46118</v>
      </c>
      <c r="D206" s="3" t="s">
        <v>1947</v>
      </c>
      <c r="E206" s="3" t="s">
        <v>1781</v>
      </c>
      <c r="F206" s="3" t="s">
        <v>875</v>
      </c>
      <c r="G206" s="3" t="s">
        <v>273</v>
      </c>
      <c r="H206" s="3" t="s">
        <v>1775</v>
      </c>
      <c r="I206" s="3" t="s">
        <v>875</v>
      </c>
      <c r="J206" s="3" t="s">
        <v>466</v>
      </c>
      <c r="K206" s="2">
        <v>130</v>
      </c>
      <c r="L206" s="1">
        <v>50000</v>
      </c>
      <c r="M206" s="1">
        <v>6500000</v>
      </c>
    </row>
    <row r="207" spans="1:13">
      <c r="A207" s="14">
        <v>2026</v>
      </c>
      <c r="B207" s="12">
        <v>4</v>
      </c>
      <c r="C207" s="13">
        <v>46118</v>
      </c>
      <c r="D207" s="3" t="s">
        <v>1947</v>
      </c>
      <c r="E207" s="3" t="s">
        <v>1781</v>
      </c>
      <c r="F207" s="3" t="s">
        <v>875</v>
      </c>
      <c r="G207" s="3" t="s">
        <v>273</v>
      </c>
      <c r="H207" s="3" t="s">
        <v>1775</v>
      </c>
      <c r="I207" s="3" t="s">
        <v>875</v>
      </c>
      <c r="J207" s="3" t="s">
        <v>38</v>
      </c>
      <c r="K207" s="2">
        <v>100</v>
      </c>
      <c r="L207" s="1">
        <v>33000</v>
      </c>
      <c r="M207" s="1">
        <v>3300000</v>
      </c>
    </row>
    <row r="208" spans="1:13">
      <c r="A208" s="14">
        <v>2026</v>
      </c>
      <c r="B208" s="12">
        <v>4</v>
      </c>
      <c r="C208" s="13">
        <v>46119</v>
      </c>
      <c r="D208" s="3" t="s">
        <v>1948</v>
      </c>
      <c r="E208" s="3" t="s">
        <v>1808</v>
      </c>
      <c r="F208" s="3" t="s">
        <v>1291</v>
      </c>
      <c r="G208" s="3" t="s">
        <v>273</v>
      </c>
      <c r="H208" s="3" t="s">
        <v>1775</v>
      </c>
      <c r="I208" s="3" t="s">
        <v>1291</v>
      </c>
      <c r="J208" s="3" t="s">
        <v>41</v>
      </c>
      <c r="K208" s="2">
        <v>5</v>
      </c>
      <c r="L208" s="1">
        <v>40000</v>
      </c>
      <c r="M208" s="1">
        <v>200000</v>
      </c>
    </row>
    <row r="209" spans="1:13">
      <c r="A209" s="14">
        <v>2026</v>
      </c>
      <c r="B209" s="12">
        <v>4</v>
      </c>
      <c r="C209" s="13">
        <v>46119</v>
      </c>
      <c r="D209" s="3" t="s">
        <v>1948</v>
      </c>
      <c r="E209" s="3" t="s">
        <v>1808</v>
      </c>
      <c r="F209" s="3" t="s">
        <v>1291</v>
      </c>
      <c r="G209" s="3" t="s">
        <v>273</v>
      </c>
      <c r="H209" s="3" t="s">
        <v>1775</v>
      </c>
      <c r="I209" s="3" t="s">
        <v>1291</v>
      </c>
      <c r="J209" s="3" t="s">
        <v>38</v>
      </c>
      <c r="K209" s="2">
        <v>300</v>
      </c>
      <c r="L209" s="1">
        <v>33000</v>
      </c>
      <c r="M209" s="1">
        <v>9900000</v>
      </c>
    </row>
    <row r="210" spans="1:13">
      <c r="A210" s="14">
        <v>2026</v>
      </c>
      <c r="B210" s="12">
        <v>4</v>
      </c>
      <c r="C210" s="13">
        <v>46119</v>
      </c>
      <c r="D210" s="3" t="s">
        <v>1948</v>
      </c>
      <c r="E210" s="3" t="s">
        <v>1808</v>
      </c>
      <c r="F210" s="3" t="s">
        <v>1291</v>
      </c>
      <c r="G210" s="3" t="s">
        <v>273</v>
      </c>
      <c r="H210" s="3" t="s">
        <v>1775</v>
      </c>
      <c r="I210" s="3" t="s">
        <v>1291</v>
      </c>
      <c r="J210" s="3" t="s">
        <v>46</v>
      </c>
      <c r="K210" s="2">
        <v>200</v>
      </c>
      <c r="L210" s="1">
        <v>31000</v>
      </c>
      <c r="M210" s="1">
        <v>6200000</v>
      </c>
    </row>
    <row r="211" spans="1:13">
      <c r="A211" s="14">
        <v>2026</v>
      </c>
      <c r="B211" s="12">
        <v>4</v>
      </c>
      <c r="C211" s="13">
        <v>46119</v>
      </c>
      <c r="D211" s="3" t="s">
        <v>1948</v>
      </c>
      <c r="E211" s="3" t="s">
        <v>1808</v>
      </c>
      <c r="F211" s="3" t="s">
        <v>1291</v>
      </c>
      <c r="G211" s="3" t="s">
        <v>273</v>
      </c>
      <c r="H211" s="3" t="s">
        <v>1775</v>
      </c>
      <c r="I211" s="3" t="s">
        <v>1291</v>
      </c>
      <c r="J211" s="3" t="s">
        <v>46</v>
      </c>
      <c r="K211" s="2">
        <v>100</v>
      </c>
      <c r="L211" s="1">
        <v>31000</v>
      </c>
      <c r="M211" s="1">
        <v>3100000</v>
      </c>
    </row>
    <row r="212" spans="1:13">
      <c r="A212" s="14">
        <v>2026</v>
      </c>
      <c r="B212" s="12">
        <v>4</v>
      </c>
      <c r="C212" s="13">
        <v>46119</v>
      </c>
      <c r="D212" s="3" t="s">
        <v>1948</v>
      </c>
      <c r="E212" s="3" t="s">
        <v>1808</v>
      </c>
      <c r="F212" s="3" t="s">
        <v>1291</v>
      </c>
      <c r="G212" s="3" t="s">
        <v>273</v>
      </c>
      <c r="H212" s="3" t="s">
        <v>1775</v>
      </c>
      <c r="I212" s="3" t="s">
        <v>1291</v>
      </c>
      <c r="J212" s="3" t="s">
        <v>41</v>
      </c>
      <c r="K212" s="2">
        <v>295</v>
      </c>
      <c r="L212" s="1">
        <v>40000</v>
      </c>
      <c r="M212" s="1">
        <v>11800000</v>
      </c>
    </row>
    <row r="213" spans="1:13">
      <c r="A213" s="14">
        <v>2026</v>
      </c>
      <c r="B213" s="12">
        <v>4</v>
      </c>
      <c r="C213" s="13">
        <v>46119</v>
      </c>
      <c r="D213" s="3" t="s">
        <v>1949</v>
      </c>
      <c r="E213" s="3" t="s">
        <v>1815</v>
      </c>
      <c r="F213" s="3" t="s">
        <v>894</v>
      </c>
      <c r="G213" s="3" t="s">
        <v>273</v>
      </c>
      <c r="H213" s="3" t="s">
        <v>1775</v>
      </c>
      <c r="I213" s="3" t="s">
        <v>894</v>
      </c>
      <c r="J213" s="3" t="s">
        <v>41</v>
      </c>
      <c r="K213" s="2">
        <v>500</v>
      </c>
      <c r="L213" s="1">
        <v>40000</v>
      </c>
      <c r="M213" s="1">
        <v>20000000</v>
      </c>
    </row>
    <row r="214" spans="1:13">
      <c r="A214" s="14">
        <v>2026</v>
      </c>
      <c r="B214" s="12">
        <v>4</v>
      </c>
      <c r="C214" s="13">
        <v>46120</v>
      </c>
      <c r="D214" s="3" t="s">
        <v>1950</v>
      </c>
      <c r="E214" s="3" t="s">
        <v>1797</v>
      </c>
      <c r="F214" s="3" t="s">
        <v>272</v>
      </c>
      <c r="G214" s="3" t="s">
        <v>273</v>
      </c>
      <c r="H214" s="3" t="s">
        <v>1775</v>
      </c>
      <c r="I214" s="3" t="s">
        <v>272</v>
      </c>
      <c r="J214" s="3" t="s">
        <v>41</v>
      </c>
      <c r="K214" s="2">
        <v>100</v>
      </c>
      <c r="L214" s="1">
        <v>40000</v>
      </c>
      <c r="M214" s="1">
        <v>4000000</v>
      </c>
    </row>
    <row r="215" spans="1:13">
      <c r="A215" s="14">
        <v>2026</v>
      </c>
      <c r="B215" s="12">
        <v>4</v>
      </c>
      <c r="C215" s="13">
        <v>46120</v>
      </c>
      <c r="D215" s="3" t="s">
        <v>1951</v>
      </c>
      <c r="E215" s="3" t="s">
        <v>1779</v>
      </c>
      <c r="F215" s="3" t="s">
        <v>1280</v>
      </c>
      <c r="G215" s="3" t="s">
        <v>273</v>
      </c>
      <c r="H215" s="3" t="s">
        <v>1775</v>
      </c>
      <c r="I215" s="3" t="s">
        <v>1280</v>
      </c>
      <c r="J215" s="3" t="s">
        <v>46</v>
      </c>
      <c r="K215" s="2">
        <v>260</v>
      </c>
      <c r="L215" s="1">
        <v>31000</v>
      </c>
      <c r="M215" s="1">
        <v>8060000</v>
      </c>
    </row>
    <row r="216" spans="1:13">
      <c r="A216" s="14">
        <v>2026</v>
      </c>
      <c r="B216" s="12">
        <v>4</v>
      </c>
      <c r="C216" s="13">
        <v>46120</v>
      </c>
      <c r="D216" s="3" t="s">
        <v>1951</v>
      </c>
      <c r="E216" s="3" t="s">
        <v>1779</v>
      </c>
      <c r="F216" s="3" t="s">
        <v>1280</v>
      </c>
      <c r="G216" s="3" t="s">
        <v>273</v>
      </c>
      <c r="H216" s="3" t="s">
        <v>1775</v>
      </c>
      <c r="I216" s="3" t="s">
        <v>1280</v>
      </c>
      <c r="J216" s="3" t="s">
        <v>46</v>
      </c>
      <c r="K216" s="2">
        <v>140</v>
      </c>
      <c r="L216" s="1">
        <v>31000</v>
      </c>
      <c r="M216" s="1">
        <v>4340000</v>
      </c>
    </row>
    <row r="217" spans="1:13">
      <c r="A217" s="14">
        <v>2026</v>
      </c>
      <c r="B217" s="12">
        <v>4</v>
      </c>
      <c r="C217" s="13">
        <v>46120</v>
      </c>
      <c r="D217" s="3" t="s">
        <v>1951</v>
      </c>
      <c r="E217" s="3" t="s">
        <v>1779</v>
      </c>
      <c r="F217" s="3" t="s">
        <v>1280</v>
      </c>
      <c r="G217" s="3" t="s">
        <v>273</v>
      </c>
      <c r="H217" s="3" t="s">
        <v>1775</v>
      </c>
      <c r="I217" s="3" t="s">
        <v>1280</v>
      </c>
      <c r="J217" s="3" t="s">
        <v>38</v>
      </c>
      <c r="K217" s="2">
        <v>150</v>
      </c>
      <c r="L217" s="1">
        <v>33000</v>
      </c>
      <c r="M217" s="1">
        <v>4950000</v>
      </c>
    </row>
    <row r="218" spans="1:13">
      <c r="A218" s="14">
        <v>2026</v>
      </c>
      <c r="B218" s="12">
        <v>4</v>
      </c>
      <c r="C218" s="13">
        <v>46121</v>
      </c>
      <c r="D218" s="3" t="s">
        <v>1952</v>
      </c>
      <c r="E218" s="3" t="s">
        <v>1779</v>
      </c>
      <c r="F218" s="3" t="s">
        <v>1280</v>
      </c>
      <c r="G218" s="3" t="s">
        <v>273</v>
      </c>
      <c r="H218" s="3" t="s">
        <v>1775</v>
      </c>
      <c r="I218" s="3" t="s">
        <v>1280</v>
      </c>
      <c r="J218" s="3" t="s">
        <v>46</v>
      </c>
      <c r="K218" s="2">
        <v>120</v>
      </c>
      <c r="L218" s="1">
        <v>31000</v>
      </c>
      <c r="M218" s="1">
        <v>3720000</v>
      </c>
    </row>
    <row r="219" spans="1:13">
      <c r="A219" s="14">
        <v>2026</v>
      </c>
      <c r="B219" s="12">
        <v>4</v>
      </c>
      <c r="C219" s="13">
        <v>46121</v>
      </c>
      <c r="D219" s="3" t="s">
        <v>1953</v>
      </c>
      <c r="E219" s="3" t="s">
        <v>1797</v>
      </c>
      <c r="F219" s="3" t="s">
        <v>272</v>
      </c>
      <c r="G219" s="3" t="s">
        <v>273</v>
      </c>
      <c r="H219" s="3" t="s">
        <v>1775</v>
      </c>
      <c r="I219" s="3" t="s">
        <v>272</v>
      </c>
      <c r="J219" s="3" t="s">
        <v>41</v>
      </c>
      <c r="K219" s="2">
        <v>100</v>
      </c>
      <c r="L219" s="1">
        <v>40000</v>
      </c>
      <c r="M219" s="1">
        <v>4000000</v>
      </c>
    </row>
    <row r="220" spans="1:13">
      <c r="A220" s="14">
        <v>2026</v>
      </c>
      <c r="B220" s="12">
        <v>4</v>
      </c>
      <c r="C220" s="13">
        <v>46122</v>
      </c>
      <c r="D220" s="3" t="s">
        <v>1954</v>
      </c>
      <c r="E220" s="3" t="s">
        <v>1779</v>
      </c>
      <c r="F220" s="3" t="s">
        <v>1280</v>
      </c>
      <c r="G220" s="3" t="s">
        <v>273</v>
      </c>
      <c r="H220" s="3" t="s">
        <v>1775</v>
      </c>
      <c r="I220" s="3" t="s">
        <v>1280</v>
      </c>
      <c r="J220" s="3" t="s">
        <v>466</v>
      </c>
      <c r="K220" s="2">
        <v>40</v>
      </c>
      <c r="L220" s="1">
        <v>50000</v>
      </c>
      <c r="M220" s="1">
        <v>2000000</v>
      </c>
    </row>
    <row r="221" spans="1:13">
      <c r="A221" s="14">
        <v>2026</v>
      </c>
      <c r="B221" s="12">
        <v>4</v>
      </c>
      <c r="C221" s="13">
        <v>46122</v>
      </c>
      <c r="D221" s="3" t="s">
        <v>1955</v>
      </c>
      <c r="E221" s="3" t="s">
        <v>1806</v>
      </c>
      <c r="F221" s="3" t="s">
        <v>1499</v>
      </c>
      <c r="G221" s="3" t="s">
        <v>273</v>
      </c>
      <c r="H221" s="3" t="s">
        <v>1775</v>
      </c>
      <c r="I221" s="3" t="s">
        <v>1499</v>
      </c>
      <c r="J221" s="3" t="s">
        <v>41</v>
      </c>
      <c r="K221" s="2">
        <v>200</v>
      </c>
      <c r="L221" s="1">
        <v>40000</v>
      </c>
      <c r="M221" s="1">
        <v>8000000</v>
      </c>
    </row>
    <row r="222" spans="1:13">
      <c r="A222" s="14">
        <v>2026</v>
      </c>
      <c r="B222" s="12">
        <v>4</v>
      </c>
      <c r="C222" s="13">
        <v>46127</v>
      </c>
      <c r="D222" s="3" t="s">
        <v>1956</v>
      </c>
      <c r="E222" s="3" t="s">
        <v>1862</v>
      </c>
      <c r="F222" s="3" t="s">
        <v>1264</v>
      </c>
      <c r="G222" s="3" t="s">
        <v>273</v>
      </c>
      <c r="H222" s="3" t="s">
        <v>1775</v>
      </c>
      <c r="I222" s="3" t="s">
        <v>1264</v>
      </c>
      <c r="J222" s="3" t="s">
        <v>46</v>
      </c>
      <c r="K222" s="2">
        <v>200</v>
      </c>
      <c r="L222" s="1">
        <v>31000</v>
      </c>
      <c r="M222" s="1">
        <v>6200000</v>
      </c>
    </row>
    <row r="223" spans="1:13">
      <c r="A223" s="14">
        <v>2026</v>
      </c>
      <c r="B223" s="12">
        <v>4</v>
      </c>
      <c r="C223" s="13">
        <v>46129</v>
      </c>
      <c r="D223" s="3" t="s">
        <v>1957</v>
      </c>
      <c r="E223" s="3" t="s">
        <v>1797</v>
      </c>
      <c r="F223" s="3" t="s">
        <v>272</v>
      </c>
      <c r="G223" s="3" t="s">
        <v>273</v>
      </c>
      <c r="H223" s="3" t="s">
        <v>1775</v>
      </c>
      <c r="I223" s="3" t="s">
        <v>272</v>
      </c>
      <c r="J223" s="3" t="s">
        <v>41</v>
      </c>
      <c r="K223" s="2">
        <v>50</v>
      </c>
      <c r="L223" s="1">
        <v>40000</v>
      </c>
      <c r="M223" s="1">
        <v>2000000</v>
      </c>
    </row>
    <row r="224" spans="1:13">
      <c r="A224" s="14">
        <v>2026</v>
      </c>
      <c r="B224" s="12">
        <v>4</v>
      </c>
      <c r="C224" s="13">
        <v>46129</v>
      </c>
      <c r="D224" s="3" t="s">
        <v>1958</v>
      </c>
      <c r="E224" s="3" t="s">
        <v>1797</v>
      </c>
      <c r="F224" s="3" t="s">
        <v>272</v>
      </c>
      <c r="G224" s="3" t="s">
        <v>273</v>
      </c>
      <c r="H224" s="3" t="s">
        <v>1775</v>
      </c>
      <c r="I224" s="3" t="s">
        <v>272</v>
      </c>
      <c r="J224" s="3" t="s">
        <v>41</v>
      </c>
      <c r="K224" s="2">
        <v>50</v>
      </c>
      <c r="L224" s="1">
        <v>40000</v>
      </c>
      <c r="M224" s="1">
        <v>2000000</v>
      </c>
    </row>
    <row r="225" spans="1:13">
      <c r="A225" s="14">
        <v>2026</v>
      </c>
      <c r="B225" s="12">
        <v>4</v>
      </c>
      <c r="C225" s="13">
        <v>46129</v>
      </c>
      <c r="D225" s="3" t="s">
        <v>1959</v>
      </c>
      <c r="E225" s="3" t="s">
        <v>1790</v>
      </c>
      <c r="F225" s="3" t="s">
        <v>1359</v>
      </c>
      <c r="G225" s="3" t="s">
        <v>273</v>
      </c>
      <c r="H225" s="3" t="s">
        <v>1775</v>
      </c>
      <c r="I225" s="3" t="s">
        <v>1359</v>
      </c>
      <c r="J225" s="3" t="s">
        <v>41</v>
      </c>
      <c r="K225" s="2">
        <v>100</v>
      </c>
      <c r="L225" s="1">
        <v>40000</v>
      </c>
      <c r="M225" s="1">
        <v>4000000</v>
      </c>
    </row>
    <row r="226" spans="1:13">
      <c r="A226" s="14">
        <v>2026</v>
      </c>
      <c r="B226" s="12">
        <v>4</v>
      </c>
      <c r="C226" s="13">
        <v>46129</v>
      </c>
      <c r="D226" s="3" t="s">
        <v>1959</v>
      </c>
      <c r="E226" s="3" t="s">
        <v>1790</v>
      </c>
      <c r="F226" s="3" t="s">
        <v>1359</v>
      </c>
      <c r="G226" s="3" t="s">
        <v>273</v>
      </c>
      <c r="H226" s="3" t="s">
        <v>1775</v>
      </c>
      <c r="I226" s="3" t="s">
        <v>1359</v>
      </c>
      <c r="J226" s="3" t="s">
        <v>466</v>
      </c>
      <c r="K226" s="2">
        <v>200</v>
      </c>
      <c r="L226" s="1">
        <v>50000</v>
      </c>
      <c r="M226" s="1">
        <v>10000000</v>
      </c>
    </row>
    <row r="227" spans="1:13">
      <c r="A227" s="14">
        <v>2026</v>
      </c>
      <c r="B227" s="12">
        <v>4</v>
      </c>
      <c r="C227" s="13">
        <v>46132</v>
      </c>
      <c r="D227" s="3" t="s">
        <v>1960</v>
      </c>
      <c r="E227" s="3" t="s">
        <v>1800</v>
      </c>
      <c r="F227" s="3" t="s">
        <v>288</v>
      </c>
      <c r="G227" s="3" t="s">
        <v>273</v>
      </c>
      <c r="H227" s="3" t="s">
        <v>1775</v>
      </c>
      <c r="I227" s="3" t="s">
        <v>1801</v>
      </c>
      <c r="J227" s="3" t="s">
        <v>38</v>
      </c>
      <c r="K227" s="2">
        <v>100</v>
      </c>
      <c r="L227" s="1">
        <v>33000</v>
      </c>
      <c r="M227" s="1">
        <v>3300000</v>
      </c>
    </row>
    <row r="228" spans="1:13">
      <c r="A228" s="14">
        <v>2026</v>
      </c>
      <c r="B228" s="12">
        <v>4</v>
      </c>
      <c r="C228" s="13">
        <v>46132</v>
      </c>
      <c r="D228" s="3" t="s">
        <v>1961</v>
      </c>
      <c r="E228" s="3" t="s">
        <v>1779</v>
      </c>
      <c r="F228" s="3" t="s">
        <v>1280</v>
      </c>
      <c r="G228" s="3" t="s">
        <v>273</v>
      </c>
      <c r="H228" s="3" t="s">
        <v>1775</v>
      </c>
      <c r="I228" s="3" t="s">
        <v>1280</v>
      </c>
      <c r="J228" s="3" t="s">
        <v>38</v>
      </c>
      <c r="K228" s="2">
        <v>50</v>
      </c>
      <c r="L228" s="1">
        <v>33000</v>
      </c>
      <c r="M228" s="1">
        <v>1650000</v>
      </c>
    </row>
    <row r="229" spans="1:13">
      <c r="A229" s="14">
        <v>2026</v>
      </c>
      <c r="B229" s="12">
        <v>4</v>
      </c>
      <c r="C229" s="13">
        <v>46132</v>
      </c>
      <c r="D229" s="3" t="s">
        <v>1962</v>
      </c>
      <c r="E229" s="3" t="s">
        <v>16</v>
      </c>
      <c r="F229" s="3" t="s">
        <v>281</v>
      </c>
      <c r="G229" s="3" t="s">
        <v>273</v>
      </c>
      <c r="H229" s="3" t="s">
        <v>1775</v>
      </c>
      <c r="I229" s="3" t="s">
        <v>281</v>
      </c>
      <c r="J229" s="3" t="s">
        <v>466</v>
      </c>
      <c r="K229" s="2">
        <v>40</v>
      </c>
      <c r="L229" s="1">
        <v>50000</v>
      </c>
      <c r="M229" s="1">
        <v>2000000</v>
      </c>
    </row>
    <row r="230" spans="1:13">
      <c r="A230" s="14">
        <v>2026</v>
      </c>
      <c r="B230" s="12">
        <v>4</v>
      </c>
      <c r="C230" s="13">
        <v>46132</v>
      </c>
      <c r="D230" s="3" t="s">
        <v>1963</v>
      </c>
      <c r="E230" s="3" t="s">
        <v>1781</v>
      </c>
      <c r="F230" s="3" t="s">
        <v>875</v>
      </c>
      <c r="G230" s="3" t="s">
        <v>273</v>
      </c>
      <c r="H230" s="3" t="s">
        <v>1775</v>
      </c>
      <c r="I230" s="3" t="s">
        <v>875</v>
      </c>
      <c r="J230" s="3" t="s">
        <v>466</v>
      </c>
      <c r="K230" s="2">
        <v>200</v>
      </c>
      <c r="L230" s="1">
        <v>50000</v>
      </c>
      <c r="M230" s="1">
        <v>10000000</v>
      </c>
    </row>
    <row r="231" spans="1:13">
      <c r="A231" s="14">
        <v>2026</v>
      </c>
      <c r="B231" s="12">
        <v>4</v>
      </c>
      <c r="C231" s="13">
        <v>46132</v>
      </c>
      <c r="D231" s="3" t="s">
        <v>1964</v>
      </c>
      <c r="E231" s="3" t="s">
        <v>1806</v>
      </c>
      <c r="F231" s="3" t="s">
        <v>1499</v>
      </c>
      <c r="G231" s="3" t="s">
        <v>273</v>
      </c>
      <c r="H231" s="3" t="s">
        <v>1775</v>
      </c>
      <c r="I231" s="3" t="s">
        <v>1499</v>
      </c>
      <c r="J231" s="3" t="s">
        <v>41</v>
      </c>
      <c r="K231" s="2">
        <v>340</v>
      </c>
      <c r="L231" s="1">
        <v>40000</v>
      </c>
      <c r="M231" s="1">
        <v>13600000</v>
      </c>
    </row>
    <row r="232" spans="1:13">
      <c r="A232" s="14">
        <v>2026</v>
      </c>
      <c r="B232" s="12">
        <v>4</v>
      </c>
      <c r="C232" s="13">
        <v>46132</v>
      </c>
      <c r="D232" s="3" t="s">
        <v>1964</v>
      </c>
      <c r="E232" s="3" t="s">
        <v>1806</v>
      </c>
      <c r="F232" s="3" t="s">
        <v>1499</v>
      </c>
      <c r="G232" s="3" t="s">
        <v>273</v>
      </c>
      <c r="H232" s="3" t="s">
        <v>1775</v>
      </c>
      <c r="I232" s="3" t="s">
        <v>1499</v>
      </c>
      <c r="J232" s="3" t="s">
        <v>41</v>
      </c>
      <c r="K232" s="2">
        <v>60</v>
      </c>
      <c r="L232" s="1">
        <v>40000</v>
      </c>
      <c r="M232" s="1">
        <v>2400000</v>
      </c>
    </row>
    <row r="233" spans="1:13">
      <c r="A233" s="14">
        <v>2026</v>
      </c>
      <c r="B233" s="12">
        <v>4</v>
      </c>
      <c r="C233" s="13">
        <v>46134</v>
      </c>
      <c r="D233" s="3" t="s">
        <v>1965</v>
      </c>
      <c r="E233" s="3" t="s">
        <v>1779</v>
      </c>
      <c r="F233" s="3" t="s">
        <v>1280</v>
      </c>
      <c r="G233" s="3" t="s">
        <v>273</v>
      </c>
      <c r="H233" s="3" t="s">
        <v>1775</v>
      </c>
      <c r="I233" s="3" t="s">
        <v>1280</v>
      </c>
      <c r="J233" s="3" t="s">
        <v>46</v>
      </c>
      <c r="K233" s="2">
        <v>240</v>
      </c>
      <c r="L233" s="1">
        <v>31000</v>
      </c>
      <c r="M233" s="1">
        <v>7440000</v>
      </c>
    </row>
    <row r="234" spans="1:13">
      <c r="A234" s="14">
        <v>2026</v>
      </c>
      <c r="B234" s="12">
        <v>4</v>
      </c>
      <c r="C234" s="13">
        <v>46135</v>
      </c>
      <c r="D234" s="3" t="s">
        <v>1966</v>
      </c>
      <c r="E234" s="3" t="s">
        <v>1777</v>
      </c>
      <c r="F234" s="3" t="s">
        <v>864</v>
      </c>
      <c r="G234" s="3" t="s">
        <v>273</v>
      </c>
      <c r="H234" s="3" t="s">
        <v>1775</v>
      </c>
      <c r="I234" s="3" t="s">
        <v>864</v>
      </c>
      <c r="J234" s="3" t="s">
        <v>41</v>
      </c>
      <c r="K234" s="2">
        <v>200</v>
      </c>
      <c r="L234" s="1">
        <v>40000</v>
      </c>
      <c r="M234" s="1">
        <v>8000000</v>
      </c>
    </row>
    <row r="235" spans="1:13">
      <c r="A235" s="14">
        <v>2026</v>
      </c>
      <c r="B235" s="12">
        <v>4</v>
      </c>
      <c r="C235" s="13">
        <v>46135</v>
      </c>
      <c r="D235" s="3" t="s">
        <v>1966</v>
      </c>
      <c r="E235" s="3" t="s">
        <v>1777</v>
      </c>
      <c r="F235" s="3" t="s">
        <v>864</v>
      </c>
      <c r="G235" s="3" t="s">
        <v>273</v>
      </c>
      <c r="H235" s="3" t="s">
        <v>1775</v>
      </c>
      <c r="I235" s="3" t="s">
        <v>864</v>
      </c>
      <c r="J235" s="3" t="s">
        <v>38</v>
      </c>
      <c r="K235" s="2">
        <v>100</v>
      </c>
      <c r="L235" s="1">
        <v>33000</v>
      </c>
      <c r="M235" s="1">
        <v>3300000</v>
      </c>
    </row>
    <row r="236" spans="1:13">
      <c r="A236" s="14">
        <v>2026</v>
      </c>
      <c r="B236" s="12">
        <v>4</v>
      </c>
      <c r="C236" s="13">
        <v>46136</v>
      </c>
      <c r="D236" s="3" t="s">
        <v>1967</v>
      </c>
      <c r="E236" s="3" t="s">
        <v>1781</v>
      </c>
      <c r="F236" s="3" t="s">
        <v>875</v>
      </c>
      <c r="G236" s="3" t="s">
        <v>273</v>
      </c>
      <c r="H236" s="3" t="s">
        <v>1775</v>
      </c>
      <c r="I236" s="3" t="s">
        <v>875</v>
      </c>
      <c r="J236" s="3" t="s">
        <v>41</v>
      </c>
      <c r="K236" s="2">
        <v>100</v>
      </c>
      <c r="L236" s="1">
        <v>40000</v>
      </c>
      <c r="M236" s="1">
        <v>4000000</v>
      </c>
    </row>
    <row r="237" spans="1:13">
      <c r="A237" s="14">
        <v>2026</v>
      </c>
      <c r="B237" s="12">
        <v>4</v>
      </c>
      <c r="C237" s="13">
        <v>46140</v>
      </c>
      <c r="D237" s="3" t="s">
        <v>1968</v>
      </c>
      <c r="E237" s="3" t="s">
        <v>1779</v>
      </c>
      <c r="F237" s="3" t="s">
        <v>1280</v>
      </c>
      <c r="G237" s="3" t="s">
        <v>273</v>
      </c>
      <c r="H237" s="3" t="s">
        <v>1775</v>
      </c>
      <c r="I237" s="3" t="s">
        <v>1280</v>
      </c>
      <c r="J237" s="3" t="s">
        <v>38</v>
      </c>
      <c r="K237" s="2">
        <v>50</v>
      </c>
      <c r="L237" s="1">
        <v>33000</v>
      </c>
      <c r="M237" s="1">
        <v>1650000</v>
      </c>
    </row>
    <row r="238" spans="1:13">
      <c r="A238" s="14">
        <v>2026</v>
      </c>
      <c r="B238" s="12">
        <v>4</v>
      </c>
      <c r="C238" s="13">
        <v>46140</v>
      </c>
      <c r="D238" s="3" t="s">
        <v>1969</v>
      </c>
      <c r="E238" s="3" t="s">
        <v>1817</v>
      </c>
      <c r="F238" s="3" t="s">
        <v>1101</v>
      </c>
      <c r="G238" s="3" t="s">
        <v>273</v>
      </c>
      <c r="H238" s="3" t="s">
        <v>1775</v>
      </c>
      <c r="I238" s="3" t="s">
        <v>1101</v>
      </c>
      <c r="J238" s="3" t="s">
        <v>38</v>
      </c>
      <c r="K238" s="2">
        <v>150</v>
      </c>
      <c r="L238" s="1">
        <v>33000</v>
      </c>
      <c r="M238" s="1">
        <v>4950000</v>
      </c>
    </row>
    <row r="239" spans="1:13">
      <c r="A239" s="14">
        <v>2026</v>
      </c>
      <c r="B239" s="12">
        <v>4</v>
      </c>
      <c r="C239" s="13">
        <v>46141</v>
      </c>
      <c r="D239" s="3" t="s">
        <v>1970</v>
      </c>
      <c r="E239" s="3" t="s">
        <v>1783</v>
      </c>
      <c r="F239" s="3" t="s">
        <v>1272</v>
      </c>
      <c r="G239" s="3" t="s">
        <v>273</v>
      </c>
      <c r="H239" s="3" t="s">
        <v>1775</v>
      </c>
      <c r="I239" s="3" t="s">
        <v>1272</v>
      </c>
      <c r="J239" s="3" t="s">
        <v>466</v>
      </c>
      <c r="K239" s="2">
        <v>80</v>
      </c>
      <c r="L239" s="1">
        <v>50000</v>
      </c>
      <c r="M239" s="1">
        <v>4000000</v>
      </c>
    </row>
    <row r="240" spans="1:13">
      <c r="A240" s="14">
        <v>2026</v>
      </c>
      <c r="B240" s="12">
        <v>4</v>
      </c>
      <c r="C240" s="13">
        <v>46141</v>
      </c>
      <c r="D240" s="3" t="s">
        <v>1971</v>
      </c>
      <c r="E240" s="3" t="s">
        <v>1777</v>
      </c>
      <c r="F240" s="3" t="s">
        <v>864</v>
      </c>
      <c r="G240" s="3" t="s">
        <v>273</v>
      </c>
      <c r="H240" s="3" t="s">
        <v>1775</v>
      </c>
      <c r="I240" s="3" t="s">
        <v>864</v>
      </c>
      <c r="J240" s="3" t="s">
        <v>41</v>
      </c>
      <c r="K240" s="2">
        <v>300</v>
      </c>
      <c r="L240" s="1">
        <v>40000</v>
      </c>
      <c r="M240" s="1">
        <v>12000000</v>
      </c>
    </row>
    <row r="241" spans="1:13">
      <c r="A241" s="14">
        <v>2026</v>
      </c>
      <c r="B241" s="12">
        <v>4</v>
      </c>
      <c r="C241" s="13">
        <v>46141</v>
      </c>
      <c r="D241" s="3" t="s">
        <v>1972</v>
      </c>
      <c r="E241" s="3" t="s">
        <v>1797</v>
      </c>
      <c r="F241" s="3" t="s">
        <v>272</v>
      </c>
      <c r="G241" s="3" t="s">
        <v>273</v>
      </c>
      <c r="H241" s="3" t="s">
        <v>1775</v>
      </c>
      <c r="I241" s="3" t="s">
        <v>272</v>
      </c>
      <c r="J241" s="3" t="s">
        <v>38</v>
      </c>
      <c r="K241" s="2">
        <v>100</v>
      </c>
      <c r="L241" s="1">
        <v>33000</v>
      </c>
      <c r="M241" s="1">
        <v>3300000</v>
      </c>
    </row>
    <row r="242" spans="1:13">
      <c r="A242" s="14">
        <v>2026</v>
      </c>
      <c r="B242" s="12">
        <v>4</v>
      </c>
      <c r="C242" s="13">
        <v>46141</v>
      </c>
      <c r="D242" s="3" t="s">
        <v>1973</v>
      </c>
      <c r="E242" s="3" t="s">
        <v>1806</v>
      </c>
      <c r="F242" s="3" t="s">
        <v>1499</v>
      </c>
      <c r="G242" s="3" t="s">
        <v>273</v>
      </c>
      <c r="H242" s="3" t="s">
        <v>1775</v>
      </c>
      <c r="I242" s="3" t="s">
        <v>1499</v>
      </c>
      <c r="J242" s="3" t="s">
        <v>41</v>
      </c>
      <c r="K242" s="2">
        <v>400</v>
      </c>
      <c r="L242" s="1">
        <v>40000</v>
      </c>
      <c r="M242" s="1">
        <v>16000000</v>
      </c>
    </row>
    <row r="243" spans="1:13">
      <c r="A243" s="14">
        <v>2026</v>
      </c>
      <c r="B243" s="12">
        <v>4</v>
      </c>
      <c r="C243" s="13">
        <v>46141</v>
      </c>
      <c r="D243" s="3" t="s">
        <v>1973</v>
      </c>
      <c r="E243" s="3" t="s">
        <v>1806</v>
      </c>
      <c r="F243" s="3" t="s">
        <v>1499</v>
      </c>
      <c r="G243" s="3" t="s">
        <v>273</v>
      </c>
      <c r="H243" s="3" t="s">
        <v>1775</v>
      </c>
      <c r="I243" s="3" t="s">
        <v>1499</v>
      </c>
      <c r="J243" s="3" t="s">
        <v>38</v>
      </c>
      <c r="K243" s="2">
        <v>10</v>
      </c>
      <c r="L243" s="1">
        <v>33000</v>
      </c>
      <c r="M243" s="1">
        <v>330000</v>
      </c>
    </row>
    <row r="244" spans="1:13">
      <c r="A244" s="14">
        <v>2026</v>
      </c>
      <c r="B244" s="12">
        <v>4</v>
      </c>
      <c r="C244" s="13">
        <v>46141</v>
      </c>
      <c r="D244" s="3" t="s">
        <v>1973</v>
      </c>
      <c r="E244" s="3" t="s">
        <v>1806</v>
      </c>
      <c r="F244" s="3" t="s">
        <v>1499</v>
      </c>
      <c r="G244" s="3" t="s">
        <v>273</v>
      </c>
      <c r="H244" s="3" t="s">
        <v>1775</v>
      </c>
      <c r="I244" s="3" t="s">
        <v>1499</v>
      </c>
      <c r="J244" s="3" t="s">
        <v>38</v>
      </c>
      <c r="K244" s="2">
        <v>390</v>
      </c>
      <c r="L244" s="1">
        <v>33000</v>
      </c>
      <c r="M244" s="1">
        <v>12870000</v>
      </c>
    </row>
    <row r="245" spans="1:13">
      <c r="A245" s="14">
        <v>2026</v>
      </c>
      <c r="B245" s="12">
        <v>5</v>
      </c>
      <c r="C245" s="13">
        <v>46148</v>
      </c>
      <c r="D245" s="3" t="s">
        <v>1974</v>
      </c>
      <c r="E245" s="3" t="s">
        <v>1808</v>
      </c>
      <c r="F245" s="3" t="s">
        <v>1291</v>
      </c>
      <c r="G245" s="3" t="s">
        <v>273</v>
      </c>
      <c r="H245" s="3" t="s">
        <v>1775</v>
      </c>
      <c r="I245" s="3" t="s">
        <v>1291</v>
      </c>
      <c r="J245" s="3" t="s">
        <v>41</v>
      </c>
      <c r="K245" s="2">
        <v>200</v>
      </c>
      <c r="L245" s="1">
        <v>40000</v>
      </c>
      <c r="M245" s="1">
        <v>8000000</v>
      </c>
    </row>
    <row r="246" spans="1:13">
      <c r="A246" s="14">
        <v>2026</v>
      </c>
      <c r="B246" s="12">
        <v>5</v>
      </c>
      <c r="C246" s="13">
        <v>46148</v>
      </c>
      <c r="D246" s="3" t="s">
        <v>1974</v>
      </c>
      <c r="E246" s="3" t="s">
        <v>1808</v>
      </c>
      <c r="F246" s="3" t="s">
        <v>1291</v>
      </c>
      <c r="G246" s="3" t="s">
        <v>273</v>
      </c>
      <c r="H246" s="3" t="s">
        <v>1775</v>
      </c>
      <c r="I246" s="3" t="s">
        <v>1291</v>
      </c>
      <c r="J246" s="3" t="s">
        <v>41</v>
      </c>
      <c r="K246" s="2">
        <v>310</v>
      </c>
      <c r="L246" s="1">
        <v>40000</v>
      </c>
      <c r="M246" s="1">
        <v>12400000</v>
      </c>
    </row>
    <row r="247" spans="1:13">
      <c r="A247" s="14">
        <v>2026</v>
      </c>
      <c r="B247" s="12">
        <v>5</v>
      </c>
      <c r="C247" s="13">
        <v>46148</v>
      </c>
      <c r="D247" s="3" t="s">
        <v>1974</v>
      </c>
      <c r="E247" s="3" t="s">
        <v>1808</v>
      </c>
      <c r="F247" s="3" t="s">
        <v>1291</v>
      </c>
      <c r="G247" s="3" t="s">
        <v>273</v>
      </c>
      <c r="H247" s="3" t="s">
        <v>1775</v>
      </c>
      <c r="I247" s="3" t="s">
        <v>1291</v>
      </c>
      <c r="J247" s="3" t="s">
        <v>41</v>
      </c>
      <c r="K247" s="2">
        <v>90</v>
      </c>
      <c r="L247" s="1">
        <v>40000</v>
      </c>
      <c r="M247" s="1">
        <v>3600000</v>
      </c>
    </row>
    <row r="248" spans="1:13">
      <c r="A248" s="14">
        <v>2026</v>
      </c>
      <c r="B248" s="12">
        <v>5</v>
      </c>
      <c r="C248" s="13">
        <v>46149</v>
      </c>
      <c r="D248" s="3" t="s">
        <v>1975</v>
      </c>
      <c r="E248" s="3" t="s">
        <v>1779</v>
      </c>
      <c r="F248" s="3" t="s">
        <v>1280</v>
      </c>
      <c r="G248" s="3" t="s">
        <v>273</v>
      </c>
      <c r="H248" s="3" t="s">
        <v>1775</v>
      </c>
      <c r="I248" s="3" t="s">
        <v>1280</v>
      </c>
      <c r="J248" s="3" t="s">
        <v>46</v>
      </c>
      <c r="K248" s="2">
        <v>120</v>
      </c>
      <c r="L248" s="1">
        <v>31000</v>
      </c>
      <c r="M248" s="1">
        <v>3720000</v>
      </c>
    </row>
    <row r="249" spans="1:13">
      <c r="A249" s="14">
        <v>2026</v>
      </c>
      <c r="B249" s="12">
        <v>5</v>
      </c>
      <c r="C249" s="13">
        <v>46149</v>
      </c>
      <c r="D249" s="3" t="s">
        <v>1975</v>
      </c>
      <c r="E249" s="3" t="s">
        <v>1779</v>
      </c>
      <c r="F249" s="3" t="s">
        <v>1280</v>
      </c>
      <c r="G249" s="3" t="s">
        <v>273</v>
      </c>
      <c r="H249" s="3" t="s">
        <v>1775</v>
      </c>
      <c r="I249" s="3" t="s">
        <v>1280</v>
      </c>
      <c r="J249" s="3" t="s">
        <v>466</v>
      </c>
      <c r="K249" s="2">
        <v>80</v>
      </c>
      <c r="L249" s="1">
        <v>50000</v>
      </c>
      <c r="M249" s="1">
        <v>4000000</v>
      </c>
    </row>
    <row r="250" spans="1:13">
      <c r="A250" s="14">
        <v>2026</v>
      </c>
      <c r="B250" s="12">
        <v>5</v>
      </c>
      <c r="C250" s="13">
        <v>46149</v>
      </c>
      <c r="D250" s="3" t="s">
        <v>1975</v>
      </c>
      <c r="E250" s="3" t="s">
        <v>1779</v>
      </c>
      <c r="F250" s="3" t="s">
        <v>1280</v>
      </c>
      <c r="G250" s="3" t="s">
        <v>273</v>
      </c>
      <c r="H250" s="3" t="s">
        <v>1775</v>
      </c>
      <c r="I250" s="3" t="s">
        <v>1280</v>
      </c>
      <c r="J250" s="3" t="s">
        <v>38</v>
      </c>
      <c r="K250" s="2">
        <v>200</v>
      </c>
      <c r="L250" s="1">
        <v>33000</v>
      </c>
      <c r="M250" s="1">
        <v>6600000</v>
      </c>
    </row>
    <row r="251" spans="1:13">
      <c r="A251" s="14">
        <v>2026</v>
      </c>
      <c r="B251" s="12">
        <v>5</v>
      </c>
      <c r="C251" s="13">
        <v>46149</v>
      </c>
      <c r="D251" s="3" t="s">
        <v>1976</v>
      </c>
      <c r="E251" s="3" t="s">
        <v>1781</v>
      </c>
      <c r="F251" s="3" t="s">
        <v>875</v>
      </c>
      <c r="G251" s="3" t="s">
        <v>273</v>
      </c>
      <c r="H251" s="3" t="s">
        <v>1775</v>
      </c>
      <c r="I251" s="3" t="s">
        <v>875</v>
      </c>
      <c r="J251" s="3" t="s">
        <v>41</v>
      </c>
      <c r="K251" s="2">
        <v>100</v>
      </c>
      <c r="L251" s="1">
        <v>40000</v>
      </c>
      <c r="M251" s="1">
        <v>4000000</v>
      </c>
    </row>
    <row r="252" spans="1:13">
      <c r="A252" s="14">
        <v>2026</v>
      </c>
      <c r="B252" s="12">
        <v>5</v>
      </c>
      <c r="C252" s="13">
        <v>46149</v>
      </c>
      <c r="D252" s="3" t="s">
        <v>1976</v>
      </c>
      <c r="E252" s="3" t="s">
        <v>1781</v>
      </c>
      <c r="F252" s="3" t="s">
        <v>875</v>
      </c>
      <c r="G252" s="3" t="s">
        <v>273</v>
      </c>
      <c r="H252" s="3" t="s">
        <v>1775</v>
      </c>
      <c r="I252" s="3" t="s">
        <v>875</v>
      </c>
      <c r="J252" s="3" t="s">
        <v>38</v>
      </c>
      <c r="K252" s="2">
        <v>100</v>
      </c>
      <c r="L252" s="1">
        <v>33000</v>
      </c>
      <c r="M252" s="1">
        <v>3300000</v>
      </c>
    </row>
    <row r="253" spans="1:13">
      <c r="A253" s="14">
        <v>2026</v>
      </c>
      <c r="B253" s="12">
        <v>5</v>
      </c>
      <c r="C253" s="13">
        <v>46150</v>
      </c>
      <c r="D253" s="3" t="s">
        <v>1977</v>
      </c>
      <c r="E253" s="3" t="s">
        <v>1777</v>
      </c>
      <c r="F253" s="3" t="s">
        <v>864</v>
      </c>
      <c r="G253" s="3" t="s">
        <v>273</v>
      </c>
      <c r="H253" s="3" t="s">
        <v>1775</v>
      </c>
      <c r="I253" s="3" t="s">
        <v>864</v>
      </c>
      <c r="J253" s="3" t="s">
        <v>41</v>
      </c>
      <c r="K253" s="2">
        <v>200</v>
      </c>
      <c r="L253" s="1">
        <v>40000</v>
      </c>
      <c r="M253" s="1">
        <v>8000000</v>
      </c>
    </row>
    <row r="254" spans="1:13">
      <c r="A254" s="14">
        <v>2026</v>
      </c>
      <c r="B254" s="12">
        <v>5</v>
      </c>
      <c r="C254" s="13">
        <v>46154</v>
      </c>
      <c r="D254" s="3" t="s">
        <v>1978</v>
      </c>
      <c r="E254" s="3" t="s">
        <v>1779</v>
      </c>
      <c r="F254" s="3" t="s">
        <v>1280</v>
      </c>
      <c r="G254" s="3" t="s">
        <v>273</v>
      </c>
      <c r="H254" s="3" t="s">
        <v>1775</v>
      </c>
      <c r="I254" s="3" t="s">
        <v>1280</v>
      </c>
      <c r="J254" s="3" t="s">
        <v>46</v>
      </c>
      <c r="K254" s="2">
        <v>120</v>
      </c>
      <c r="L254" s="1">
        <v>31000</v>
      </c>
      <c r="M254" s="1">
        <v>3720000</v>
      </c>
    </row>
    <row r="255" spans="1:13">
      <c r="A255" s="14">
        <v>2026</v>
      </c>
      <c r="B255" s="12">
        <v>5</v>
      </c>
      <c r="C255" s="13">
        <v>46154</v>
      </c>
      <c r="D255" s="3" t="s">
        <v>1979</v>
      </c>
      <c r="E255" s="3" t="s">
        <v>1781</v>
      </c>
      <c r="F255" s="3" t="s">
        <v>875</v>
      </c>
      <c r="G255" s="3" t="s">
        <v>273</v>
      </c>
      <c r="H255" s="3" t="s">
        <v>1775</v>
      </c>
      <c r="I255" s="3" t="s">
        <v>875</v>
      </c>
      <c r="J255" s="3" t="s">
        <v>466</v>
      </c>
      <c r="K255" s="2">
        <v>200</v>
      </c>
      <c r="L255" s="1">
        <v>50000</v>
      </c>
      <c r="M255" s="1">
        <v>10000000</v>
      </c>
    </row>
    <row r="256" spans="1:13">
      <c r="A256" s="14">
        <v>2026</v>
      </c>
      <c r="B256" s="12">
        <v>5</v>
      </c>
      <c r="C256" s="13">
        <v>46155</v>
      </c>
      <c r="D256" s="3" t="s">
        <v>1980</v>
      </c>
      <c r="E256" s="3" t="s">
        <v>1779</v>
      </c>
      <c r="F256" s="3" t="s">
        <v>1280</v>
      </c>
      <c r="G256" s="3" t="s">
        <v>273</v>
      </c>
      <c r="H256" s="3" t="s">
        <v>1775</v>
      </c>
      <c r="I256" s="3" t="s">
        <v>1280</v>
      </c>
      <c r="J256" s="3" t="s">
        <v>46</v>
      </c>
      <c r="K256" s="2">
        <v>140</v>
      </c>
      <c r="L256" s="1">
        <v>31000</v>
      </c>
      <c r="M256" s="1">
        <v>4340000</v>
      </c>
    </row>
    <row r="257" spans="1:13">
      <c r="A257" s="14">
        <v>2026</v>
      </c>
      <c r="B257" s="12">
        <v>5</v>
      </c>
      <c r="C257" s="13">
        <v>46155</v>
      </c>
      <c r="D257" s="3" t="s">
        <v>1980</v>
      </c>
      <c r="E257" s="3" t="s">
        <v>1779</v>
      </c>
      <c r="F257" s="3" t="s">
        <v>1280</v>
      </c>
      <c r="G257" s="3" t="s">
        <v>273</v>
      </c>
      <c r="H257" s="3" t="s">
        <v>1775</v>
      </c>
      <c r="I257" s="3" t="s">
        <v>1280</v>
      </c>
      <c r="J257" s="3" t="s">
        <v>46</v>
      </c>
      <c r="K257" s="2">
        <v>260</v>
      </c>
      <c r="L257" s="1">
        <v>31000</v>
      </c>
      <c r="M257" s="1">
        <v>8060000</v>
      </c>
    </row>
    <row r="258" spans="1:13">
      <c r="A258" s="14">
        <v>2026</v>
      </c>
      <c r="B258" s="12">
        <v>5</v>
      </c>
      <c r="C258" s="13">
        <v>46155</v>
      </c>
      <c r="D258" s="3" t="s">
        <v>1981</v>
      </c>
      <c r="E258" s="3" t="s">
        <v>1781</v>
      </c>
      <c r="F258" s="3" t="s">
        <v>875</v>
      </c>
      <c r="G258" s="3" t="s">
        <v>273</v>
      </c>
      <c r="H258" s="3" t="s">
        <v>1775</v>
      </c>
      <c r="I258" s="3" t="s">
        <v>875</v>
      </c>
      <c r="J258" s="3" t="s">
        <v>466</v>
      </c>
      <c r="K258" s="2">
        <v>80</v>
      </c>
      <c r="L258" s="1">
        <v>50000</v>
      </c>
      <c r="M258" s="1">
        <v>4000000</v>
      </c>
    </row>
    <row r="259" spans="1:13">
      <c r="A259" s="14">
        <v>2026</v>
      </c>
      <c r="B259" s="12">
        <v>5</v>
      </c>
      <c r="C259" s="13">
        <v>46155</v>
      </c>
      <c r="D259" s="3" t="s">
        <v>1982</v>
      </c>
      <c r="E259" s="3" t="s">
        <v>16</v>
      </c>
      <c r="F259" s="3" t="s">
        <v>281</v>
      </c>
      <c r="G259" s="3" t="s">
        <v>273</v>
      </c>
      <c r="H259" s="3" t="s">
        <v>1775</v>
      </c>
      <c r="I259" s="3" t="s">
        <v>281</v>
      </c>
      <c r="J259" s="3" t="s">
        <v>21</v>
      </c>
      <c r="K259" s="2">
        <v>8</v>
      </c>
      <c r="L259" s="1">
        <v>16300</v>
      </c>
      <c r="M259" s="1">
        <v>130400</v>
      </c>
    </row>
    <row r="260" spans="1:13">
      <c r="A260" s="14">
        <v>2026</v>
      </c>
      <c r="B260" s="12">
        <v>5</v>
      </c>
      <c r="C260" s="13">
        <v>46156</v>
      </c>
      <c r="D260" s="3" t="s">
        <v>1784</v>
      </c>
      <c r="E260" s="3" t="s">
        <v>1797</v>
      </c>
      <c r="F260" s="3" t="s">
        <v>272</v>
      </c>
      <c r="G260" s="3" t="s">
        <v>273</v>
      </c>
      <c r="H260" s="3" t="s">
        <v>1775</v>
      </c>
      <c r="I260" s="3" t="s">
        <v>272</v>
      </c>
      <c r="J260" s="3" t="s">
        <v>41</v>
      </c>
      <c r="K260" s="2">
        <v>150</v>
      </c>
      <c r="L260" s="1">
        <v>40000</v>
      </c>
      <c r="M260" s="1">
        <v>6000000</v>
      </c>
    </row>
    <row r="261" spans="1:13">
      <c r="A261" s="14">
        <v>2026</v>
      </c>
      <c r="B261" s="12">
        <v>5</v>
      </c>
      <c r="C261" s="13">
        <v>46156</v>
      </c>
      <c r="D261" s="3" t="s">
        <v>1785</v>
      </c>
      <c r="E261" s="3" t="s">
        <v>1777</v>
      </c>
      <c r="F261" s="3" t="s">
        <v>864</v>
      </c>
      <c r="G261" s="3" t="s">
        <v>273</v>
      </c>
      <c r="H261" s="3" t="s">
        <v>1775</v>
      </c>
      <c r="I261" s="3" t="s">
        <v>864</v>
      </c>
      <c r="J261" s="3" t="s">
        <v>466</v>
      </c>
      <c r="K261" s="2">
        <v>50</v>
      </c>
      <c r="L261" s="1">
        <v>50000</v>
      </c>
      <c r="M261" s="1">
        <v>2500000</v>
      </c>
    </row>
    <row r="262" spans="1:13">
      <c r="A262" s="14">
        <v>2026</v>
      </c>
      <c r="B262" s="12">
        <v>5</v>
      </c>
      <c r="C262" s="13">
        <v>46156</v>
      </c>
      <c r="D262" s="3" t="s">
        <v>1785</v>
      </c>
      <c r="E262" s="3" t="s">
        <v>1777</v>
      </c>
      <c r="F262" s="3" t="s">
        <v>864</v>
      </c>
      <c r="G262" s="3" t="s">
        <v>273</v>
      </c>
      <c r="H262" s="3" t="s">
        <v>1775</v>
      </c>
      <c r="I262" s="3" t="s">
        <v>864</v>
      </c>
      <c r="J262" s="3" t="s">
        <v>38</v>
      </c>
      <c r="K262" s="2">
        <v>50</v>
      </c>
      <c r="L262" s="1">
        <v>33000</v>
      </c>
      <c r="M262" s="1">
        <v>1650000</v>
      </c>
    </row>
    <row r="263" spans="1:13">
      <c r="A263" s="14">
        <v>2026</v>
      </c>
      <c r="B263" s="12">
        <v>5</v>
      </c>
      <c r="C263" s="13">
        <v>46157</v>
      </c>
      <c r="D263" s="3" t="s">
        <v>1983</v>
      </c>
      <c r="E263" s="3" t="s">
        <v>1808</v>
      </c>
      <c r="F263" s="3" t="s">
        <v>1291</v>
      </c>
      <c r="G263" s="3" t="s">
        <v>273</v>
      </c>
      <c r="H263" s="3" t="s">
        <v>1775</v>
      </c>
      <c r="I263" s="3" t="s">
        <v>1291</v>
      </c>
      <c r="J263" s="3" t="s">
        <v>41</v>
      </c>
      <c r="K263" s="2">
        <v>800</v>
      </c>
      <c r="L263" s="1">
        <v>40000</v>
      </c>
      <c r="M263" s="1">
        <v>32000000</v>
      </c>
    </row>
    <row r="264" spans="1:13">
      <c r="A264" s="14">
        <v>2026</v>
      </c>
      <c r="B264" s="12">
        <v>5</v>
      </c>
      <c r="C264" s="13">
        <v>46157</v>
      </c>
      <c r="D264" s="3" t="s">
        <v>1983</v>
      </c>
      <c r="E264" s="3" t="s">
        <v>1808</v>
      </c>
      <c r="F264" s="3" t="s">
        <v>1291</v>
      </c>
      <c r="G264" s="3" t="s">
        <v>273</v>
      </c>
      <c r="H264" s="3" t="s">
        <v>1775</v>
      </c>
      <c r="I264" s="3" t="s">
        <v>1291</v>
      </c>
      <c r="J264" s="3" t="s">
        <v>41</v>
      </c>
      <c r="K264" s="2">
        <v>200</v>
      </c>
      <c r="L264" s="1">
        <v>40000</v>
      </c>
      <c r="M264" s="1">
        <v>8000000</v>
      </c>
    </row>
    <row r="265" spans="1:13">
      <c r="A265" s="14">
        <v>2026</v>
      </c>
      <c r="B265" s="12">
        <v>5</v>
      </c>
      <c r="C265" s="13">
        <v>46157</v>
      </c>
      <c r="D265" s="3" t="s">
        <v>1786</v>
      </c>
      <c r="E265" s="3" t="s">
        <v>16</v>
      </c>
      <c r="F265" s="3" t="s">
        <v>281</v>
      </c>
      <c r="G265" s="3" t="s">
        <v>273</v>
      </c>
      <c r="H265" s="3" t="s">
        <v>1775</v>
      </c>
      <c r="I265" s="3" t="s">
        <v>281</v>
      </c>
      <c r="J265" s="3" t="s">
        <v>466</v>
      </c>
      <c r="K265" s="2">
        <v>40</v>
      </c>
      <c r="L265" s="1">
        <v>50000</v>
      </c>
      <c r="M265" s="1">
        <v>2000000</v>
      </c>
    </row>
    <row r="266" spans="1:13">
      <c r="A266" s="14">
        <v>2026</v>
      </c>
      <c r="B266" s="12">
        <v>5</v>
      </c>
      <c r="C266" s="13">
        <v>46157</v>
      </c>
      <c r="D266" s="3" t="s">
        <v>1786</v>
      </c>
      <c r="E266" s="3" t="s">
        <v>16</v>
      </c>
      <c r="F266" s="3" t="s">
        <v>281</v>
      </c>
      <c r="G266" s="3" t="s">
        <v>273</v>
      </c>
      <c r="H266" s="3" t="s">
        <v>1775</v>
      </c>
      <c r="I266" s="3" t="s">
        <v>281</v>
      </c>
      <c r="J266" s="3" t="s">
        <v>38</v>
      </c>
      <c r="K266" s="2">
        <v>50</v>
      </c>
      <c r="L266" s="1">
        <v>33000</v>
      </c>
      <c r="M266" s="1">
        <v>1650000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A35B-47F6-FF40-8AC8-2C916C93D93D}">
  <dimension ref="A3:B9"/>
  <sheetViews>
    <sheetView zoomScale="135" workbookViewId="0">
      <selection activeCell="B4" sqref="B4"/>
    </sheetView>
  </sheetViews>
  <sheetFormatPr baseColWidth="10" defaultRowHeight="16"/>
  <cols>
    <col min="1" max="1" width="51" bestFit="1" customWidth="1"/>
    <col min="2" max="2" width="21.5" bestFit="1" customWidth="1"/>
  </cols>
  <sheetData>
    <row r="3" spans="1:2">
      <c r="A3" s="54" t="s">
        <v>2179</v>
      </c>
      <c r="B3" t="s">
        <v>2182</v>
      </c>
    </row>
    <row r="4" spans="1:2">
      <c r="A4" s="55" t="s">
        <v>46</v>
      </c>
      <c r="B4" s="57">
        <v>151273764</v>
      </c>
    </row>
    <row r="5" spans="1:2">
      <c r="A5" s="55" t="s">
        <v>41</v>
      </c>
      <c r="B5" s="57">
        <v>387865700</v>
      </c>
    </row>
    <row r="6" spans="1:2">
      <c r="A6" s="55" t="s">
        <v>466</v>
      </c>
      <c r="B6" s="57">
        <v>284491760</v>
      </c>
    </row>
    <row r="7" spans="1:2">
      <c r="A7" s="55" t="s">
        <v>21</v>
      </c>
      <c r="B7" s="57">
        <v>602908643.66999984</v>
      </c>
    </row>
    <row r="8" spans="1:2">
      <c r="A8" s="55" t="s">
        <v>38</v>
      </c>
      <c r="B8" s="57">
        <v>258213150</v>
      </c>
    </row>
    <row r="9" spans="1:2">
      <c r="A9" s="55" t="s">
        <v>2180</v>
      </c>
      <c r="B9" s="57">
        <v>1684753017.6699998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B005-76FB-F945-B43B-D84E1B480CB5}">
  <dimension ref="A1:F29"/>
  <sheetViews>
    <sheetView zoomScale="140" workbookViewId="0">
      <selection activeCell="D25" sqref="D25"/>
    </sheetView>
  </sheetViews>
  <sheetFormatPr baseColWidth="10" defaultRowHeight="16"/>
  <cols>
    <col min="1" max="1" width="32" customWidth="1"/>
    <col min="2" max="2" width="18.5" customWidth="1"/>
    <col min="4" max="4" width="18.33203125" customWidth="1"/>
    <col min="6" max="6" width="15.83203125" customWidth="1"/>
  </cols>
  <sheetData>
    <row r="1" spans="1:6" ht="18">
      <c r="A1" s="89" t="s">
        <v>2144</v>
      </c>
      <c r="B1" s="89"/>
      <c r="C1" s="81"/>
      <c r="D1" s="73"/>
      <c r="E1" s="73"/>
      <c r="F1" s="71"/>
    </row>
    <row r="2" spans="1:6">
      <c r="A2" s="74" t="s">
        <v>2157</v>
      </c>
      <c r="B2" s="75">
        <v>17500</v>
      </c>
      <c r="C2" s="81"/>
      <c r="D2" s="73"/>
      <c r="E2" s="73"/>
      <c r="F2" s="71"/>
    </row>
    <row r="3" spans="1:6">
      <c r="A3" s="77" t="s">
        <v>2156</v>
      </c>
      <c r="B3" s="78">
        <v>16500</v>
      </c>
      <c r="C3" s="81"/>
      <c r="D3" s="73"/>
      <c r="E3" s="73"/>
      <c r="F3" s="71"/>
    </row>
    <row r="4" spans="1:6">
      <c r="A4" s="79" t="s">
        <v>2137</v>
      </c>
      <c r="B4" s="80">
        <v>34000</v>
      </c>
      <c r="C4" s="81"/>
      <c r="D4" s="73"/>
      <c r="E4" s="73"/>
      <c r="F4" s="71"/>
    </row>
    <row r="5" spans="1:6" ht="19">
      <c r="C5" s="72"/>
      <c r="D5" s="82" t="s">
        <v>2149</v>
      </c>
      <c r="E5" s="82"/>
      <c r="F5" s="83"/>
    </row>
    <row r="6" spans="1:6">
      <c r="A6" s="74" t="s">
        <v>2151</v>
      </c>
      <c r="B6" s="75">
        <v>27500</v>
      </c>
      <c r="C6" s="84"/>
      <c r="D6" s="74" t="s">
        <v>2141</v>
      </c>
      <c r="E6" s="85">
        <v>14319</v>
      </c>
      <c r="F6" s="71"/>
    </row>
    <row r="7" spans="1:6">
      <c r="A7" s="77" t="s">
        <v>2150</v>
      </c>
      <c r="B7" s="78">
        <v>16700</v>
      </c>
      <c r="C7" s="84"/>
      <c r="D7" s="77" t="s">
        <v>2141</v>
      </c>
      <c r="E7" s="86">
        <v>1205</v>
      </c>
      <c r="F7" s="71"/>
    </row>
    <row r="8" spans="1:6">
      <c r="A8" s="79" t="s">
        <v>2137</v>
      </c>
      <c r="B8" s="80">
        <v>44200</v>
      </c>
      <c r="C8" s="81"/>
      <c r="D8" s="79" t="s">
        <v>2137</v>
      </c>
      <c r="E8" s="87">
        <v>15524</v>
      </c>
      <c r="F8" s="88"/>
    </row>
    <row r="9" spans="1:6">
      <c r="A9" s="73"/>
      <c r="B9" s="73"/>
      <c r="C9" s="81"/>
      <c r="D9" s="73"/>
      <c r="E9" s="73"/>
      <c r="F9" s="71"/>
    </row>
    <row r="10" spans="1:6" ht="18">
      <c r="A10" s="89" t="s">
        <v>2144</v>
      </c>
      <c r="B10" s="89"/>
      <c r="C10" s="81"/>
      <c r="D10" s="73"/>
      <c r="E10" s="73"/>
      <c r="F10" s="71"/>
    </row>
    <row r="11" spans="1:6">
      <c r="A11" s="74" t="s">
        <v>2146</v>
      </c>
      <c r="B11" s="75">
        <v>19684</v>
      </c>
      <c r="D11" s="76"/>
      <c r="E11" s="76"/>
      <c r="F11" s="71"/>
    </row>
    <row r="12" spans="1:6">
      <c r="A12" s="77" t="s">
        <v>2145</v>
      </c>
      <c r="B12" s="78">
        <v>14695</v>
      </c>
      <c r="D12" s="76"/>
      <c r="E12" s="76"/>
      <c r="F12" s="71"/>
    </row>
    <row r="13" spans="1:6">
      <c r="A13" s="79" t="s">
        <v>2137</v>
      </c>
      <c r="B13" s="80">
        <v>34379</v>
      </c>
      <c r="D13" s="73"/>
      <c r="E13" s="73"/>
      <c r="F13" s="71"/>
    </row>
    <row r="14" spans="1:6">
      <c r="A14" s="73"/>
      <c r="B14" s="73"/>
      <c r="C14" s="81"/>
      <c r="D14" s="73"/>
      <c r="E14" s="73"/>
      <c r="F14" s="71"/>
    </row>
    <row r="15" spans="1:6">
      <c r="A15" s="73"/>
      <c r="B15" s="73"/>
      <c r="C15" s="81"/>
      <c r="D15" s="73"/>
      <c r="E15" s="73"/>
      <c r="F15" s="71"/>
    </row>
    <row r="16" spans="1:6" ht="18">
      <c r="A16" s="89" t="s">
        <v>2140</v>
      </c>
      <c r="B16" s="89"/>
      <c r="C16" s="90"/>
      <c r="D16" s="90"/>
      <c r="E16" s="73"/>
      <c r="F16" s="71"/>
    </row>
    <row r="17" spans="1:6">
      <c r="A17" s="74" t="s">
        <v>2139</v>
      </c>
      <c r="B17" s="75">
        <v>13400</v>
      </c>
      <c r="C17" s="84"/>
      <c r="D17" s="76"/>
      <c r="E17" s="73"/>
      <c r="F17" s="71"/>
    </row>
    <row r="18" spans="1:6">
      <c r="A18" s="77" t="s">
        <v>2138</v>
      </c>
      <c r="B18" s="78">
        <v>18520</v>
      </c>
      <c r="C18" s="84"/>
      <c r="D18" s="76"/>
      <c r="E18" s="73"/>
      <c r="F18" s="71"/>
    </row>
    <row r="19" spans="1:6">
      <c r="A19" s="79" t="s">
        <v>2137</v>
      </c>
      <c r="B19" s="80">
        <v>31920</v>
      </c>
      <c r="C19" s="81"/>
      <c r="D19" s="73"/>
      <c r="E19" s="73"/>
      <c r="F19" s="71"/>
    </row>
    <row r="20" spans="1:6">
      <c r="A20" s="73"/>
      <c r="B20" s="73"/>
      <c r="C20" s="81"/>
      <c r="D20" s="73"/>
      <c r="E20" s="73"/>
      <c r="F20" s="71"/>
    </row>
    <row r="23" spans="1:6">
      <c r="A23" s="17"/>
      <c r="B23" s="52"/>
      <c r="C23" s="52"/>
      <c r="D23" s="53">
        <f>SUM(D25:D29)</f>
        <v>3098101720</v>
      </c>
    </row>
    <row r="24" spans="1:6" ht="34">
      <c r="A24" s="33" t="s">
        <v>9</v>
      </c>
      <c r="B24" s="123" t="s">
        <v>2207</v>
      </c>
      <c r="C24" s="33" t="s">
        <v>2208</v>
      </c>
      <c r="D24" s="33" t="s">
        <v>2209</v>
      </c>
    </row>
    <row r="25" spans="1:6">
      <c r="A25" s="34" t="s">
        <v>46</v>
      </c>
      <c r="B25" s="22">
        <v>31920</v>
      </c>
      <c r="C25" s="22">
        <v>18000</v>
      </c>
      <c r="D25" s="22">
        <f>+B25*C25</f>
        <v>574560000</v>
      </c>
    </row>
    <row r="26" spans="1:6">
      <c r="A26" s="34" t="s">
        <v>38</v>
      </c>
      <c r="B26" s="22">
        <v>34000</v>
      </c>
      <c r="C26" s="22">
        <v>20000</v>
      </c>
      <c r="D26" s="22">
        <f>+B26*C26</f>
        <v>680000000</v>
      </c>
    </row>
    <row r="27" spans="1:6">
      <c r="A27" s="34" t="s">
        <v>466</v>
      </c>
      <c r="B27" s="22">
        <v>34379</v>
      </c>
      <c r="C27" s="22">
        <v>25000</v>
      </c>
      <c r="D27" s="22">
        <f>+B27*C27</f>
        <v>859475000</v>
      </c>
    </row>
    <row r="28" spans="1:6">
      <c r="A28" s="35" t="s">
        <v>21</v>
      </c>
      <c r="B28" s="22">
        <v>103320</v>
      </c>
      <c r="C28" s="62">
        <f>3696</f>
        <v>3696</v>
      </c>
      <c r="D28" s="22">
        <f>+B28*C28</f>
        <v>381870720</v>
      </c>
    </row>
    <row r="29" spans="1:6">
      <c r="A29" s="34" t="s">
        <v>41</v>
      </c>
      <c r="B29" s="22">
        <v>28676</v>
      </c>
      <c r="C29" s="22">
        <v>21000</v>
      </c>
      <c r="D29" s="22">
        <f>+B29*C29</f>
        <v>602196000</v>
      </c>
    </row>
  </sheetData>
  <mergeCells count="3">
    <mergeCell ref="A10:B10"/>
    <mergeCell ref="A1:B1"/>
    <mergeCell ref="A16:B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B5AA-B9CB-7A40-8DF4-8F5A4514CD54}">
  <dimension ref="A1:O388"/>
  <sheetViews>
    <sheetView zoomScale="125" workbookViewId="0">
      <selection activeCell="M20" sqref="M20"/>
    </sheetView>
  </sheetViews>
  <sheetFormatPr baseColWidth="10" defaultRowHeight="16"/>
  <cols>
    <col min="1" max="3" width="11" bestFit="1" customWidth="1"/>
    <col min="4" max="4" width="14.6640625" customWidth="1"/>
    <col min="10" max="11" width="11" bestFit="1" customWidth="1"/>
    <col min="12" max="12" width="18.6640625" style="56" bestFit="1" customWidth="1"/>
    <col min="14" max="14" width="18.6640625" bestFit="1" customWidth="1"/>
    <col min="15" max="15" width="18.33203125" bestFit="1" customWidth="1"/>
  </cols>
  <sheetData>
    <row r="1" spans="1:1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14">
        <f>SUBTOTAL(9,L3:L389)</f>
        <v>3112806200</v>
      </c>
      <c r="M1" s="114"/>
      <c r="N1" s="114">
        <f>SUBTOTAL(9,N3:N389)</f>
        <v>2721843000</v>
      </c>
      <c r="O1" s="114">
        <f>SUBTOTAL(9,O3:O389)</f>
        <v>390963200</v>
      </c>
    </row>
    <row r="2" spans="1:15" ht="42">
      <c r="A2" s="98" t="s">
        <v>0</v>
      </c>
      <c r="B2" s="98" t="s">
        <v>1</v>
      </c>
      <c r="C2" s="98" t="s">
        <v>2</v>
      </c>
      <c r="D2" s="98" t="s">
        <v>3</v>
      </c>
      <c r="E2" s="98" t="s">
        <v>4</v>
      </c>
      <c r="F2" s="98" t="s">
        <v>5</v>
      </c>
      <c r="G2" s="98" t="s">
        <v>7</v>
      </c>
      <c r="H2" s="98" t="s">
        <v>8</v>
      </c>
      <c r="I2" s="98" t="s">
        <v>9</v>
      </c>
      <c r="J2" s="98" t="s">
        <v>10</v>
      </c>
      <c r="K2" s="98" t="s">
        <v>11</v>
      </c>
      <c r="L2" s="110" t="s">
        <v>12</v>
      </c>
      <c r="M2" s="98" t="s">
        <v>2196</v>
      </c>
      <c r="N2" s="98" t="s">
        <v>2196</v>
      </c>
      <c r="O2" s="113" t="s">
        <v>2197</v>
      </c>
    </row>
    <row r="3" spans="1:15">
      <c r="A3" s="19">
        <v>2025</v>
      </c>
      <c r="B3" s="111">
        <v>1</v>
      </c>
      <c r="C3" s="20">
        <v>45688</v>
      </c>
      <c r="D3" s="99" t="s">
        <v>2000</v>
      </c>
      <c r="E3" s="102" t="s">
        <v>2001</v>
      </c>
      <c r="F3" s="102" t="s">
        <v>2002</v>
      </c>
      <c r="G3" s="99" t="s">
        <v>2003</v>
      </c>
      <c r="H3" s="102" t="s">
        <v>1797</v>
      </c>
      <c r="I3" s="102" t="s">
        <v>21</v>
      </c>
      <c r="J3" s="104">
        <v>7800</v>
      </c>
      <c r="K3" s="104">
        <v>16300</v>
      </c>
      <c r="L3" s="112">
        <v>127140000</v>
      </c>
      <c r="M3" s="115">
        <v>100</v>
      </c>
      <c r="N3" s="115">
        <f>+L3*M3%</f>
        <v>127140000</v>
      </c>
      <c r="O3" s="57">
        <f>L3-N3</f>
        <v>0</v>
      </c>
    </row>
    <row r="4" spans="1:15">
      <c r="A4" s="19">
        <v>2025</v>
      </c>
      <c r="B4" s="111">
        <v>1</v>
      </c>
      <c r="C4" s="20">
        <v>45688</v>
      </c>
      <c r="D4" s="99" t="s">
        <v>2004</v>
      </c>
      <c r="E4" s="102" t="s">
        <v>2005</v>
      </c>
      <c r="F4" s="102" t="s">
        <v>1141</v>
      </c>
      <c r="G4" s="99" t="s">
        <v>2003</v>
      </c>
      <c r="H4" s="102" t="s">
        <v>2006</v>
      </c>
      <c r="I4" s="102" t="s">
        <v>21</v>
      </c>
      <c r="J4" s="104">
        <v>5000</v>
      </c>
      <c r="K4" s="104">
        <v>16300</v>
      </c>
      <c r="L4" s="112">
        <v>81500000</v>
      </c>
      <c r="M4" s="115">
        <v>100</v>
      </c>
      <c r="N4" s="115">
        <f t="shared" ref="N4:N67" si="0">+L4*M4%</f>
        <v>81500000</v>
      </c>
      <c r="O4" s="57">
        <f t="shared" ref="O4:O67" si="1">L4-N4</f>
        <v>0</v>
      </c>
    </row>
    <row r="5" spans="1:15">
      <c r="A5" s="19">
        <v>2025</v>
      </c>
      <c r="B5" s="111">
        <v>2</v>
      </c>
      <c r="C5" s="20">
        <v>45692</v>
      </c>
      <c r="D5" s="99" t="s">
        <v>2007</v>
      </c>
      <c r="E5" s="102" t="s">
        <v>2005</v>
      </c>
      <c r="F5" s="102" t="s">
        <v>1141</v>
      </c>
      <c r="G5" s="99" t="s">
        <v>2003</v>
      </c>
      <c r="H5" s="102" t="s">
        <v>2006</v>
      </c>
      <c r="I5" s="102" t="s">
        <v>21</v>
      </c>
      <c r="J5" s="104">
        <v>3000</v>
      </c>
      <c r="K5" s="104">
        <v>16300</v>
      </c>
      <c r="L5" s="112">
        <v>48900000</v>
      </c>
      <c r="M5" s="115">
        <v>100</v>
      </c>
      <c r="N5" s="115">
        <f t="shared" si="0"/>
        <v>48900000</v>
      </c>
      <c r="O5" s="57">
        <f t="shared" si="1"/>
        <v>0</v>
      </c>
    </row>
    <row r="6" spans="1:15">
      <c r="A6" s="19">
        <v>2025</v>
      </c>
      <c r="B6" s="111">
        <v>2</v>
      </c>
      <c r="C6" s="20">
        <v>45698</v>
      </c>
      <c r="D6" s="99" t="s">
        <v>2008</v>
      </c>
      <c r="E6" s="102" t="s">
        <v>1806</v>
      </c>
      <c r="F6" s="102" t="s">
        <v>2009</v>
      </c>
      <c r="G6" s="99" t="s">
        <v>2003</v>
      </c>
      <c r="H6" s="102" t="s">
        <v>2009</v>
      </c>
      <c r="I6" s="102" t="s">
        <v>21</v>
      </c>
      <c r="J6" s="104">
        <v>5000</v>
      </c>
      <c r="K6" s="104">
        <v>18300</v>
      </c>
      <c r="L6" s="112">
        <v>91500000</v>
      </c>
      <c r="M6" s="115">
        <v>100</v>
      </c>
      <c r="N6" s="115">
        <f t="shared" si="0"/>
        <v>91500000</v>
      </c>
      <c r="O6" s="57">
        <f t="shared" si="1"/>
        <v>0</v>
      </c>
    </row>
    <row r="7" spans="1:15">
      <c r="A7" s="19">
        <v>2025</v>
      </c>
      <c r="B7" s="111">
        <v>2</v>
      </c>
      <c r="C7" s="20">
        <v>45714</v>
      </c>
      <c r="D7" s="99" t="s">
        <v>2010</v>
      </c>
      <c r="E7" s="102" t="s">
        <v>2011</v>
      </c>
      <c r="F7" s="102" t="s">
        <v>2012</v>
      </c>
      <c r="G7" s="99" t="s">
        <v>2003</v>
      </c>
      <c r="H7" s="102" t="s">
        <v>2011</v>
      </c>
      <c r="I7" s="102" t="s">
        <v>21</v>
      </c>
      <c r="J7" s="103">
        <v>480</v>
      </c>
      <c r="K7" s="104">
        <v>18300</v>
      </c>
      <c r="L7" s="112">
        <v>8784000</v>
      </c>
      <c r="M7" s="115">
        <v>100</v>
      </c>
      <c r="N7" s="115">
        <f t="shared" si="0"/>
        <v>8784000</v>
      </c>
      <c r="O7" s="57">
        <f t="shared" si="1"/>
        <v>0</v>
      </c>
    </row>
    <row r="8" spans="1:15">
      <c r="A8" s="19">
        <v>2025</v>
      </c>
      <c r="B8" s="111">
        <v>2</v>
      </c>
      <c r="C8" s="20">
        <v>45714</v>
      </c>
      <c r="D8" s="99" t="s">
        <v>2013</v>
      </c>
      <c r="E8" s="102" t="s">
        <v>1806</v>
      </c>
      <c r="F8" s="102" t="s">
        <v>2014</v>
      </c>
      <c r="G8" s="99" t="s">
        <v>2003</v>
      </c>
      <c r="H8" s="102" t="s">
        <v>2015</v>
      </c>
      <c r="I8" s="102" t="s">
        <v>21</v>
      </c>
      <c r="J8" s="104">
        <v>1200</v>
      </c>
      <c r="K8" s="104">
        <v>18300</v>
      </c>
      <c r="L8" s="112">
        <v>21960000</v>
      </c>
      <c r="M8" s="115">
        <v>100</v>
      </c>
      <c r="N8" s="115">
        <f t="shared" si="0"/>
        <v>21960000</v>
      </c>
      <c r="O8" s="57">
        <f t="shared" si="1"/>
        <v>0</v>
      </c>
    </row>
    <row r="9" spans="1:15">
      <c r="A9" s="19">
        <v>2025</v>
      </c>
      <c r="B9" s="111">
        <v>2</v>
      </c>
      <c r="C9" s="20">
        <v>45714</v>
      </c>
      <c r="D9" s="99" t="s">
        <v>2016</v>
      </c>
      <c r="E9" s="102" t="s">
        <v>16</v>
      </c>
      <c r="F9" s="102" t="s">
        <v>1986</v>
      </c>
      <c r="G9" s="99" t="s">
        <v>2003</v>
      </c>
      <c r="H9" s="102" t="s">
        <v>16</v>
      </c>
      <c r="I9" s="102" t="s">
        <v>21</v>
      </c>
      <c r="J9" s="103">
        <v>480</v>
      </c>
      <c r="K9" s="104">
        <v>18300</v>
      </c>
      <c r="L9" s="112">
        <v>8784000</v>
      </c>
      <c r="M9" s="115">
        <v>100</v>
      </c>
      <c r="N9" s="115">
        <f t="shared" si="0"/>
        <v>8784000</v>
      </c>
      <c r="O9" s="57">
        <f t="shared" si="1"/>
        <v>0</v>
      </c>
    </row>
    <row r="10" spans="1:15">
      <c r="A10" s="19">
        <v>2025</v>
      </c>
      <c r="B10" s="111">
        <v>3</v>
      </c>
      <c r="C10" s="20">
        <v>45723</v>
      </c>
      <c r="D10" s="99" t="s">
        <v>2017</v>
      </c>
      <c r="E10" s="102" t="s">
        <v>2018</v>
      </c>
      <c r="F10" s="102" t="s">
        <v>253</v>
      </c>
      <c r="G10" s="99" t="s">
        <v>2003</v>
      </c>
      <c r="H10" s="102" t="s">
        <v>2018</v>
      </c>
      <c r="I10" s="102" t="s">
        <v>21</v>
      </c>
      <c r="J10" s="103">
        <v>500</v>
      </c>
      <c r="K10" s="104">
        <v>18300</v>
      </c>
      <c r="L10" s="112">
        <v>9150000</v>
      </c>
      <c r="M10" s="115">
        <v>100</v>
      </c>
      <c r="N10" s="115">
        <f t="shared" si="0"/>
        <v>9150000</v>
      </c>
      <c r="O10" s="57">
        <f t="shared" si="1"/>
        <v>0</v>
      </c>
    </row>
    <row r="11" spans="1:15">
      <c r="A11" s="19">
        <v>2025</v>
      </c>
      <c r="B11" s="111">
        <v>4</v>
      </c>
      <c r="C11" s="20">
        <v>45768</v>
      </c>
      <c r="D11" s="99" t="s">
        <v>2019</v>
      </c>
      <c r="E11" s="102" t="s">
        <v>2020</v>
      </c>
      <c r="F11" s="102" t="s">
        <v>2020</v>
      </c>
      <c r="G11" s="99" t="s">
        <v>2003</v>
      </c>
      <c r="H11" s="102" t="s">
        <v>2020</v>
      </c>
      <c r="I11" s="102" t="s">
        <v>21</v>
      </c>
      <c r="J11" s="103">
        <v>240</v>
      </c>
      <c r="K11" s="104">
        <v>18300</v>
      </c>
      <c r="L11" s="112">
        <v>4392000</v>
      </c>
      <c r="M11" s="115">
        <v>100</v>
      </c>
      <c r="N11" s="115">
        <f t="shared" si="0"/>
        <v>4392000</v>
      </c>
      <c r="O11" s="57">
        <f t="shared" si="1"/>
        <v>0</v>
      </c>
    </row>
    <row r="12" spans="1:15">
      <c r="A12" s="19">
        <v>2025</v>
      </c>
      <c r="B12" s="111">
        <v>4</v>
      </c>
      <c r="C12" s="20">
        <v>45768</v>
      </c>
      <c r="D12" s="99" t="s">
        <v>2021</v>
      </c>
      <c r="E12" s="102" t="s">
        <v>2012</v>
      </c>
      <c r="F12" s="102" t="s">
        <v>2012</v>
      </c>
      <c r="G12" s="99" t="s">
        <v>2003</v>
      </c>
      <c r="H12" s="102" t="s">
        <v>2012</v>
      </c>
      <c r="I12" s="102" t="s">
        <v>21</v>
      </c>
      <c r="J12" s="103">
        <v>500</v>
      </c>
      <c r="K12" s="104">
        <v>18300</v>
      </c>
      <c r="L12" s="112">
        <v>9150000</v>
      </c>
      <c r="M12" s="115">
        <v>100</v>
      </c>
      <c r="N12" s="115">
        <f t="shared" si="0"/>
        <v>9150000</v>
      </c>
      <c r="O12" s="57">
        <f t="shared" si="1"/>
        <v>0</v>
      </c>
    </row>
    <row r="13" spans="1:15">
      <c r="A13" s="19">
        <v>2025</v>
      </c>
      <c r="B13" s="111">
        <v>4</v>
      </c>
      <c r="C13" s="20">
        <v>45768</v>
      </c>
      <c r="D13" s="99" t="s">
        <v>2022</v>
      </c>
      <c r="E13" s="102" t="s">
        <v>2018</v>
      </c>
      <c r="F13" s="102" t="s">
        <v>253</v>
      </c>
      <c r="G13" s="99" t="s">
        <v>2003</v>
      </c>
      <c r="H13" s="102" t="s">
        <v>2018</v>
      </c>
      <c r="I13" s="102" t="s">
        <v>21</v>
      </c>
      <c r="J13" s="103">
        <v>600</v>
      </c>
      <c r="K13" s="104">
        <v>19000</v>
      </c>
      <c r="L13" s="112">
        <v>11400000</v>
      </c>
      <c r="M13" s="115">
        <v>100</v>
      </c>
      <c r="N13" s="115">
        <f t="shared" si="0"/>
        <v>11400000</v>
      </c>
      <c r="O13" s="57">
        <f t="shared" si="1"/>
        <v>0</v>
      </c>
    </row>
    <row r="14" spans="1:15">
      <c r="A14" s="19">
        <v>2025</v>
      </c>
      <c r="B14" s="111">
        <v>4</v>
      </c>
      <c r="C14" s="20">
        <v>45769</v>
      </c>
      <c r="D14" s="99" t="s">
        <v>2023</v>
      </c>
      <c r="E14" s="102" t="s">
        <v>2024</v>
      </c>
      <c r="F14" s="102" t="s">
        <v>2024</v>
      </c>
      <c r="G14" s="99" t="s">
        <v>2003</v>
      </c>
      <c r="H14" s="102" t="s">
        <v>2024</v>
      </c>
      <c r="I14" s="102" t="s">
        <v>21</v>
      </c>
      <c r="J14" s="104">
        <v>1200</v>
      </c>
      <c r="K14" s="104">
        <v>16300</v>
      </c>
      <c r="L14" s="112">
        <v>19560000</v>
      </c>
      <c r="M14" s="115">
        <v>100</v>
      </c>
      <c r="N14" s="115">
        <f t="shared" si="0"/>
        <v>19560000</v>
      </c>
      <c r="O14" s="57">
        <f t="shared" si="1"/>
        <v>0</v>
      </c>
    </row>
    <row r="15" spans="1:15">
      <c r="A15" s="19">
        <v>2025</v>
      </c>
      <c r="B15" s="111">
        <v>4</v>
      </c>
      <c r="C15" s="20">
        <v>45770</v>
      </c>
      <c r="D15" s="99" t="s">
        <v>2025</v>
      </c>
      <c r="E15" s="102" t="s">
        <v>2005</v>
      </c>
      <c r="F15" s="102" t="s">
        <v>2026</v>
      </c>
      <c r="G15" s="99" t="s">
        <v>2003</v>
      </c>
      <c r="H15" s="102" t="s">
        <v>2006</v>
      </c>
      <c r="I15" s="102" t="s">
        <v>21</v>
      </c>
      <c r="J15" s="104">
        <v>1200</v>
      </c>
      <c r="K15" s="104">
        <v>16300</v>
      </c>
      <c r="L15" s="112">
        <v>19560000</v>
      </c>
      <c r="M15" s="115">
        <v>100</v>
      </c>
      <c r="N15" s="115">
        <f t="shared" si="0"/>
        <v>19560000</v>
      </c>
      <c r="O15" s="57">
        <f t="shared" si="1"/>
        <v>0</v>
      </c>
    </row>
    <row r="16" spans="1:15">
      <c r="A16" s="19">
        <v>2025</v>
      </c>
      <c r="B16" s="111">
        <v>4</v>
      </c>
      <c r="C16" s="20">
        <v>45770</v>
      </c>
      <c r="D16" s="99" t="s">
        <v>2027</v>
      </c>
      <c r="E16" s="102" t="s">
        <v>2005</v>
      </c>
      <c r="F16" s="102" t="s">
        <v>2026</v>
      </c>
      <c r="G16" s="99" t="s">
        <v>2003</v>
      </c>
      <c r="H16" s="102" t="s">
        <v>2006</v>
      </c>
      <c r="I16" s="102" t="s">
        <v>21</v>
      </c>
      <c r="J16" s="104">
        <v>1200</v>
      </c>
      <c r="K16" s="104">
        <v>16300</v>
      </c>
      <c r="L16" s="112">
        <v>19560000</v>
      </c>
      <c r="M16" s="115">
        <v>100</v>
      </c>
      <c r="N16" s="115">
        <f t="shared" si="0"/>
        <v>19560000</v>
      </c>
      <c r="O16" s="57">
        <f t="shared" si="1"/>
        <v>0</v>
      </c>
    </row>
    <row r="17" spans="1:15">
      <c r="A17" s="19">
        <v>2025</v>
      </c>
      <c r="B17" s="111">
        <v>5</v>
      </c>
      <c r="C17" s="20">
        <v>45789</v>
      </c>
      <c r="D17" s="99" t="s">
        <v>2028</v>
      </c>
      <c r="E17" s="102" t="s">
        <v>2029</v>
      </c>
      <c r="F17" s="102" t="s">
        <v>301</v>
      </c>
      <c r="G17" s="99" t="s">
        <v>2003</v>
      </c>
      <c r="H17" s="102" t="s">
        <v>2030</v>
      </c>
      <c r="I17" s="102" t="s">
        <v>21</v>
      </c>
      <c r="J17" s="103">
        <v>480</v>
      </c>
      <c r="K17" s="104">
        <v>18300</v>
      </c>
      <c r="L17" s="112">
        <v>8784000</v>
      </c>
      <c r="M17" s="115">
        <v>100</v>
      </c>
      <c r="N17" s="115">
        <f t="shared" si="0"/>
        <v>8784000</v>
      </c>
      <c r="O17" s="57">
        <f t="shared" si="1"/>
        <v>0</v>
      </c>
    </row>
    <row r="18" spans="1:15">
      <c r="A18" s="19">
        <v>2025</v>
      </c>
      <c r="B18" s="111">
        <v>5</v>
      </c>
      <c r="C18" s="20">
        <v>45796</v>
      </c>
      <c r="D18" s="99" t="s">
        <v>2031</v>
      </c>
      <c r="E18" s="102" t="s">
        <v>1806</v>
      </c>
      <c r="F18" s="102" t="s">
        <v>2032</v>
      </c>
      <c r="G18" s="99" t="s">
        <v>2003</v>
      </c>
      <c r="H18" s="102" t="s">
        <v>2032</v>
      </c>
      <c r="I18" s="102" t="s">
        <v>21</v>
      </c>
      <c r="J18" s="103">
        <v>480</v>
      </c>
      <c r="K18" s="104">
        <v>18300</v>
      </c>
      <c r="L18" s="112">
        <v>8784000</v>
      </c>
      <c r="M18" s="115">
        <v>100</v>
      </c>
      <c r="N18" s="115">
        <f t="shared" si="0"/>
        <v>8784000</v>
      </c>
      <c r="O18" s="57">
        <f t="shared" si="1"/>
        <v>0</v>
      </c>
    </row>
    <row r="19" spans="1:15">
      <c r="A19" s="19">
        <v>2025</v>
      </c>
      <c r="B19" s="111">
        <v>5</v>
      </c>
      <c r="C19" s="20">
        <v>45799</v>
      </c>
      <c r="D19" s="99" t="s">
        <v>2033</v>
      </c>
      <c r="E19" s="102" t="s">
        <v>2020</v>
      </c>
      <c r="F19" s="102" t="s">
        <v>2020</v>
      </c>
      <c r="G19" s="99" t="s">
        <v>2003</v>
      </c>
      <c r="H19" s="102" t="s">
        <v>2020</v>
      </c>
      <c r="I19" s="102" t="s">
        <v>21</v>
      </c>
      <c r="J19" s="103">
        <v>240</v>
      </c>
      <c r="K19" s="104">
        <v>18300</v>
      </c>
      <c r="L19" s="112">
        <v>4392000</v>
      </c>
      <c r="M19" s="115">
        <v>100</v>
      </c>
      <c r="N19" s="115">
        <f t="shared" si="0"/>
        <v>4392000</v>
      </c>
      <c r="O19" s="57">
        <f t="shared" si="1"/>
        <v>0</v>
      </c>
    </row>
    <row r="20" spans="1:15">
      <c r="A20" s="19">
        <v>2025</v>
      </c>
      <c r="B20" s="111">
        <v>6</v>
      </c>
      <c r="C20" s="20">
        <v>45813</v>
      </c>
      <c r="D20" s="99" t="s">
        <v>2034</v>
      </c>
      <c r="E20" s="102" t="s">
        <v>1806</v>
      </c>
      <c r="F20" s="102" t="s">
        <v>2032</v>
      </c>
      <c r="G20" s="99" t="s">
        <v>2003</v>
      </c>
      <c r="H20" s="102" t="s">
        <v>2032</v>
      </c>
      <c r="I20" s="102" t="s">
        <v>21</v>
      </c>
      <c r="J20" s="103">
        <v>480</v>
      </c>
      <c r="K20" s="104">
        <v>18300</v>
      </c>
      <c r="L20" s="112">
        <v>8784000</v>
      </c>
      <c r="M20" s="115">
        <v>100</v>
      </c>
      <c r="N20" s="115">
        <f t="shared" si="0"/>
        <v>8784000</v>
      </c>
      <c r="O20" s="57">
        <f t="shared" si="1"/>
        <v>0</v>
      </c>
    </row>
    <row r="21" spans="1:15">
      <c r="A21" s="19">
        <v>2025</v>
      </c>
      <c r="B21" s="111">
        <v>6</v>
      </c>
      <c r="C21" s="20">
        <v>45818</v>
      </c>
      <c r="D21" s="99" t="s">
        <v>2035</v>
      </c>
      <c r="E21" s="102" t="s">
        <v>2005</v>
      </c>
      <c r="F21" s="102" t="s">
        <v>1141</v>
      </c>
      <c r="G21" s="99" t="s">
        <v>2003</v>
      </c>
      <c r="H21" s="102" t="s">
        <v>2006</v>
      </c>
      <c r="I21" s="102" t="s">
        <v>21</v>
      </c>
      <c r="J21" s="104">
        <v>1200</v>
      </c>
      <c r="K21" s="104">
        <v>16300</v>
      </c>
      <c r="L21" s="112">
        <v>19560000</v>
      </c>
      <c r="M21" s="115">
        <v>100</v>
      </c>
      <c r="N21" s="115">
        <f t="shared" si="0"/>
        <v>19560000</v>
      </c>
      <c r="O21" s="57">
        <f t="shared" si="1"/>
        <v>0</v>
      </c>
    </row>
    <row r="22" spans="1:15">
      <c r="A22" s="19">
        <v>2025</v>
      </c>
      <c r="B22" s="111">
        <v>6</v>
      </c>
      <c r="C22" s="20">
        <v>45825</v>
      </c>
      <c r="D22" s="99" t="s">
        <v>2036</v>
      </c>
      <c r="E22" s="102" t="s">
        <v>1806</v>
      </c>
      <c r="F22" s="102" t="s">
        <v>2032</v>
      </c>
      <c r="G22" s="99" t="s">
        <v>2003</v>
      </c>
      <c r="H22" s="102" t="s">
        <v>2032</v>
      </c>
      <c r="I22" s="102" t="s">
        <v>21</v>
      </c>
      <c r="J22" s="103">
        <v>480</v>
      </c>
      <c r="K22" s="104">
        <v>18300</v>
      </c>
      <c r="L22" s="112">
        <v>8784000</v>
      </c>
      <c r="M22" s="115">
        <v>100</v>
      </c>
      <c r="N22" s="115">
        <f t="shared" si="0"/>
        <v>8784000</v>
      </c>
      <c r="O22" s="57">
        <f t="shared" si="1"/>
        <v>0</v>
      </c>
    </row>
    <row r="23" spans="1:15">
      <c r="A23" s="19">
        <v>2025</v>
      </c>
      <c r="B23" s="111">
        <v>6</v>
      </c>
      <c r="C23" s="20">
        <v>45827</v>
      </c>
      <c r="D23" s="99" t="s">
        <v>2037</v>
      </c>
      <c r="E23" s="102" t="s">
        <v>16</v>
      </c>
      <c r="F23" s="102" t="s">
        <v>1986</v>
      </c>
      <c r="G23" s="99" t="s">
        <v>2003</v>
      </c>
      <c r="H23" s="102" t="s">
        <v>16</v>
      </c>
      <c r="I23" s="102" t="s">
        <v>21</v>
      </c>
      <c r="J23" s="103">
        <v>100</v>
      </c>
      <c r="K23" s="104">
        <v>18300</v>
      </c>
      <c r="L23" s="112">
        <v>1830000</v>
      </c>
      <c r="M23" s="115">
        <v>100</v>
      </c>
      <c r="N23" s="115">
        <f t="shared" si="0"/>
        <v>1830000</v>
      </c>
      <c r="O23" s="57">
        <f t="shared" si="1"/>
        <v>0</v>
      </c>
    </row>
    <row r="24" spans="1:15">
      <c r="A24" s="19">
        <v>2025</v>
      </c>
      <c r="B24" s="111">
        <v>6</v>
      </c>
      <c r="C24" s="20">
        <v>45828</v>
      </c>
      <c r="D24" s="99" t="s">
        <v>2038</v>
      </c>
      <c r="E24" s="102" t="s">
        <v>2029</v>
      </c>
      <c r="F24" s="102" t="s">
        <v>301</v>
      </c>
      <c r="G24" s="99" t="s">
        <v>2003</v>
      </c>
      <c r="H24" s="102" t="s">
        <v>2030</v>
      </c>
      <c r="I24" s="102" t="s">
        <v>21</v>
      </c>
      <c r="J24" s="104">
        <v>1000</v>
      </c>
      <c r="K24" s="104">
        <v>18300</v>
      </c>
      <c r="L24" s="112">
        <v>18300000</v>
      </c>
      <c r="M24" s="115">
        <v>100</v>
      </c>
      <c r="N24" s="115">
        <f t="shared" si="0"/>
        <v>18300000</v>
      </c>
      <c r="O24" s="57">
        <f t="shared" si="1"/>
        <v>0</v>
      </c>
    </row>
    <row r="25" spans="1:15">
      <c r="A25" s="19">
        <v>2025</v>
      </c>
      <c r="B25" s="111">
        <v>7</v>
      </c>
      <c r="C25" s="20">
        <v>45845</v>
      </c>
      <c r="D25" s="99" t="s">
        <v>2039</v>
      </c>
      <c r="E25" s="102" t="s">
        <v>1806</v>
      </c>
      <c r="F25" s="102" t="s">
        <v>2014</v>
      </c>
      <c r="G25" s="99" t="s">
        <v>2003</v>
      </c>
      <c r="H25" s="102" t="s">
        <v>2015</v>
      </c>
      <c r="I25" s="102" t="s">
        <v>21</v>
      </c>
      <c r="J25" s="103">
        <v>480</v>
      </c>
      <c r="K25" s="104">
        <v>18300</v>
      </c>
      <c r="L25" s="112">
        <v>8784000</v>
      </c>
      <c r="M25" s="115">
        <v>100</v>
      </c>
      <c r="N25" s="115">
        <f t="shared" si="0"/>
        <v>8784000</v>
      </c>
      <c r="O25" s="57">
        <f t="shared" si="1"/>
        <v>0</v>
      </c>
    </row>
    <row r="26" spans="1:15">
      <c r="A26" s="19">
        <v>2025</v>
      </c>
      <c r="B26" s="111">
        <v>7</v>
      </c>
      <c r="C26" s="20">
        <v>45845</v>
      </c>
      <c r="D26" s="99" t="s">
        <v>2040</v>
      </c>
      <c r="E26" s="102" t="s">
        <v>2005</v>
      </c>
      <c r="F26" s="102" t="s">
        <v>1141</v>
      </c>
      <c r="G26" s="99" t="s">
        <v>2003</v>
      </c>
      <c r="H26" s="102" t="s">
        <v>2006</v>
      </c>
      <c r="I26" s="102" t="s">
        <v>21</v>
      </c>
      <c r="J26" s="104">
        <v>1200</v>
      </c>
      <c r="K26" s="104">
        <v>16300</v>
      </c>
      <c r="L26" s="112">
        <v>19560000</v>
      </c>
      <c r="M26" s="115">
        <v>100</v>
      </c>
      <c r="N26" s="115">
        <f t="shared" si="0"/>
        <v>19560000</v>
      </c>
      <c r="O26" s="57">
        <f t="shared" si="1"/>
        <v>0</v>
      </c>
    </row>
    <row r="27" spans="1:15">
      <c r="A27" s="19">
        <v>2025</v>
      </c>
      <c r="B27" s="111">
        <v>7</v>
      </c>
      <c r="C27" s="20">
        <v>45846</v>
      </c>
      <c r="D27" s="99" t="s">
        <v>2041</v>
      </c>
      <c r="E27" s="102" t="s">
        <v>2024</v>
      </c>
      <c r="F27" s="102" t="s">
        <v>2024</v>
      </c>
      <c r="G27" s="99" t="s">
        <v>2003</v>
      </c>
      <c r="H27" s="102" t="s">
        <v>2024</v>
      </c>
      <c r="I27" s="102" t="s">
        <v>21</v>
      </c>
      <c r="J27" s="104">
        <v>1500</v>
      </c>
      <c r="K27" s="104">
        <v>16300</v>
      </c>
      <c r="L27" s="112">
        <v>24450000</v>
      </c>
      <c r="M27" s="115">
        <v>100</v>
      </c>
      <c r="N27" s="115">
        <f t="shared" si="0"/>
        <v>24450000</v>
      </c>
      <c r="O27" s="57">
        <f t="shared" si="1"/>
        <v>0</v>
      </c>
    </row>
    <row r="28" spans="1:15">
      <c r="A28" s="19">
        <v>2025</v>
      </c>
      <c r="B28" s="111">
        <v>7</v>
      </c>
      <c r="C28" s="20">
        <v>45848</v>
      </c>
      <c r="D28" s="99" t="s">
        <v>2042</v>
      </c>
      <c r="E28" s="102" t="s">
        <v>2018</v>
      </c>
      <c r="F28" s="102" t="s">
        <v>253</v>
      </c>
      <c r="G28" s="99" t="s">
        <v>2003</v>
      </c>
      <c r="H28" s="102" t="s">
        <v>2018</v>
      </c>
      <c r="I28" s="102" t="s">
        <v>21</v>
      </c>
      <c r="J28" s="103">
        <v>500</v>
      </c>
      <c r="K28" s="104">
        <v>19000</v>
      </c>
      <c r="L28" s="112">
        <v>9500000</v>
      </c>
      <c r="M28" s="115">
        <v>100</v>
      </c>
      <c r="N28" s="115">
        <f t="shared" si="0"/>
        <v>9500000</v>
      </c>
      <c r="O28" s="57">
        <f t="shared" si="1"/>
        <v>0</v>
      </c>
    </row>
    <row r="29" spans="1:15">
      <c r="A29" s="19">
        <v>2025</v>
      </c>
      <c r="B29" s="111">
        <v>7</v>
      </c>
      <c r="C29" s="20">
        <v>45849</v>
      </c>
      <c r="D29" s="99" t="s">
        <v>2043</v>
      </c>
      <c r="E29" s="102" t="s">
        <v>16</v>
      </c>
      <c r="F29" s="102" t="s">
        <v>1986</v>
      </c>
      <c r="G29" s="99" t="s">
        <v>2003</v>
      </c>
      <c r="H29" s="102" t="s">
        <v>16</v>
      </c>
      <c r="I29" s="102" t="s">
        <v>21</v>
      </c>
      <c r="J29" s="103">
        <v>300</v>
      </c>
      <c r="K29" s="104">
        <v>18300</v>
      </c>
      <c r="L29" s="112">
        <v>5490000</v>
      </c>
      <c r="M29" s="115">
        <v>100</v>
      </c>
      <c r="N29" s="115">
        <f t="shared" si="0"/>
        <v>5490000</v>
      </c>
      <c r="O29" s="57">
        <f t="shared" si="1"/>
        <v>0</v>
      </c>
    </row>
    <row r="30" spans="1:15">
      <c r="A30" s="19">
        <v>2025</v>
      </c>
      <c r="B30" s="111">
        <v>7</v>
      </c>
      <c r="C30" s="20">
        <v>45849</v>
      </c>
      <c r="D30" s="99" t="s">
        <v>2044</v>
      </c>
      <c r="E30" s="102" t="s">
        <v>16</v>
      </c>
      <c r="F30" s="102" t="s">
        <v>1986</v>
      </c>
      <c r="G30" s="99" t="s">
        <v>2003</v>
      </c>
      <c r="H30" s="102" t="s">
        <v>16</v>
      </c>
      <c r="I30" s="102" t="s">
        <v>21</v>
      </c>
      <c r="J30" s="103">
        <v>200</v>
      </c>
      <c r="K30" s="104">
        <v>18300</v>
      </c>
      <c r="L30" s="112">
        <v>3660000</v>
      </c>
      <c r="M30" s="115">
        <v>100</v>
      </c>
      <c r="N30" s="115">
        <f t="shared" si="0"/>
        <v>3660000</v>
      </c>
      <c r="O30" s="57">
        <f t="shared" si="1"/>
        <v>0</v>
      </c>
    </row>
    <row r="31" spans="1:15">
      <c r="A31" s="19">
        <v>2025</v>
      </c>
      <c r="B31" s="111">
        <v>7</v>
      </c>
      <c r="C31" s="20">
        <v>45852</v>
      </c>
      <c r="D31" s="99" t="s">
        <v>2045</v>
      </c>
      <c r="E31" s="102" t="s">
        <v>2029</v>
      </c>
      <c r="F31" s="102" t="s">
        <v>301</v>
      </c>
      <c r="G31" s="99" t="s">
        <v>2003</v>
      </c>
      <c r="H31" s="102" t="s">
        <v>2030</v>
      </c>
      <c r="I31" s="102" t="s">
        <v>21</v>
      </c>
      <c r="J31" s="104">
        <v>1000</v>
      </c>
      <c r="K31" s="104">
        <v>18300</v>
      </c>
      <c r="L31" s="112">
        <v>18300000</v>
      </c>
      <c r="M31" s="115">
        <v>100</v>
      </c>
      <c r="N31" s="115">
        <f t="shared" si="0"/>
        <v>18300000</v>
      </c>
      <c r="O31" s="57">
        <f t="shared" si="1"/>
        <v>0</v>
      </c>
    </row>
    <row r="32" spans="1:15">
      <c r="A32" s="19">
        <v>2025</v>
      </c>
      <c r="B32" s="111">
        <v>7</v>
      </c>
      <c r="C32" s="20">
        <v>45853</v>
      </c>
      <c r="D32" s="99" t="s">
        <v>2046</v>
      </c>
      <c r="E32" s="102" t="s">
        <v>2005</v>
      </c>
      <c r="F32" s="102" t="s">
        <v>1141</v>
      </c>
      <c r="G32" s="99" t="s">
        <v>2003</v>
      </c>
      <c r="H32" s="102" t="s">
        <v>2006</v>
      </c>
      <c r="I32" s="102" t="s">
        <v>21</v>
      </c>
      <c r="J32" s="104">
        <v>2400</v>
      </c>
      <c r="K32" s="104">
        <v>16300</v>
      </c>
      <c r="L32" s="112">
        <v>39120000</v>
      </c>
      <c r="M32" s="115">
        <v>100</v>
      </c>
      <c r="N32" s="115">
        <f t="shared" si="0"/>
        <v>39120000</v>
      </c>
      <c r="O32" s="57">
        <f t="shared" si="1"/>
        <v>0</v>
      </c>
    </row>
    <row r="33" spans="1:15">
      <c r="A33" s="19">
        <v>2025</v>
      </c>
      <c r="B33" s="111">
        <v>7</v>
      </c>
      <c r="C33" s="20">
        <v>45854</v>
      </c>
      <c r="D33" s="99" t="s">
        <v>2047</v>
      </c>
      <c r="E33" s="102" t="s">
        <v>1806</v>
      </c>
      <c r="F33" s="102" t="s">
        <v>259</v>
      </c>
      <c r="G33" s="99" t="s">
        <v>2003</v>
      </c>
      <c r="H33" s="102" t="s">
        <v>1806</v>
      </c>
      <c r="I33" s="102" t="s">
        <v>21</v>
      </c>
      <c r="J33" s="104">
        <v>2000</v>
      </c>
      <c r="K33" s="104">
        <v>18300</v>
      </c>
      <c r="L33" s="112">
        <v>36600000</v>
      </c>
      <c r="M33" s="115">
        <v>100</v>
      </c>
      <c r="N33" s="115">
        <f t="shared" si="0"/>
        <v>36600000</v>
      </c>
      <c r="O33" s="57">
        <f t="shared" si="1"/>
        <v>0</v>
      </c>
    </row>
    <row r="34" spans="1:15">
      <c r="A34" s="19">
        <v>2025</v>
      </c>
      <c r="B34" s="111">
        <v>7</v>
      </c>
      <c r="C34" s="20">
        <v>45855</v>
      </c>
      <c r="D34" s="99" t="s">
        <v>2048</v>
      </c>
      <c r="E34" s="102" t="s">
        <v>1806</v>
      </c>
      <c r="F34" s="102" t="s">
        <v>2009</v>
      </c>
      <c r="G34" s="99" t="s">
        <v>2003</v>
      </c>
      <c r="H34" s="102" t="s">
        <v>2009</v>
      </c>
      <c r="I34" s="102" t="s">
        <v>21</v>
      </c>
      <c r="J34" s="103">
        <v>480</v>
      </c>
      <c r="K34" s="104">
        <v>18300</v>
      </c>
      <c r="L34" s="112">
        <v>8784000</v>
      </c>
      <c r="M34" s="115">
        <v>100</v>
      </c>
      <c r="N34" s="115">
        <f t="shared" si="0"/>
        <v>8784000</v>
      </c>
      <c r="O34" s="57">
        <f t="shared" si="1"/>
        <v>0</v>
      </c>
    </row>
    <row r="35" spans="1:15">
      <c r="A35" s="19">
        <v>2025</v>
      </c>
      <c r="B35" s="111">
        <v>8</v>
      </c>
      <c r="C35" s="20">
        <v>45875</v>
      </c>
      <c r="D35" s="99" t="s">
        <v>2049</v>
      </c>
      <c r="E35" s="102" t="s">
        <v>1806</v>
      </c>
      <c r="F35" s="102" t="s">
        <v>2032</v>
      </c>
      <c r="G35" s="99" t="s">
        <v>2003</v>
      </c>
      <c r="H35" s="102" t="s">
        <v>2032</v>
      </c>
      <c r="I35" s="102" t="s">
        <v>21</v>
      </c>
      <c r="J35" s="103">
        <v>480</v>
      </c>
      <c r="K35" s="104">
        <v>18300</v>
      </c>
      <c r="L35" s="112">
        <v>8784000</v>
      </c>
      <c r="M35" s="115">
        <v>100</v>
      </c>
      <c r="N35" s="115">
        <f t="shared" si="0"/>
        <v>8784000</v>
      </c>
      <c r="O35" s="57">
        <f t="shared" si="1"/>
        <v>0</v>
      </c>
    </row>
    <row r="36" spans="1:15">
      <c r="A36" s="19">
        <v>2025</v>
      </c>
      <c r="B36" s="111">
        <v>8</v>
      </c>
      <c r="C36" s="20">
        <v>45877</v>
      </c>
      <c r="D36" s="99" t="s">
        <v>2050</v>
      </c>
      <c r="E36" s="102" t="s">
        <v>2029</v>
      </c>
      <c r="F36" s="102" t="s">
        <v>301</v>
      </c>
      <c r="G36" s="99" t="s">
        <v>2003</v>
      </c>
      <c r="H36" s="102" t="s">
        <v>2030</v>
      </c>
      <c r="I36" s="102" t="s">
        <v>21</v>
      </c>
      <c r="J36" s="104">
        <v>1000</v>
      </c>
      <c r="K36" s="104">
        <v>18300</v>
      </c>
      <c r="L36" s="112">
        <v>18300000</v>
      </c>
      <c r="M36" s="115">
        <v>100</v>
      </c>
      <c r="N36" s="115">
        <f t="shared" si="0"/>
        <v>18300000</v>
      </c>
      <c r="O36" s="57">
        <f t="shared" si="1"/>
        <v>0</v>
      </c>
    </row>
    <row r="37" spans="1:15">
      <c r="A37" s="19">
        <v>2025</v>
      </c>
      <c r="B37" s="111">
        <v>8</v>
      </c>
      <c r="C37" s="20">
        <v>45884</v>
      </c>
      <c r="D37" s="99" t="s">
        <v>2051</v>
      </c>
      <c r="E37" s="102" t="s">
        <v>2005</v>
      </c>
      <c r="F37" s="102" t="s">
        <v>2026</v>
      </c>
      <c r="G37" s="99" t="s">
        <v>2003</v>
      </c>
      <c r="H37" s="102" t="s">
        <v>2006</v>
      </c>
      <c r="I37" s="102" t="s">
        <v>21</v>
      </c>
      <c r="J37" s="103">
        <v>720</v>
      </c>
      <c r="K37" s="104">
        <v>16300</v>
      </c>
      <c r="L37" s="112">
        <v>11736000</v>
      </c>
      <c r="M37" s="115">
        <v>100</v>
      </c>
      <c r="N37" s="115">
        <f t="shared" si="0"/>
        <v>11736000</v>
      </c>
      <c r="O37" s="57">
        <f t="shared" si="1"/>
        <v>0</v>
      </c>
    </row>
    <row r="38" spans="1:15">
      <c r="A38" s="19">
        <v>2025</v>
      </c>
      <c r="B38" s="111">
        <v>8</v>
      </c>
      <c r="C38" s="20">
        <v>45888</v>
      </c>
      <c r="D38" s="99" t="s">
        <v>2052</v>
      </c>
      <c r="E38" s="102" t="s">
        <v>16</v>
      </c>
      <c r="F38" s="102" t="s">
        <v>2053</v>
      </c>
      <c r="G38" s="99" t="s">
        <v>2003</v>
      </c>
      <c r="H38" s="102" t="s">
        <v>16</v>
      </c>
      <c r="I38" s="102" t="s">
        <v>21</v>
      </c>
      <c r="J38" s="103">
        <v>100</v>
      </c>
      <c r="K38" s="104">
        <v>18300</v>
      </c>
      <c r="L38" s="112">
        <v>1830000</v>
      </c>
      <c r="M38" s="115">
        <v>100</v>
      </c>
      <c r="N38" s="115">
        <f t="shared" si="0"/>
        <v>1830000</v>
      </c>
      <c r="O38" s="57">
        <f t="shared" si="1"/>
        <v>0</v>
      </c>
    </row>
    <row r="39" spans="1:15">
      <c r="A39" s="19">
        <v>2025</v>
      </c>
      <c r="B39" s="111">
        <v>8</v>
      </c>
      <c r="C39" s="20">
        <v>45889</v>
      </c>
      <c r="D39" s="99" t="s">
        <v>2054</v>
      </c>
      <c r="E39" s="102" t="s">
        <v>2055</v>
      </c>
      <c r="F39" s="102" t="s">
        <v>355</v>
      </c>
      <c r="G39" s="99" t="s">
        <v>2003</v>
      </c>
      <c r="H39" s="102" t="s">
        <v>2055</v>
      </c>
      <c r="I39" s="102" t="s">
        <v>21</v>
      </c>
      <c r="J39" s="104">
        <v>1000</v>
      </c>
      <c r="K39" s="104">
        <v>18300</v>
      </c>
      <c r="L39" s="112">
        <v>18300000</v>
      </c>
      <c r="M39" s="115">
        <v>100</v>
      </c>
      <c r="N39" s="115">
        <f t="shared" si="0"/>
        <v>18300000</v>
      </c>
      <c r="O39" s="57">
        <f t="shared" si="1"/>
        <v>0</v>
      </c>
    </row>
    <row r="40" spans="1:15">
      <c r="A40" s="19">
        <v>2025</v>
      </c>
      <c r="B40" s="111">
        <v>8</v>
      </c>
      <c r="C40" s="20">
        <v>45889</v>
      </c>
      <c r="D40" s="99" t="s">
        <v>2056</v>
      </c>
      <c r="E40" s="102" t="s">
        <v>16</v>
      </c>
      <c r="F40" s="102" t="s">
        <v>2053</v>
      </c>
      <c r="G40" s="99" t="s">
        <v>2003</v>
      </c>
      <c r="H40" s="102" t="s">
        <v>16</v>
      </c>
      <c r="I40" s="102" t="s">
        <v>21</v>
      </c>
      <c r="J40" s="103">
        <v>100</v>
      </c>
      <c r="K40" s="104">
        <v>18300</v>
      </c>
      <c r="L40" s="112">
        <v>1830000</v>
      </c>
      <c r="M40" s="115">
        <v>100</v>
      </c>
      <c r="N40" s="115">
        <f t="shared" si="0"/>
        <v>1830000</v>
      </c>
      <c r="O40" s="57">
        <f t="shared" si="1"/>
        <v>0</v>
      </c>
    </row>
    <row r="41" spans="1:15">
      <c r="A41" s="19">
        <v>2025</v>
      </c>
      <c r="B41" s="111">
        <v>8</v>
      </c>
      <c r="C41" s="20">
        <v>45891</v>
      </c>
      <c r="D41" s="99" t="s">
        <v>2057</v>
      </c>
      <c r="E41" s="102" t="s">
        <v>1806</v>
      </c>
      <c r="F41" s="102" t="s">
        <v>2032</v>
      </c>
      <c r="G41" s="99" t="s">
        <v>2003</v>
      </c>
      <c r="H41" s="102" t="s">
        <v>2032</v>
      </c>
      <c r="I41" s="102" t="s">
        <v>21</v>
      </c>
      <c r="J41" s="103">
        <v>480</v>
      </c>
      <c r="K41" s="104">
        <v>18300</v>
      </c>
      <c r="L41" s="112">
        <v>8784000</v>
      </c>
      <c r="M41" s="115">
        <v>100</v>
      </c>
      <c r="N41" s="115">
        <f t="shared" si="0"/>
        <v>8784000</v>
      </c>
      <c r="O41" s="57">
        <f t="shared" si="1"/>
        <v>0</v>
      </c>
    </row>
    <row r="42" spans="1:15">
      <c r="A42" s="19">
        <v>2025</v>
      </c>
      <c r="B42" s="111">
        <v>8</v>
      </c>
      <c r="C42" s="20">
        <v>45894</v>
      </c>
      <c r="D42" s="99" t="s">
        <v>2058</v>
      </c>
      <c r="E42" s="102" t="s">
        <v>2005</v>
      </c>
      <c r="F42" s="102" t="s">
        <v>2026</v>
      </c>
      <c r="G42" s="99" t="s">
        <v>2003</v>
      </c>
      <c r="H42" s="102" t="s">
        <v>2006</v>
      </c>
      <c r="I42" s="102" t="s">
        <v>21</v>
      </c>
      <c r="J42" s="104">
        <v>1200</v>
      </c>
      <c r="K42" s="104">
        <v>16300</v>
      </c>
      <c r="L42" s="112">
        <v>19560000</v>
      </c>
      <c r="M42" s="115">
        <v>100</v>
      </c>
      <c r="N42" s="115">
        <f t="shared" si="0"/>
        <v>19560000</v>
      </c>
      <c r="O42" s="57">
        <f t="shared" si="1"/>
        <v>0</v>
      </c>
    </row>
    <row r="43" spans="1:15">
      <c r="A43" s="19">
        <v>2025</v>
      </c>
      <c r="B43" s="111">
        <v>8</v>
      </c>
      <c r="C43" s="20">
        <v>45894</v>
      </c>
      <c r="D43" s="99" t="s">
        <v>2059</v>
      </c>
      <c r="E43" s="102" t="s">
        <v>16</v>
      </c>
      <c r="F43" s="102" t="s">
        <v>2053</v>
      </c>
      <c r="G43" s="99" t="s">
        <v>2003</v>
      </c>
      <c r="H43" s="102" t="s">
        <v>16</v>
      </c>
      <c r="I43" s="102" t="s">
        <v>21</v>
      </c>
      <c r="J43" s="103">
        <v>120</v>
      </c>
      <c r="K43" s="104">
        <v>18300</v>
      </c>
      <c r="L43" s="112">
        <v>2196000</v>
      </c>
      <c r="M43" s="115">
        <v>100</v>
      </c>
      <c r="N43" s="115">
        <f t="shared" si="0"/>
        <v>2196000</v>
      </c>
      <c r="O43" s="57">
        <f t="shared" si="1"/>
        <v>0</v>
      </c>
    </row>
    <row r="44" spans="1:15">
      <c r="A44" s="19">
        <v>2025</v>
      </c>
      <c r="B44" s="111">
        <v>9</v>
      </c>
      <c r="C44" s="20">
        <v>45904</v>
      </c>
      <c r="D44" s="99" t="s">
        <v>2060</v>
      </c>
      <c r="E44" s="102" t="s">
        <v>16</v>
      </c>
      <c r="F44" s="102" t="s">
        <v>2053</v>
      </c>
      <c r="G44" s="99" t="s">
        <v>2003</v>
      </c>
      <c r="H44" s="102" t="s">
        <v>16</v>
      </c>
      <c r="I44" s="102" t="s">
        <v>21</v>
      </c>
      <c r="J44" s="103">
        <v>120</v>
      </c>
      <c r="K44" s="104">
        <v>18300</v>
      </c>
      <c r="L44" s="112">
        <v>2196000</v>
      </c>
      <c r="M44" s="115">
        <v>100</v>
      </c>
      <c r="N44" s="115">
        <f t="shared" si="0"/>
        <v>2196000</v>
      </c>
      <c r="O44" s="57">
        <f t="shared" si="1"/>
        <v>0</v>
      </c>
    </row>
    <row r="45" spans="1:15">
      <c r="A45" s="19">
        <v>2025</v>
      </c>
      <c r="B45" s="111">
        <v>9</v>
      </c>
      <c r="C45" s="20">
        <v>45908</v>
      </c>
      <c r="D45" s="99" t="s">
        <v>2061</v>
      </c>
      <c r="E45" s="102" t="s">
        <v>2062</v>
      </c>
      <c r="F45" s="102" t="s">
        <v>305</v>
      </c>
      <c r="G45" s="99" t="s">
        <v>2003</v>
      </c>
      <c r="H45" s="102" t="s">
        <v>2062</v>
      </c>
      <c r="I45" s="102" t="s">
        <v>21</v>
      </c>
      <c r="J45" s="103">
        <v>240</v>
      </c>
      <c r="K45" s="104">
        <v>18300</v>
      </c>
      <c r="L45" s="112">
        <v>4392000</v>
      </c>
      <c r="M45" s="115">
        <v>100</v>
      </c>
      <c r="N45" s="115">
        <f t="shared" si="0"/>
        <v>4392000</v>
      </c>
      <c r="O45" s="57">
        <f t="shared" si="1"/>
        <v>0</v>
      </c>
    </row>
    <row r="46" spans="1:15">
      <c r="A46" s="19">
        <v>2025</v>
      </c>
      <c r="B46" s="111">
        <v>9</v>
      </c>
      <c r="C46" s="20">
        <v>45909</v>
      </c>
      <c r="D46" s="99" t="s">
        <v>2063</v>
      </c>
      <c r="E46" s="102" t="s">
        <v>2064</v>
      </c>
      <c r="F46" s="102" t="s">
        <v>2002</v>
      </c>
      <c r="G46" s="99" t="s">
        <v>2003</v>
      </c>
      <c r="H46" s="102" t="s">
        <v>1797</v>
      </c>
      <c r="I46" s="102" t="s">
        <v>21</v>
      </c>
      <c r="J46" s="104">
        <v>1440</v>
      </c>
      <c r="K46" s="104">
        <v>16300</v>
      </c>
      <c r="L46" s="112">
        <v>23472000</v>
      </c>
      <c r="M46" s="115">
        <v>100</v>
      </c>
      <c r="N46" s="115">
        <f t="shared" si="0"/>
        <v>23472000</v>
      </c>
      <c r="O46" s="57">
        <f t="shared" si="1"/>
        <v>0</v>
      </c>
    </row>
    <row r="47" spans="1:15">
      <c r="A47" s="19">
        <v>2025</v>
      </c>
      <c r="B47" s="111">
        <v>9</v>
      </c>
      <c r="C47" s="20">
        <v>45916</v>
      </c>
      <c r="D47" s="99" t="s">
        <v>2065</v>
      </c>
      <c r="E47" s="102" t="s">
        <v>2005</v>
      </c>
      <c r="F47" s="102" t="s">
        <v>1141</v>
      </c>
      <c r="G47" s="99" t="s">
        <v>2003</v>
      </c>
      <c r="H47" s="102" t="s">
        <v>2006</v>
      </c>
      <c r="I47" s="102" t="s">
        <v>21</v>
      </c>
      <c r="J47" s="104">
        <v>1200</v>
      </c>
      <c r="K47" s="104">
        <v>16300</v>
      </c>
      <c r="L47" s="112">
        <v>19560000</v>
      </c>
      <c r="M47" s="115">
        <v>100</v>
      </c>
      <c r="N47" s="115">
        <f t="shared" si="0"/>
        <v>19560000</v>
      </c>
      <c r="O47" s="57">
        <f t="shared" si="1"/>
        <v>0</v>
      </c>
    </row>
    <row r="48" spans="1:15">
      <c r="A48" s="19">
        <v>2025</v>
      </c>
      <c r="B48" s="111">
        <v>9</v>
      </c>
      <c r="C48" s="20">
        <v>45916</v>
      </c>
      <c r="D48" s="99" t="s">
        <v>2066</v>
      </c>
      <c r="E48" s="102" t="s">
        <v>2029</v>
      </c>
      <c r="F48" s="102" t="s">
        <v>301</v>
      </c>
      <c r="G48" s="99" t="s">
        <v>2003</v>
      </c>
      <c r="H48" s="102" t="s">
        <v>2030</v>
      </c>
      <c r="I48" s="102" t="s">
        <v>21</v>
      </c>
      <c r="J48" s="104">
        <v>1200</v>
      </c>
      <c r="K48" s="104">
        <v>18300</v>
      </c>
      <c r="L48" s="112">
        <v>21960000</v>
      </c>
      <c r="M48" s="115">
        <v>100</v>
      </c>
      <c r="N48" s="115">
        <f t="shared" si="0"/>
        <v>21960000</v>
      </c>
      <c r="O48" s="57">
        <f t="shared" si="1"/>
        <v>0</v>
      </c>
    </row>
    <row r="49" spans="1:15">
      <c r="A49" s="19">
        <v>2025</v>
      </c>
      <c r="B49" s="111">
        <v>9</v>
      </c>
      <c r="C49" s="20">
        <v>45922</v>
      </c>
      <c r="D49" s="99" t="s">
        <v>2067</v>
      </c>
      <c r="E49" s="102" t="s">
        <v>1806</v>
      </c>
      <c r="F49" s="102" t="s">
        <v>2014</v>
      </c>
      <c r="G49" s="99" t="s">
        <v>2003</v>
      </c>
      <c r="H49" s="102" t="s">
        <v>2032</v>
      </c>
      <c r="I49" s="102" t="s">
        <v>21</v>
      </c>
      <c r="J49" s="103">
        <v>480</v>
      </c>
      <c r="K49" s="104">
        <v>18300</v>
      </c>
      <c r="L49" s="112">
        <v>8784000</v>
      </c>
      <c r="M49" s="115">
        <v>100</v>
      </c>
      <c r="N49" s="115">
        <f t="shared" si="0"/>
        <v>8784000</v>
      </c>
      <c r="O49" s="57">
        <f t="shared" si="1"/>
        <v>0</v>
      </c>
    </row>
    <row r="50" spans="1:15">
      <c r="A50" s="19">
        <v>2025</v>
      </c>
      <c r="B50" s="111">
        <v>9</v>
      </c>
      <c r="C50" s="20">
        <v>45929</v>
      </c>
      <c r="D50" s="99" t="s">
        <v>2068</v>
      </c>
      <c r="E50" s="102" t="s">
        <v>2005</v>
      </c>
      <c r="F50" s="102" t="s">
        <v>1141</v>
      </c>
      <c r="G50" s="99" t="s">
        <v>2003</v>
      </c>
      <c r="H50" s="102" t="s">
        <v>2006</v>
      </c>
      <c r="I50" s="102" t="s">
        <v>21</v>
      </c>
      <c r="J50" s="103">
        <v>480</v>
      </c>
      <c r="K50" s="104">
        <v>16300</v>
      </c>
      <c r="L50" s="112">
        <v>7824000</v>
      </c>
      <c r="M50" s="115">
        <v>100</v>
      </c>
      <c r="N50" s="115">
        <f t="shared" si="0"/>
        <v>7824000</v>
      </c>
      <c r="O50" s="57">
        <f t="shared" si="1"/>
        <v>0</v>
      </c>
    </row>
    <row r="51" spans="1:15">
      <c r="A51" s="19">
        <v>2025</v>
      </c>
      <c r="B51" s="111">
        <v>9</v>
      </c>
      <c r="C51" s="20">
        <v>45929</v>
      </c>
      <c r="D51" s="99" t="s">
        <v>2069</v>
      </c>
      <c r="E51" s="102" t="s">
        <v>16</v>
      </c>
      <c r="F51" s="102" t="s">
        <v>1986</v>
      </c>
      <c r="G51" s="99" t="s">
        <v>2003</v>
      </c>
      <c r="H51" s="102" t="s">
        <v>16</v>
      </c>
      <c r="I51" s="102" t="s">
        <v>21</v>
      </c>
      <c r="J51" s="103">
        <v>300</v>
      </c>
      <c r="K51" s="104">
        <v>18300</v>
      </c>
      <c r="L51" s="112">
        <v>5490000</v>
      </c>
      <c r="M51" s="115">
        <v>100</v>
      </c>
      <c r="N51" s="115">
        <f t="shared" si="0"/>
        <v>5490000</v>
      </c>
      <c r="O51" s="57">
        <f t="shared" si="1"/>
        <v>0</v>
      </c>
    </row>
    <row r="52" spans="1:15">
      <c r="A52" s="19">
        <v>2025</v>
      </c>
      <c r="B52" s="111">
        <v>10</v>
      </c>
      <c r="C52" s="20">
        <v>45933</v>
      </c>
      <c r="D52" s="99" t="s">
        <v>2070</v>
      </c>
      <c r="E52" s="102" t="s">
        <v>1806</v>
      </c>
      <c r="F52" s="102" t="s">
        <v>2014</v>
      </c>
      <c r="G52" s="99" t="s">
        <v>2003</v>
      </c>
      <c r="H52" s="102" t="s">
        <v>2032</v>
      </c>
      <c r="I52" s="102" t="s">
        <v>21</v>
      </c>
      <c r="J52" s="103">
        <v>480</v>
      </c>
      <c r="K52" s="104">
        <v>18300</v>
      </c>
      <c r="L52" s="112">
        <v>8784000</v>
      </c>
      <c r="M52" s="115">
        <v>100</v>
      </c>
      <c r="N52" s="115">
        <f t="shared" si="0"/>
        <v>8784000</v>
      </c>
      <c r="O52" s="57">
        <f t="shared" si="1"/>
        <v>0</v>
      </c>
    </row>
    <row r="53" spans="1:15">
      <c r="A53" s="19">
        <v>2025</v>
      </c>
      <c r="B53" s="111">
        <v>10</v>
      </c>
      <c r="C53" s="20">
        <v>45938</v>
      </c>
      <c r="D53" s="99" t="s">
        <v>2071</v>
      </c>
      <c r="E53" s="102" t="s">
        <v>2072</v>
      </c>
      <c r="F53" s="102" t="s">
        <v>464</v>
      </c>
      <c r="G53" s="99" t="s">
        <v>2003</v>
      </c>
      <c r="H53" s="102" t="s">
        <v>2073</v>
      </c>
      <c r="I53" s="102" t="s">
        <v>466</v>
      </c>
      <c r="J53" s="103">
        <v>500</v>
      </c>
      <c r="K53" s="104">
        <v>55000</v>
      </c>
      <c r="L53" s="104">
        <v>27500000</v>
      </c>
      <c r="M53" s="115">
        <v>100</v>
      </c>
      <c r="N53" s="115">
        <f t="shared" si="0"/>
        <v>27500000</v>
      </c>
      <c r="O53" s="57">
        <f t="shared" si="1"/>
        <v>0</v>
      </c>
    </row>
    <row r="54" spans="1:15">
      <c r="A54" s="19">
        <v>2025</v>
      </c>
      <c r="B54" s="111">
        <v>10</v>
      </c>
      <c r="C54" s="20">
        <v>45940</v>
      </c>
      <c r="D54" s="99" t="s">
        <v>2074</v>
      </c>
      <c r="E54" s="102" t="s">
        <v>2005</v>
      </c>
      <c r="F54" s="102" t="s">
        <v>1141</v>
      </c>
      <c r="G54" s="99" t="s">
        <v>2003</v>
      </c>
      <c r="H54" s="102" t="s">
        <v>2006</v>
      </c>
      <c r="I54" s="102" t="s">
        <v>21</v>
      </c>
      <c r="J54" s="103">
        <v>480</v>
      </c>
      <c r="K54" s="104">
        <v>16300</v>
      </c>
      <c r="L54" s="112">
        <v>7824000</v>
      </c>
      <c r="M54" s="115">
        <v>100</v>
      </c>
      <c r="N54" s="115">
        <f t="shared" si="0"/>
        <v>7824000</v>
      </c>
      <c r="O54" s="57">
        <f t="shared" si="1"/>
        <v>0</v>
      </c>
    </row>
    <row r="55" spans="1:15">
      <c r="A55" s="19">
        <v>2025</v>
      </c>
      <c r="B55" s="111">
        <v>10</v>
      </c>
      <c r="C55" s="20">
        <v>45947</v>
      </c>
      <c r="D55" s="99" t="s">
        <v>2075</v>
      </c>
      <c r="E55" s="102" t="s">
        <v>2076</v>
      </c>
      <c r="F55" s="102" t="s">
        <v>611</v>
      </c>
      <c r="G55" s="99" t="s">
        <v>2003</v>
      </c>
      <c r="H55" s="102" t="s">
        <v>2076</v>
      </c>
      <c r="I55" s="102" t="s">
        <v>21</v>
      </c>
      <c r="J55" s="103">
        <v>400</v>
      </c>
      <c r="K55" s="104">
        <v>18300</v>
      </c>
      <c r="L55" s="112">
        <v>7320000</v>
      </c>
      <c r="M55" s="115">
        <v>100</v>
      </c>
      <c r="N55" s="115">
        <f t="shared" si="0"/>
        <v>7320000</v>
      </c>
      <c r="O55" s="57">
        <f t="shared" si="1"/>
        <v>0</v>
      </c>
    </row>
    <row r="56" spans="1:15">
      <c r="A56" s="19">
        <v>2025</v>
      </c>
      <c r="B56" s="111">
        <v>10</v>
      </c>
      <c r="C56" s="20">
        <v>45953</v>
      </c>
      <c r="D56" s="99" t="s">
        <v>2077</v>
      </c>
      <c r="E56" s="102" t="s">
        <v>2078</v>
      </c>
      <c r="F56" s="102" t="s">
        <v>2079</v>
      </c>
      <c r="G56" s="99" t="s">
        <v>2003</v>
      </c>
      <c r="H56" s="102" t="s">
        <v>2080</v>
      </c>
      <c r="I56" s="102" t="s">
        <v>466</v>
      </c>
      <c r="J56" s="103">
        <v>400</v>
      </c>
      <c r="K56" s="104">
        <v>50000</v>
      </c>
      <c r="L56" s="104">
        <v>20000000</v>
      </c>
      <c r="M56" s="115">
        <v>100</v>
      </c>
      <c r="N56" s="115">
        <f t="shared" si="0"/>
        <v>20000000</v>
      </c>
      <c r="O56" s="57">
        <f t="shared" si="1"/>
        <v>0</v>
      </c>
    </row>
    <row r="57" spans="1:15">
      <c r="A57" s="19">
        <v>2025</v>
      </c>
      <c r="B57" s="111">
        <v>10</v>
      </c>
      <c r="C57" s="20">
        <v>45953</v>
      </c>
      <c r="D57" s="99" t="s">
        <v>2081</v>
      </c>
      <c r="E57" s="102" t="s">
        <v>2029</v>
      </c>
      <c r="F57" s="102" t="s">
        <v>301</v>
      </c>
      <c r="G57" s="99" t="s">
        <v>2003</v>
      </c>
      <c r="H57" s="102" t="s">
        <v>2030</v>
      </c>
      <c r="I57" s="102" t="s">
        <v>21</v>
      </c>
      <c r="J57" s="104">
        <v>1000</v>
      </c>
      <c r="K57" s="104">
        <v>18300</v>
      </c>
      <c r="L57" s="112">
        <v>18300000</v>
      </c>
      <c r="M57" s="115">
        <v>100</v>
      </c>
      <c r="N57" s="115">
        <f t="shared" si="0"/>
        <v>18300000</v>
      </c>
      <c r="O57" s="57">
        <f t="shared" si="1"/>
        <v>0</v>
      </c>
    </row>
    <row r="58" spans="1:15">
      <c r="A58" s="19">
        <v>2025</v>
      </c>
      <c r="B58" s="111">
        <v>10</v>
      </c>
      <c r="C58" s="20">
        <v>45953</v>
      </c>
      <c r="D58" s="99" t="s">
        <v>2081</v>
      </c>
      <c r="E58" s="102" t="s">
        <v>2029</v>
      </c>
      <c r="F58" s="102" t="s">
        <v>301</v>
      </c>
      <c r="G58" s="99" t="s">
        <v>2003</v>
      </c>
      <c r="H58" s="102" t="s">
        <v>2030</v>
      </c>
      <c r="I58" s="102" t="s">
        <v>466</v>
      </c>
      <c r="J58" s="103">
        <v>200</v>
      </c>
      <c r="K58" s="104">
        <v>55000</v>
      </c>
      <c r="L58" s="104">
        <v>11000000</v>
      </c>
      <c r="M58" s="115">
        <v>100</v>
      </c>
      <c r="N58" s="115">
        <f t="shared" si="0"/>
        <v>11000000</v>
      </c>
      <c r="O58" s="57">
        <f t="shared" si="1"/>
        <v>0</v>
      </c>
    </row>
    <row r="59" spans="1:15">
      <c r="A59" s="19">
        <v>2025</v>
      </c>
      <c r="B59" s="111">
        <v>10</v>
      </c>
      <c r="C59" s="20">
        <v>45957</v>
      </c>
      <c r="D59" s="99" t="s">
        <v>2082</v>
      </c>
      <c r="E59" s="102" t="s">
        <v>2005</v>
      </c>
      <c r="F59" s="102" t="s">
        <v>1141</v>
      </c>
      <c r="G59" s="99" t="s">
        <v>2003</v>
      </c>
      <c r="H59" s="102" t="s">
        <v>2006</v>
      </c>
      <c r="I59" s="102" t="s">
        <v>21</v>
      </c>
      <c r="J59" s="103">
        <v>720</v>
      </c>
      <c r="K59" s="104">
        <v>16300</v>
      </c>
      <c r="L59" s="112">
        <v>11736000</v>
      </c>
      <c r="M59" s="115">
        <v>100</v>
      </c>
      <c r="N59" s="115">
        <f t="shared" si="0"/>
        <v>11736000</v>
      </c>
      <c r="O59" s="57">
        <f t="shared" si="1"/>
        <v>0</v>
      </c>
    </row>
    <row r="60" spans="1:15">
      <c r="A60" s="19">
        <v>2025</v>
      </c>
      <c r="B60" s="111">
        <v>10</v>
      </c>
      <c r="C60" s="20">
        <v>45958</v>
      </c>
      <c r="D60" s="99" t="s">
        <v>2083</v>
      </c>
      <c r="E60" s="102" t="s">
        <v>2001</v>
      </c>
      <c r="F60" s="102" t="s">
        <v>2002</v>
      </c>
      <c r="G60" s="99" t="s">
        <v>2003</v>
      </c>
      <c r="H60" s="102" t="s">
        <v>1797</v>
      </c>
      <c r="I60" s="102" t="s">
        <v>21</v>
      </c>
      <c r="J60" s="103">
        <v>480</v>
      </c>
      <c r="K60" s="104">
        <v>16300</v>
      </c>
      <c r="L60" s="112">
        <v>7824000</v>
      </c>
      <c r="M60" s="115">
        <v>100</v>
      </c>
      <c r="N60" s="115">
        <f t="shared" si="0"/>
        <v>7824000</v>
      </c>
      <c r="O60" s="57">
        <f t="shared" si="1"/>
        <v>0</v>
      </c>
    </row>
    <row r="61" spans="1:15">
      <c r="A61" s="19">
        <v>2025</v>
      </c>
      <c r="B61" s="111">
        <v>11</v>
      </c>
      <c r="C61" s="20">
        <v>45964</v>
      </c>
      <c r="D61" s="99" t="s">
        <v>2084</v>
      </c>
      <c r="E61" s="102" t="s">
        <v>1806</v>
      </c>
      <c r="F61" s="102" t="s">
        <v>2014</v>
      </c>
      <c r="G61" s="99" t="s">
        <v>2003</v>
      </c>
      <c r="H61" s="102" t="s">
        <v>2032</v>
      </c>
      <c r="I61" s="102" t="s">
        <v>21</v>
      </c>
      <c r="J61" s="103">
        <v>480</v>
      </c>
      <c r="K61" s="104">
        <v>18300</v>
      </c>
      <c r="L61" s="112">
        <v>8784000</v>
      </c>
      <c r="M61" s="115">
        <v>100</v>
      </c>
      <c r="N61" s="115">
        <f t="shared" si="0"/>
        <v>8784000</v>
      </c>
      <c r="O61" s="57">
        <f t="shared" si="1"/>
        <v>0</v>
      </c>
    </row>
    <row r="62" spans="1:15">
      <c r="A62" s="19">
        <v>2025</v>
      </c>
      <c r="B62" s="111">
        <v>11</v>
      </c>
      <c r="C62" s="20">
        <v>45964</v>
      </c>
      <c r="D62" s="99" t="s">
        <v>2085</v>
      </c>
      <c r="E62" s="102" t="s">
        <v>2086</v>
      </c>
      <c r="F62" s="102" t="s">
        <v>2087</v>
      </c>
      <c r="G62" s="99" t="s">
        <v>2003</v>
      </c>
      <c r="H62" s="102" t="s">
        <v>2086</v>
      </c>
      <c r="I62" s="102" t="s">
        <v>466</v>
      </c>
      <c r="J62" s="103">
        <v>80</v>
      </c>
      <c r="K62" s="104">
        <v>55000</v>
      </c>
      <c r="L62" s="104">
        <v>4400000</v>
      </c>
      <c r="M62" s="115">
        <v>100</v>
      </c>
      <c r="N62" s="115">
        <f t="shared" si="0"/>
        <v>4400000</v>
      </c>
      <c r="O62" s="57">
        <f t="shared" si="1"/>
        <v>0</v>
      </c>
    </row>
    <row r="63" spans="1:15">
      <c r="A63" s="19">
        <v>2025</v>
      </c>
      <c r="B63" s="111">
        <v>11</v>
      </c>
      <c r="C63" s="20">
        <v>45967</v>
      </c>
      <c r="D63" s="99" t="s">
        <v>2088</v>
      </c>
      <c r="E63" s="102" t="s">
        <v>1806</v>
      </c>
      <c r="F63" s="102" t="s">
        <v>2014</v>
      </c>
      <c r="G63" s="99" t="s">
        <v>2003</v>
      </c>
      <c r="H63" s="102" t="s">
        <v>2015</v>
      </c>
      <c r="I63" s="102" t="s">
        <v>21</v>
      </c>
      <c r="J63" s="103">
        <v>480</v>
      </c>
      <c r="K63" s="104">
        <v>18300</v>
      </c>
      <c r="L63" s="112">
        <v>8784000</v>
      </c>
      <c r="M63" s="115">
        <v>100</v>
      </c>
      <c r="N63" s="115">
        <f t="shared" si="0"/>
        <v>8784000</v>
      </c>
      <c r="O63" s="57">
        <f t="shared" si="1"/>
        <v>0</v>
      </c>
    </row>
    <row r="64" spans="1:15">
      <c r="A64" s="19">
        <v>2025</v>
      </c>
      <c r="B64" s="111">
        <v>11</v>
      </c>
      <c r="C64" s="20">
        <v>45967</v>
      </c>
      <c r="D64" s="99" t="s">
        <v>2089</v>
      </c>
      <c r="E64" s="102" t="s">
        <v>2005</v>
      </c>
      <c r="F64" s="102" t="s">
        <v>1141</v>
      </c>
      <c r="G64" s="99" t="s">
        <v>2003</v>
      </c>
      <c r="H64" s="102" t="s">
        <v>2006</v>
      </c>
      <c r="I64" s="102" t="s">
        <v>21</v>
      </c>
      <c r="J64" s="103">
        <v>840</v>
      </c>
      <c r="K64" s="104">
        <v>16300</v>
      </c>
      <c r="L64" s="112">
        <v>13692000</v>
      </c>
      <c r="M64" s="115">
        <v>100</v>
      </c>
      <c r="N64" s="115">
        <f t="shared" si="0"/>
        <v>13692000</v>
      </c>
      <c r="O64" s="57">
        <f t="shared" si="1"/>
        <v>0</v>
      </c>
    </row>
    <row r="65" spans="1:15">
      <c r="A65" s="19">
        <v>2025</v>
      </c>
      <c r="B65" s="111">
        <v>11</v>
      </c>
      <c r="C65" s="20">
        <v>45971</v>
      </c>
      <c r="D65" s="99" t="s">
        <v>2090</v>
      </c>
      <c r="E65" s="102" t="s">
        <v>2055</v>
      </c>
      <c r="F65" s="102" t="s">
        <v>355</v>
      </c>
      <c r="G65" s="99" t="s">
        <v>2003</v>
      </c>
      <c r="H65" s="102" t="s">
        <v>2055</v>
      </c>
      <c r="I65" s="102" t="s">
        <v>21</v>
      </c>
      <c r="J65" s="103">
        <v>240</v>
      </c>
      <c r="K65" s="104">
        <v>18300</v>
      </c>
      <c r="L65" s="112">
        <v>4392000</v>
      </c>
      <c r="M65" s="115">
        <v>100</v>
      </c>
      <c r="N65" s="115">
        <f t="shared" si="0"/>
        <v>4392000</v>
      </c>
      <c r="O65" s="57">
        <f t="shared" si="1"/>
        <v>0</v>
      </c>
    </row>
    <row r="66" spans="1:15">
      <c r="A66" s="19">
        <v>2025</v>
      </c>
      <c r="B66" s="111">
        <v>11</v>
      </c>
      <c r="C66" s="20">
        <v>45973</v>
      </c>
      <c r="D66" s="99" t="s">
        <v>2091</v>
      </c>
      <c r="E66" s="102" t="s">
        <v>16</v>
      </c>
      <c r="F66" s="102" t="s">
        <v>1986</v>
      </c>
      <c r="G66" s="99" t="s">
        <v>2003</v>
      </c>
      <c r="H66" s="102" t="s">
        <v>16</v>
      </c>
      <c r="I66" s="102" t="s">
        <v>21</v>
      </c>
      <c r="J66" s="103">
        <v>100</v>
      </c>
      <c r="K66" s="104">
        <v>18300</v>
      </c>
      <c r="L66" s="112">
        <v>1830000</v>
      </c>
      <c r="M66" s="115">
        <v>100</v>
      </c>
      <c r="N66" s="115">
        <f t="shared" si="0"/>
        <v>1830000</v>
      </c>
      <c r="O66" s="57">
        <f t="shared" si="1"/>
        <v>0</v>
      </c>
    </row>
    <row r="67" spans="1:15">
      <c r="A67" s="19">
        <v>2025</v>
      </c>
      <c r="B67" s="111">
        <v>11</v>
      </c>
      <c r="C67" s="20">
        <v>45973</v>
      </c>
      <c r="D67" s="99" t="s">
        <v>2092</v>
      </c>
      <c r="E67" s="102" t="s">
        <v>2072</v>
      </c>
      <c r="F67" s="102" t="s">
        <v>464</v>
      </c>
      <c r="G67" s="99" t="s">
        <v>2003</v>
      </c>
      <c r="H67" s="102" t="s">
        <v>2073</v>
      </c>
      <c r="I67" s="102" t="s">
        <v>46</v>
      </c>
      <c r="J67" s="104">
        <v>1000</v>
      </c>
      <c r="K67" s="104">
        <v>31000</v>
      </c>
      <c r="L67" s="104">
        <v>31000000</v>
      </c>
      <c r="M67" s="115">
        <v>100</v>
      </c>
      <c r="N67" s="115">
        <f t="shared" si="0"/>
        <v>31000000</v>
      </c>
      <c r="O67" s="57">
        <f t="shared" si="1"/>
        <v>0</v>
      </c>
    </row>
    <row r="68" spans="1:15">
      <c r="A68" s="19">
        <v>2025</v>
      </c>
      <c r="B68" s="111">
        <v>11</v>
      </c>
      <c r="C68" s="20">
        <v>45974</v>
      </c>
      <c r="D68" s="99" t="s">
        <v>2094</v>
      </c>
      <c r="E68" s="102" t="s">
        <v>2005</v>
      </c>
      <c r="F68" s="102" t="s">
        <v>1141</v>
      </c>
      <c r="G68" s="99" t="s">
        <v>2003</v>
      </c>
      <c r="H68" s="102" t="s">
        <v>2006</v>
      </c>
      <c r="I68" s="102" t="s">
        <v>21</v>
      </c>
      <c r="J68" s="103">
        <v>600</v>
      </c>
      <c r="K68" s="104">
        <v>16300</v>
      </c>
      <c r="L68" s="112">
        <v>9780000</v>
      </c>
      <c r="M68" s="115">
        <v>100</v>
      </c>
      <c r="N68" s="115">
        <f t="shared" ref="N68:N131" si="2">+L68*M68%</f>
        <v>9780000</v>
      </c>
      <c r="O68" s="57">
        <f t="shared" ref="O68:O131" si="3">L68-N68</f>
        <v>0</v>
      </c>
    </row>
    <row r="69" spans="1:15">
      <c r="A69" s="19">
        <v>2025</v>
      </c>
      <c r="B69" s="111">
        <v>11</v>
      </c>
      <c r="C69" s="20">
        <v>45980</v>
      </c>
      <c r="D69" s="99" t="s">
        <v>2095</v>
      </c>
      <c r="E69" s="102" t="s">
        <v>2005</v>
      </c>
      <c r="F69" s="102" t="s">
        <v>1141</v>
      </c>
      <c r="G69" s="99" t="s">
        <v>2003</v>
      </c>
      <c r="H69" s="102" t="s">
        <v>2006</v>
      </c>
      <c r="I69" s="102" t="s">
        <v>21</v>
      </c>
      <c r="J69" s="103">
        <v>600</v>
      </c>
      <c r="K69" s="104">
        <v>16300</v>
      </c>
      <c r="L69" s="112">
        <v>9780000</v>
      </c>
      <c r="M69" s="115">
        <v>100</v>
      </c>
      <c r="N69" s="115">
        <f t="shared" si="2"/>
        <v>9780000</v>
      </c>
      <c r="O69" s="57">
        <f t="shared" si="3"/>
        <v>0</v>
      </c>
    </row>
    <row r="70" spans="1:15">
      <c r="A70" s="19">
        <v>2025</v>
      </c>
      <c r="B70" s="111">
        <v>11</v>
      </c>
      <c r="C70" s="20">
        <v>45981</v>
      </c>
      <c r="D70" s="99" t="s">
        <v>2096</v>
      </c>
      <c r="E70" s="102" t="s">
        <v>2078</v>
      </c>
      <c r="F70" s="102" t="s">
        <v>2079</v>
      </c>
      <c r="G70" s="99" t="s">
        <v>2003</v>
      </c>
      <c r="H70" s="102" t="s">
        <v>2080</v>
      </c>
      <c r="I70" s="102" t="s">
        <v>46</v>
      </c>
      <c r="J70" s="103">
        <v>500</v>
      </c>
      <c r="K70" s="104">
        <v>31000</v>
      </c>
      <c r="L70" s="104">
        <v>15500000</v>
      </c>
      <c r="M70" s="115">
        <v>100</v>
      </c>
      <c r="N70" s="115">
        <f t="shared" si="2"/>
        <v>15500000</v>
      </c>
      <c r="O70" s="57">
        <f t="shared" si="3"/>
        <v>0</v>
      </c>
    </row>
    <row r="71" spans="1:15">
      <c r="A71" s="19">
        <v>2025</v>
      </c>
      <c r="B71" s="111">
        <v>11</v>
      </c>
      <c r="C71" s="20">
        <v>45981</v>
      </c>
      <c r="D71" s="99" t="s">
        <v>2096</v>
      </c>
      <c r="E71" s="102" t="s">
        <v>2078</v>
      </c>
      <c r="F71" s="102" t="s">
        <v>2079</v>
      </c>
      <c r="G71" s="99" t="s">
        <v>2003</v>
      </c>
      <c r="H71" s="102" t="s">
        <v>2080</v>
      </c>
      <c r="I71" s="102" t="s">
        <v>466</v>
      </c>
      <c r="J71" s="103">
        <v>300</v>
      </c>
      <c r="K71" s="104">
        <v>50000</v>
      </c>
      <c r="L71" s="104">
        <v>15000000</v>
      </c>
      <c r="M71" s="115">
        <v>100</v>
      </c>
      <c r="N71" s="115">
        <f t="shared" si="2"/>
        <v>15000000</v>
      </c>
      <c r="O71" s="57">
        <f t="shared" si="3"/>
        <v>0</v>
      </c>
    </row>
    <row r="72" spans="1:15">
      <c r="A72" s="19">
        <v>2025</v>
      </c>
      <c r="B72" s="111">
        <v>11</v>
      </c>
      <c r="C72" s="20">
        <v>45981</v>
      </c>
      <c r="D72" s="99" t="s">
        <v>2096</v>
      </c>
      <c r="E72" s="102" t="s">
        <v>2078</v>
      </c>
      <c r="F72" s="102" t="s">
        <v>2079</v>
      </c>
      <c r="G72" s="99" t="s">
        <v>2003</v>
      </c>
      <c r="H72" s="102" t="s">
        <v>2080</v>
      </c>
      <c r="I72" s="102" t="s">
        <v>38</v>
      </c>
      <c r="J72" s="103">
        <v>300</v>
      </c>
      <c r="K72" s="104">
        <v>33000</v>
      </c>
      <c r="L72" s="104">
        <v>9900000</v>
      </c>
      <c r="M72" s="115">
        <v>100</v>
      </c>
      <c r="N72" s="115">
        <f t="shared" si="2"/>
        <v>9900000</v>
      </c>
      <c r="O72" s="57">
        <f t="shared" si="3"/>
        <v>0</v>
      </c>
    </row>
    <row r="73" spans="1:15">
      <c r="A73" s="19">
        <v>2025</v>
      </c>
      <c r="B73" s="111">
        <v>11</v>
      </c>
      <c r="C73" s="20">
        <v>45982</v>
      </c>
      <c r="D73" s="99" t="s">
        <v>2097</v>
      </c>
      <c r="E73" s="102" t="s">
        <v>2098</v>
      </c>
      <c r="F73" s="102" t="s">
        <v>1171</v>
      </c>
      <c r="G73" s="99" t="s">
        <v>2003</v>
      </c>
      <c r="H73" s="102" t="s">
        <v>2099</v>
      </c>
      <c r="I73" s="102" t="s">
        <v>466</v>
      </c>
      <c r="J73" s="103">
        <v>250</v>
      </c>
      <c r="K73" s="104">
        <v>50000</v>
      </c>
      <c r="L73" s="104">
        <v>12500000</v>
      </c>
      <c r="M73" s="115">
        <v>100</v>
      </c>
      <c r="N73" s="115">
        <f t="shared" si="2"/>
        <v>12500000</v>
      </c>
      <c r="O73" s="57">
        <f t="shared" si="3"/>
        <v>0</v>
      </c>
    </row>
    <row r="74" spans="1:15">
      <c r="A74" s="19">
        <v>2025</v>
      </c>
      <c r="B74" s="111">
        <v>11</v>
      </c>
      <c r="C74" s="20">
        <v>45985</v>
      </c>
      <c r="D74" s="99" t="s">
        <v>2100</v>
      </c>
      <c r="E74" s="102" t="s">
        <v>2072</v>
      </c>
      <c r="F74" s="102" t="s">
        <v>464</v>
      </c>
      <c r="G74" s="99" t="s">
        <v>2003</v>
      </c>
      <c r="H74" s="102" t="s">
        <v>2073</v>
      </c>
      <c r="I74" s="102" t="s">
        <v>466</v>
      </c>
      <c r="J74" s="103">
        <v>400</v>
      </c>
      <c r="K74" s="104">
        <v>55000</v>
      </c>
      <c r="L74" s="104">
        <v>22000000</v>
      </c>
      <c r="M74" s="115">
        <v>100</v>
      </c>
      <c r="N74" s="115">
        <f t="shared" si="2"/>
        <v>22000000</v>
      </c>
      <c r="O74" s="57">
        <f t="shared" si="3"/>
        <v>0</v>
      </c>
    </row>
    <row r="75" spans="1:15">
      <c r="A75" s="19">
        <v>2025</v>
      </c>
      <c r="B75" s="111">
        <v>11</v>
      </c>
      <c r="C75" s="20">
        <v>45986</v>
      </c>
      <c r="D75" s="99" t="s">
        <v>2101</v>
      </c>
      <c r="E75" s="102" t="s">
        <v>2005</v>
      </c>
      <c r="F75" s="102" t="s">
        <v>1141</v>
      </c>
      <c r="G75" s="99" t="s">
        <v>2003</v>
      </c>
      <c r="H75" s="102" t="s">
        <v>2006</v>
      </c>
      <c r="I75" s="102" t="s">
        <v>21</v>
      </c>
      <c r="J75" s="103">
        <v>600</v>
      </c>
      <c r="K75" s="104">
        <v>16300</v>
      </c>
      <c r="L75" s="112">
        <v>9780000</v>
      </c>
      <c r="M75" s="115">
        <v>100</v>
      </c>
      <c r="N75" s="115">
        <f t="shared" si="2"/>
        <v>9780000</v>
      </c>
      <c r="O75" s="57">
        <f t="shared" si="3"/>
        <v>0</v>
      </c>
    </row>
    <row r="76" spans="1:15">
      <c r="A76" s="19">
        <v>2025</v>
      </c>
      <c r="B76" s="111">
        <v>11</v>
      </c>
      <c r="C76" s="20">
        <v>45989</v>
      </c>
      <c r="D76" s="99" t="s">
        <v>2102</v>
      </c>
      <c r="E76" s="102" t="s">
        <v>2005</v>
      </c>
      <c r="F76" s="102" t="s">
        <v>1141</v>
      </c>
      <c r="G76" s="99" t="s">
        <v>2003</v>
      </c>
      <c r="H76" s="102" t="s">
        <v>2006</v>
      </c>
      <c r="I76" s="102" t="s">
        <v>21</v>
      </c>
      <c r="J76" s="103">
        <v>600</v>
      </c>
      <c r="K76" s="104">
        <v>16300</v>
      </c>
      <c r="L76" s="112">
        <v>9780000</v>
      </c>
      <c r="M76" s="115">
        <v>100</v>
      </c>
      <c r="N76" s="115">
        <f t="shared" si="2"/>
        <v>9780000</v>
      </c>
      <c r="O76" s="57">
        <f t="shared" si="3"/>
        <v>0</v>
      </c>
    </row>
    <row r="77" spans="1:15">
      <c r="A77" s="19">
        <v>2025</v>
      </c>
      <c r="B77" s="111">
        <v>11</v>
      </c>
      <c r="C77" s="20">
        <v>45989</v>
      </c>
      <c r="D77" s="99" t="s">
        <v>2103</v>
      </c>
      <c r="E77" s="102" t="s">
        <v>2078</v>
      </c>
      <c r="F77" s="102" t="s">
        <v>2079</v>
      </c>
      <c r="G77" s="99" t="s">
        <v>2003</v>
      </c>
      <c r="H77" s="102" t="s">
        <v>2080</v>
      </c>
      <c r="I77" s="102" t="s">
        <v>466</v>
      </c>
      <c r="J77" s="103">
        <v>50</v>
      </c>
      <c r="K77" s="104">
        <v>50000</v>
      </c>
      <c r="L77" s="104">
        <v>2500000</v>
      </c>
      <c r="M77" s="115">
        <v>100</v>
      </c>
      <c r="N77" s="115">
        <f t="shared" si="2"/>
        <v>2500000</v>
      </c>
      <c r="O77" s="57">
        <f t="shared" si="3"/>
        <v>0</v>
      </c>
    </row>
    <row r="78" spans="1:15">
      <c r="A78" s="19">
        <v>2025</v>
      </c>
      <c r="B78" s="111">
        <v>11</v>
      </c>
      <c r="C78" s="20">
        <v>45989</v>
      </c>
      <c r="D78" s="99" t="s">
        <v>2103</v>
      </c>
      <c r="E78" s="102" t="s">
        <v>2078</v>
      </c>
      <c r="F78" s="102" t="s">
        <v>2079</v>
      </c>
      <c r="G78" s="99" t="s">
        <v>2003</v>
      </c>
      <c r="H78" s="102" t="s">
        <v>2080</v>
      </c>
      <c r="I78" s="102" t="s">
        <v>38</v>
      </c>
      <c r="J78" s="103">
        <v>300</v>
      </c>
      <c r="K78" s="104">
        <v>33000</v>
      </c>
      <c r="L78" s="104">
        <v>9900000</v>
      </c>
      <c r="M78" s="115">
        <v>100</v>
      </c>
      <c r="N78" s="115">
        <f t="shared" si="2"/>
        <v>9900000</v>
      </c>
      <c r="O78" s="57">
        <f t="shared" si="3"/>
        <v>0</v>
      </c>
    </row>
    <row r="79" spans="1:15">
      <c r="A79" s="19">
        <v>2025</v>
      </c>
      <c r="B79" s="111">
        <v>12</v>
      </c>
      <c r="C79" s="20">
        <v>46001</v>
      </c>
      <c r="D79" s="99" t="s">
        <v>2104</v>
      </c>
      <c r="E79" s="102" t="s">
        <v>2005</v>
      </c>
      <c r="F79" s="102" t="s">
        <v>1141</v>
      </c>
      <c r="G79" s="99" t="s">
        <v>2003</v>
      </c>
      <c r="H79" s="102" t="s">
        <v>2006</v>
      </c>
      <c r="I79" s="102" t="s">
        <v>21</v>
      </c>
      <c r="J79" s="103">
        <v>600</v>
      </c>
      <c r="K79" s="104">
        <v>16300</v>
      </c>
      <c r="L79" s="112">
        <v>9780000</v>
      </c>
      <c r="M79" s="115">
        <v>100</v>
      </c>
      <c r="N79" s="115">
        <f t="shared" si="2"/>
        <v>9780000</v>
      </c>
      <c r="O79" s="57">
        <f t="shared" si="3"/>
        <v>0</v>
      </c>
    </row>
    <row r="80" spans="1:15">
      <c r="A80" s="19">
        <v>2025</v>
      </c>
      <c r="B80" s="111">
        <v>12</v>
      </c>
      <c r="C80" s="20">
        <v>46001</v>
      </c>
      <c r="D80" s="99" t="s">
        <v>2105</v>
      </c>
      <c r="E80" s="102" t="s">
        <v>2098</v>
      </c>
      <c r="F80" s="102" t="s">
        <v>1171</v>
      </c>
      <c r="G80" s="99" t="s">
        <v>2003</v>
      </c>
      <c r="H80" s="102" t="s">
        <v>2099</v>
      </c>
      <c r="I80" s="102" t="s">
        <v>466</v>
      </c>
      <c r="J80" s="103">
        <v>300</v>
      </c>
      <c r="K80" s="104">
        <v>55000</v>
      </c>
      <c r="L80" s="104">
        <v>16500000</v>
      </c>
      <c r="M80" s="115">
        <v>100</v>
      </c>
      <c r="N80" s="115">
        <f t="shared" si="2"/>
        <v>16500000</v>
      </c>
      <c r="O80" s="57">
        <f t="shared" si="3"/>
        <v>0</v>
      </c>
    </row>
    <row r="81" spans="1:15">
      <c r="A81" s="19">
        <v>2025</v>
      </c>
      <c r="B81" s="111">
        <v>12</v>
      </c>
      <c r="C81" s="20">
        <v>46003</v>
      </c>
      <c r="D81" s="99" t="s">
        <v>2106</v>
      </c>
      <c r="E81" s="102" t="s">
        <v>2029</v>
      </c>
      <c r="F81" s="102" t="s">
        <v>301</v>
      </c>
      <c r="G81" s="99" t="s">
        <v>2003</v>
      </c>
      <c r="H81" s="102" t="s">
        <v>2030</v>
      </c>
      <c r="I81" s="102" t="s">
        <v>21</v>
      </c>
      <c r="J81" s="104">
        <v>1000</v>
      </c>
      <c r="K81" s="104">
        <v>18300</v>
      </c>
      <c r="L81" s="112">
        <v>18300000</v>
      </c>
      <c r="M81" s="115">
        <v>100</v>
      </c>
      <c r="N81" s="115">
        <f t="shared" si="2"/>
        <v>18300000</v>
      </c>
      <c r="O81" s="57">
        <f t="shared" si="3"/>
        <v>0</v>
      </c>
    </row>
    <row r="82" spans="1:15">
      <c r="A82" s="19">
        <v>2025</v>
      </c>
      <c r="B82" s="111">
        <v>12</v>
      </c>
      <c r="C82" s="20">
        <v>46007</v>
      </c>
      <c r="D82" s="99" t="s">
        <v>2107</v>
      </c>
      <c r="E82" s="102" t="s">
        <v>2086</v>
      </c>
      <c r="F82" s="102" t="s">
        <v>2087</v>
      </c>
      <c r="G82" s="99" t="s">
        <v>2003</v>
      </c>
      <c r="H82" s="102" t="s">
        <v>2086</v>
      </c>
      <c r="I82" s="102" t="s">
        <v>466</v>
      </c>
      <c r="J82" s="103">
        <v>100</v>
      </c>
      <c r="K82" s="104">
        <v>55000</v>
      </c>
      <c r="L82" s="104">
        <v>5500000</v>
      </c>
      <c r="M82" s="115">
        <v>100</v>
      </c>
      <c r="N82" s="115">
        <f t="shared" si="2"/>
        <v>5500000</v>
      </c>
      <c r="O82" s="57">
        <f t="shared" si="3"/>
        <v>0</v>
      </c>
    </row>
    <row r="83" spans="1:15">
      <c r="A83" s="19">
        <v>2025</v>
      </c>
      <c r="B83" s="111">
        <v>12</v>
      </c>
      <c r="C83" s="20">
        <v>46007</v>
      </c>
      <c r="D83" s="99" t="s">
        <v>2108</v>
      </c>
      <c r="E83" s="102" t="s">
        <v>2072</v>
      </c>
      <c r="F83" s="102" t="s">
        <v>464</v>
      </c>
      <c r="G83" s="99" t="s">
        <v>2003</v>
      </c>
      <c r="H83" s="102" t="s">
        <v>2073</v>
      </c>
      <c r="I83" s="102" t="s">
        <v>466</v>
      </c>
      <c r="J83" s="103">
        <v>400</v>
      </c>
      <c r="K83" s="104">
        <v>55000</v>
      </c>
      <c r="L83" s="104">
        <v>22000000</v>
      </c>
      <c r="M83" s="115">
        <v>100</v>
      </c>
      <c r="N83" s="115">
        <f t="shared" si="2"/>
        <v>22000000</v>
      </c>
      <c r="O83" s="57">
        <f t="shared" si="3"/>
        <v>0</v>
      </c>
    </row>
    <row r="84" spans="1:15">
      <c r="A84" s="19">
        <v>2025</v>
      </c>
      <c r="B84" s="111">
        <v>12</v>
      </c>
      <c r="C84" s="20">
        <v>46007</v>
      </c>
      <c r="D84" s="99" t="s">
        <v>2109</v>
      </c>
      <c r="E84" s="102" t="s">
        <v>2005</v>
      </c>
      <c r="F84" s="102" t="s">
        <v>1141</v>
      </c>
      <c r="G84" s="99" t="s">
        <v>2003</v>
      </c>
      <c r="H84" s="102" t="s">
        <v>2006</v>
      </c>
      <c r="I84" s="102" t="s">
        <v>21</v>
      </c>
      <c r="J84" s="103">
        <v>600</v>
      </c>
      <c r="K84" s="104">
        <v>16300</v>
      </c>
      <c r="L84" s="112">
        <v>9780000</v>
      </c>
      <c r="M84" s="115">
        <v>100</v>
      </c>
      <c r="N84" s="115">
        <f t="shared" si="2"/>
        <v>9780000</v>
      </c>
      <c r="O84" s="57">
        <f t="shared" si="3"/>
        <v>0</v>
      </c>
    </row>
    <row r="85" spans="1:15">
      <c r="A85" s="19">
        <v>2025</v>
      </c>
      <c r="B85" s="111">
        <v>12</v>
      </c>
      <c r="C85" s="20">
        <v>46008</v>
      </c>
      <c r="D85" s="99" t="s">
        <v>2110</v>
      </c>
      <c r="E85" s="102" t="s">
        <v>2076</v>
      </c>
      <c r="F85" s="102" t="s">
        <v>611</v>
      </c>
      <c r="G85" s="99" t="s">
        <v>2003</v>
      </c>
      <c r="H85" s="102" t="s">
        <v>2076</v>
      </c>
      <c r="I85" s="102" t="s">
        <v>21</v>
      </c>
      <c r="J85" s="104">
        <v>1500</v>
      </c>
      <c r="K85" s="104">
        <v>18300</v>
      </c>
      <c r="L85" s="112">
        <v>27450000</v>
      </c>
      <c r="M85" s="115">
        <v>100</v>
      </c>
      <c r="N85" s="115">
        <f t="shared" si="2"/>
        <v>27450000</v>
      </c>
      <c r="O85" s="57">
        <f t="shared" si="3"/>
        <v>0</v>
      </c>
    </row>
    <row r="86" spans="1:15">
      <c r="A86" s="19">
        <v>2025</v>
      </c>
      <c r="B86" s="111">
        <v>12</v>
      </c>
      <c r="C86" s="20">
        <v>46016</v>
      </c>
      <c r="D86" s="99" t="s">
        <v>2111</v>
      </c>
      <c r="E86" s="102" t="s">
        <v>2078</v>
      </c>
      <c r="F86" s="102" t="s">
        <v>2079</v>
      </c>
      <c r="G86" s="99" t="s">
        <v>2003</v>
      </c>
      <c r="H86" s="102" t="s">
        <v>2080</v>
      </c>
      <c r="I86" s="102" t="s">
        <v>466</v>
      </c>
      <c r="J86" s="103">
        <v>385</v>
      </c>
      <c r="K86" s="104">
        <v>55000</v>
      </c>
      <c r="L86" s="104">
        <v>21175000</v>
      </c>
      <c r="M86" s="115">
        <v>100</v>
      </c>
      <c r="N86" s="115">
        <f t="shared" si="2"/>
        <v>21175000</v>
      </c>
      <c r="O86" s="57">
        <f t="shared" si="3"/>
        <v>0</v>
      </c>
    </row>
    <row r="87" spans="1:15">
      <c r="A87" s="19">
        <v>2025</v>
      </c>
      <c r="B87" s="111">
        <v>12</v>
      </c>
      <c r="C87" s="20">
        <v>46016</v>
      </c>
      <c r="D87" s="99" t="s">
        <v>2111</v>
      </c>
      <c r="E87" s="102" t="s">
        <v>2078</v>
      </c>
      <c r="F87" s="102" t="s">
        <v>2079</v>
      </c>
      <c r="G87" s="99" t="s">
        <v>2003</v>
      </c>
      <c r="H87" s="102" t="s">
        <v>2080</v>
      </c>
      <c r="I87" s="102" t="s">
        <v>38</v>
      </c>
      <c r="J87" s="103">
        <v>600</v>
      </c>
      <c r="K87" s="104">
        <v>33000</v>
      </c>
      <c r="L87" s="104">
        <v>19800000</v>
      </c>
      <c r="M87" s="115">
        <v>100</v>
      </c>
      <c r="N87" s="115">
        <f t="shared" si="2"/>
        <v>19800000</v>
      </c>
      <c r="O87" s="57">
        <f t="shared" si="3"/>
        <v>0</v>
      </c>
    </row>
    <row r="88" spans="1:15">
      <c r="A88" s="19">
        <v>2025</v>
      </c>
      <c r="B88" s="111">
        <v>12</v>
      </c>
      <c r="C88" s="20">
        <v>46017</v>
      </c>
      <c r="D88" s="99" t="s">
        <v>2112</v>
      </c>
      <c r="E88" s="102" t="s">
        <v>2078</v>
      </c>
      <c r="F88" s="102" t="s">
        <v>259</v>
      </c>
      <c r="G88" s="99" t="s">
        <v>2003</v>
      </c>
      <c r="H88" s="102" t="s">
        <v>1806</v>
      </c>
      <c r="I88" s="102" t="s">
        <v>21</v>
      </c>
      <c r="J88" s="103">
        <v>80</v>
      </c>
      <c r="K88" s="104">
        <v>18300</v>
      </c>
      <c r="L88" s="112">
        <v>1464000</v>
      </c>
      <c r="M88" s="115">
        <v>100</v>
      </c>
      <c r="N88" s="115">
        <f t="shared" si="2"/>
        <v>1464000</v>
      </c>
      <c r="O88" s="57">
        <f t="shared" si="3"/>
        <v>0</v>
      </c>
    </row>
    <row r="89" spans="1:15">
      <c r="A89" s="19">
        <v>2026</v>
      </c>
      <c r="B89" s="111">
        <v>1</v>
      </c>
      <c r="C89" s="20">
        <v>46041</v>
      </c>
      <c r="D89" s="99" t="s">
        <v>2113</v>
      </c>
      <c r="E89" s="102" t="s">
        <v>2005</v>
      </c>
      <c r="F89" s="102" t="s">
        <v>1141</v>
      </c>
      <c r="G89" s="99" t="s">
        <v>2003</v>
      </c>
      <c r="H89" s="102" t="s">
        <v>2006</v>
      </c>
      <c r="I89" s="102" t="s">
        <v>21</v>
      </c>
      <c r="J89" s="103">
        <v>600</v>
      </c>
      <c r="K89" s="104">
        <v>16300</v>
      </c>
      <c r="L89" s="112">
        <v>9780000</v>
      </c>
      <c r="M89" s="115">
        <v>100</v>
      </c>
      <c r="N89" s="115">
        <f t="shared" si="2"/>
        <v>9780000</v>
      </c>
      <c r="O89" s="57">
        <f t="shared" si="3"/>
        <v>0</v>
      </c>
    </row>
    <row r="90" spans="1:15">
      <c r="A90" s="19">
        <v>2026</v>
      </c>
      <c r="B90" s="111">
        <v>1</v>
      </c>
      <c r="C90" s="20">
        <v>46043</v>
      </c>
      <c r="D90" s="99" t="s">
        <v>2114</v>
      </c>
      <c r="E90" s="102" t="s">
        <v>2098</v>
      </c>
      <c r="F90" s="102" t="s">
        <v>1171</v>
      </c>
      <c r="G90" s="99" t="s">
        <v>2003</v>
      </c>
      <c r="H90" s="102" t="s">
        <v>2099</v>
      </c>
      <c r="I90" s="102" t="s">
        <v>466</v>
      </c>
      <c r="J90" s="103">
        <v>300</v>
      </c>
      <c r="K90" s="104">
        <v>55000</v>
      </c>
      <c r="L90" s="104">
        <v>16500000</v>
      </c>
      <c r="M90" s="115">
        <v>100</v>
      </c>
      <c r="N90" s="115">
        <f t="shared" si="2"/>
        <v>16500000</v>
      </c>
      <c r="O90" s="57">
        <f t="shared" si="3"/>
        <v>0</v>
      </c>
    </row>
    <row r="91" spans="1:15">
      <c r="A91" s="19">
        <v>2026</v>
      </c>
      <c r="B91" s="111">
        <v>1</v>
      </c>
      <c r="C91" s="20">
        <v>46044</v>
      </c>
      <c r="D91" s="99" t="s">
        <v>2115</v>
      </c>
      <c r="E91" s="102" t="s">
        <v>2005</v>
      </c>
      <c r="F91" s="102" t="s">
        <v>1141</v>
      </c>
      <c r="G91" s="99" t="s">
        <v>2003</v>
      </c>
      <c r="H91" s="102" t="s">
        <v>2006</v>
      </c>
      <c r="I91" s="102" t="s">
        <v>21</v>
      </c>
      <c r="J91" s="103">
        <v>600</v>
      </c>
      <c r="K91" s="104">
        <v>16300</v>
      </c>
      <c r="L91" s="112">
        <v>9780000</v>
      </c>
      <c r="M91" s="115">
        <v>100</v>
      </c>
      <c r="N91" s="115">
        <f t="shared" si="2"/>
        <v>9780000</v>
      </c>
      <c r="O91" s="57">
        <f t="shared" si="3"/>
        <v>0</v>
      </c>
    </row>
    <row r="92" spans="1:15">
      <c r="A92" s="19">
        <v>2026</v>
      </c>
      <c r="B92" s="111">
        <v>1</v>
      </c>
      <c r="C92" s="20">
        <v>46045</v>
      </c>
      <c r="D92" s="99" t="s">
        <v>2116</v>
      </c>
      <c r="E92" s="102" t="s">
        <v>2055</v>
      </c>
      <c r="F92" s="102" t="s">
        <v>355</v>
      </c>
      <c r="G92" s="99" t="s">
        <v>2003</v>
      </c>
      <c r="H92" s="102" t="s">
        <v>2055</v>
      </c>
      <c r="I92" s="102" t="s">
        <v>21</v>
      </c>
      <c r="J92" s="103">
        <v>300</v>
      </c>
      <c r="K92" s="104">
        <v>18300</v>
      </c>
      <c r="L92" s="112">
        <v>5490000</v>
      </c>
      <c r="M92" s="115">
        <v>100</v>
      </c>
      <c r="N92" s="115">
        <f t="shared" si="2"/>
        <v>5490000</v>
      </c>
      <c r="O92" s="57">
        <f t="shared" si="3"/>
        <v>0</v>
      </c>
    </row>
    <row r="93" spans="1:15">
      <c r="A93" s="19">
        <v>2026</v>
      </c>
      <c r="B93" s="111">
        <v>1</v>
      </c>
      <c r="C93" s="20">
        <v>46045</v>
      </c>
      <c r="D93" s="99" t="s">
        <v>2117</v>
      </c>
      <c r="E93" s="102" t="s">
        <v>2029</v>
      </c>
      <c r="F93" s="102" t="s">
        <v>301</v>
      </c>
      <c r="G93" s="99" t="s">
        <v>2003</v>
      </c>
      <c r="H93" s="102" t="s">
        <v>2030</v>
      </c>
      <c r="I93" s="102" t="s">
        <v>21</v>
      </c>
      <c r="J93" s="103">
        <v>687</v>
      </c>
      <c r="K93" s="104">
        <v>18300</v>
      </c>
      <c r="L93" s="112">
        <v>12572100</v>
      </c>
      <c r="M93" s="115">
        <v>100</v>
      </c>
      <c r="N93" s="115">
        <f t="shared" si="2"/>
        <v>12572100</v>
      </c>
      <c r="O93" s="57">
        <f t="shared" si="3"/>
        <v>0</v>
      </c>
    </row>
    <row r="94" spans="1:15">
      <c r="A94" s="19">
        <v>2026</v>
      </c>
      <c r="B94" s="111">
        <v>1</v>
      </c>
      <c r="C94" s="20">
        <v>46048</v>
      </c>
      <c r="D94" s="99" t="s">
        <v>2118</v>
      </c>
      <c r="E94" s="102" t="s">
        <v>2078</v>
      </c>
      <c r="F94" s="102" t="s">
        <v>2079</v>
      </c>
      <c r="G94" s="99" t="s">
        <v>2003</v>
      </c>
      <c r="H94" s="102" t="s">
        <v>2080</v>
      </c>
      <c r="I94" s="102" t="s">
        <v>466</v>
      </c>
      <c r="J94" s="103">
        <v>400</v>
      </c>
      <c r="K94" s="104">
        <v>55000</v>
      </c>
      <c r="L94" s="104">
        <v>22000000</v>
      </c>
      <c r="M94" s="115">
        <v>100</v>
      </c>
      <c r="N94" s="115">
        <f t="shared" si="2"/>
        <v>22000000</v>
      </c>
      <c r="O94" s="57">
        <f t="shared" si="3"/>
        <v>0</v>
      </c>
    </row>
    <row r="95" spans="1:15">
      <c r="A95" s="19">
        <v>2026</v>
      </c>
      <c r="B95" s="111">
        <v>1</v>
      </c>
      <c r="C95" s="20">
        <v>46048</v>
      </c>
      <c r="D95" s="99" t="s">
        <v>2119</v>
      </c>
      <c r="E95" s="102" t="s">
        <v>2055</v>
      </c>
      <c r="F95" s="102" t="s">
        <v>355</v>
      </c>
      <c r="G95" s="99" t="s">
        <v>2003</v>
      </c>
      <c r="H95" s="102" t="s">
        <v>2055</v>
      </c>
      <c r="I95" s="102" t="s">
        <v>21</v>
      </c>
      <c r="J95" s="103">
        <v>400</v>
      </c>
      <c r="K95" s="104">
        <v>18300</v>
      </c>
      <c r="L95" s="112">
        <v>7320000</v>
      </c>
      <c r="M95" s="115">
        <v>100</v>
      </c>
      <c r="N95" s="115">
        <f t="shared" si="2"/>
        <v>7320000</v>
      </c>
      <c r="O95" s="57">
        <f t="shared" si="3"/>
        <v>0</v>
      </c>
    </row>
    <row r="96" spans="1:15">
      <c r="A96" s="19">
        <v>2026</v>
      </c>
      <c r="B96" s="111">
        <v>1</v>
      </c>
      <c r="C96" s="20">
        <v>46048</v>
      </c>
      <c r="D96" s="99" t="s">
        <v>2120</v>
      </c>
      <c r="E96" s="102" t="s">
        <v>2029</v>
      </c>
      <c r="F96" s="102" t="s">
        <v>301</v>
      </c>
      <c r="G96" s="99" t="s">
        <v>2003</v>
      </c>
      <c r="H96" s="102" t="s">
        <v>2030</v>
      </c>
      <c r="I96" s="102" t="s">
        <v>21</v>
      </c>
      <c r="J96" s="104">
        <v>1000</v>
      </c>
      <c r="K96" s="104">
        <v>18300</v>
      </c>
      <c r="L96" s="112">
        <v>18300000</v>
      </c>
      <c r="M96" s="115">
        <v>100</v>
      </c>
      <c r="N96" s="115">
        <f t="shared" si="2"/>
        <v>18300000</v>
      </c>
      <c r="O96" s="57">
        <f t="shared" si="3"/>
        <v>0</v>
      </c>
    </row>
    <row r="97" spans="1:15">
      <c r="A97" s="19">
        <v>2026</v>
      </c>
      <c r="B97" s="111">
        <v>1</v>
      </c>
      <c r="C97" s="20">
        <v>46051</v>
      </c>
      <c r="D97" s="99" t="s">
        <v>2121</v>
      </c>
      <c r="E97" s="102" t="s">
        <v>2072</v>
      </c>
      <c r="F97" s="102" t="s">
        <v>464</v>
      </c>
      <c r="G97" s="99" t="s">
        <v>2003</v>
      </c>
      <c r="H97" s="102" t="s">
        <v>2073</v>
      </c>
      <c r="I97" s="102" t="s">
        <v>46</v>
      </c>
      <c r="J97" s="104">
        <v>1200</v>
      </c>
      <c r="K97" s="104">
        <v>31000</v>
      </c>
      <c r="L97" s="104">
        <v>37200000</v>
      </c>
      <c r="M97" s="115">
        <v>100</v>
      </c>
      <c r="N97" s="115">
        <f t="shared" si="2"/>
        <v>37200000</v>
      </c>
      <c r="O97" s="57">
        <f t="shared" si="3"/>
        <v>0</v>
      </c>
    </row>
    <row r="98" spans="1:15">
      <c r="A98" s="19">
        <v>2026</v>
      </c>
      <c r="B98" s="111">
        <v>1</v>
      </c>
      <c r="C98" s="20">
        <v>46051</v>
      </c>
      <c r="D98" s="99" t="s">
        <v>2122</v>
      </c>
      <c r="E98" s="102" t="s">
        <v>2055</v>
      </c>
      <c r="F98" s="102" t="s">
        <v>355</v>
      </c>
      <c r="G98" s="99" t="s">
        <v>2003</v>
      </c>
      <c r="H98" s="102" t="s">
        <v>2055</v>
      </c>
      <c r="I98" s="102" t="s">
        <v>21</v>
      </c>
      <c r="J98" s="103">
        <v>500</v>
      </c>
      <c r="K98" s="104">
        <v>18300</v>
      </c>
      <c r="L98" s="112">
        <v>9150000</v>
      </c>
      <c r="M98" s="115">
        <v>100</v>
      </c>
      <c r="N98" s="115">
        <f t="shared" si="2"/>
        <v>9150000</v>
      </c>
      <c r="O98" s="57">
        <f t="shared" si="3"/>
        <v>0</v>
      </c>
    </row>
    <row r="99" spans="1:15">
      <c r="A99" s="19">
        <v>2026</v>
      </c>
      <c r="B99" s="111">
        <v>2</v>
      </c>
      <c r="C99" s="20">
        <v>46058</v>
      </c>
      <c r="D99" s="99" t="s">
        <v>2123</v>
      </c>
      <c r="E99" s="102" t="s">
        <v>260</v>
      </c>
      <c r="F99" s="102" t="s">
        <v>2124</v>
      </c>
      <c r="G99" s="99" t="s">
        <v>2003</v>
      </c>
      <c r="H99" s="102" t="s">
        <v>2124</v>
      </c>
      <c r="I99" s="102" t="s">
        <v>466</v>
      </c>
      <c r="J99" s="103">
        <v>5</v>
      </c>
      <c r="K99" s="104">
        <v>18300</v>
      </c>
      <c r="L99" s="104">
        <v>91500</v>
      </c>
      <c r="M99" s="115">
        <v>100</v>
      </c>
      <c r="N99" s="115">
        <f t="shared" si="2"/>
        <v>91500</v>
      </c>
      <c r="O99" s="57">
        <f t="shared" si="3"/>
        <v>0</v>
      </c>
    </row>
    <row r="100" spans="1:15">
      <c r="A100" s="19">
        <v>2026</v>
      </c>
      <c r="B100" s="111">
        <v>2</v>
      </c>
      <c r="C100" s="20">
        <v>46064</v>
      </c>
      <c r="D100" s="99" t="s">
        <v>2125</v>
      </c>
      <c r="E100" s="102" t="s">
        <v>2029</v>
      </c>
      <c r="F100" s="102" t="s">
        <v>301</v>
      </c>
      <c r="G100" s="99" t="s">
        <v>2003</v>
      </c>
      <c r="H100" s="102" t="s">
        <v>2030</v>
      </c>
      <c r="I100" s="102" t="s">
        <v>466</v>
      </c>
      <c r="J100" s="103">
        <v>200</v>
      </c>
      <c r="K100" s="104">
        <v>55000</v>
      </c>
      <c r="L100" s="104">
        <v>11000000</v>
      </c>
      <c r="M100" s="115">
        <v>100</v>
      </c>
      <c r="N100" s="115">
        <f t="shared" si="2"/>
        <v>11000000</v>
      </c>
      <c r="O100" s="57">
        <f t="shared" si="3"/>
        <v>0</v>
      </c>
    </row>
    <row r="101" spans="1:15">
      <c r="A101" s="19">
        <v>2026</v>
      </c>
      <c r="B101" s="111">
        <v>2</v>
      </c>
      <c r="C101" s="20">
        <v>46066</v>
      </c>
      <c r="D101" s="99" t="s">
        <v>2126</v>
      </c>
      <c r="E101" s="102" t="s">
        <v>2098</v>
      </c>
      <c r="F101" s="102" t="s">
        <v>1171</v>
      </c>
      <c r="G101" s="99" t="s">
        <v>2003</v>
      </c>
      <c r="H101" s="102" t="s">
        <v>2099</v>
      </c>
      <c r="I101" s="102" t="s">
        <v>466</v>
      </c>
      <c r="J101" s="103">
        <v>300</v>
      </c>
      <c r="K101" s="104">
        <v>55000</v>
      </c>
      <c r="L101" s="104">
        <v>16500000</v>
      </c>
      <c r="M101" s="115">
        <v>100</v>
      </c>
      <c r="N101" s="115">
        <f t="shared" si="2"/>
        <v>16500000</v>
      </c>
      <c r="O101" s="57">
        <f t="shared" si="3"/>
        <v>0</v>
      </c>
    </row>
    <row r="102" spans="1:15">
      <c r="A102" s="19">
        <v>2026</v>
      </c>
      <c r="B102" s="111">
        <v>2</v>
      </c>
      <c r="C102" s="20">
        <v>46073</v>
      </c>
      <c r="D102" s="99" t="s">
        <v>2127</v>
      </c>
      <c r="E102" s="102" t="s">
        <v>2055</v>
      </c>
      <c r="F102" s="102" t="s">
        <v>355</v>
      </c>
      <c r="G102" s="99" t="s">
        <v>2003</v>
      </c>
      <c r="H102" s="102" t="s">
        <v>2055</v>
      </c>
      <c r="I102" s="102" t="s">
        <v>21</v>
      </c>
      <c r="J102" s="103">
        <v>240</v>
      </c>
      <c r="K102" s="104">
        <v>18300</v>
      </c>
      <c r="L102" s="112">
        <v>4392000</v>
      </c>
      <c r="M102" s="115">
        <v>100</v>
      </c>
      <c r="N102" s="115">
        <f t="shared" si="2"/>
        <v>4392000</v>
      </c>
      <c r="O102" s="57">
        <f t="shared" si="3"/>
        <v>0</v>
      </c>
    </row>
    <row r="103" spans="1:15">
      <c r="A103" s="19">
        <v>2026</v>
      </c>
      <c r="B103" s="111">
        <v>3</v>
      </c>
      <c r="C103" s="20">
        <v>46091</v>
      </c>
      <c r="D103" s="99" t="s">
        <v>2128</v>
      </c>
      <c r="E103" s="102" t="s">
        <v>2072</v>
      </c>
      <c r="F103" s="102" t="s">
        <v>464</v>
      </c>
      <c r="G103" s="99" t="s">
        <v>2003</v>
      </c>
      <c r="H103" s="102" t="s">
        <v>2073</v>
      </c>
      <c r="I103" s="102" t="s">
        <v>466</v>
      </c>
      <c r="J103" s="103">
        <v>300</v>
      </c>
      <c r="K103" s="104">
        <v>55000</v>
      </c>
      <c r="L103" s="104">
        <v>16500000</v>
      </c>
      <c r="M103" s="115">
        <v>100</v>
      </c>
      <c r="N103" s="115">
        <f t="shared" si="2"/>
        <v>16500000</v>
      </c>
      <c r="O103" s="57">
        <f t="shared" si="3"/>
        <v>0</v>
      </c>
    </row>
    <row r="104" spans="1:15">
      <c r="A104" s="19">
        <v>2026</v>
      </c>
      <c r="B104" s="111">
        <v>3</v>
      </c>
      <c r="C104" s="20">
        <v>46094</v>
      </c>
      <c r="D104" s="99" t="s">
        <v>2129</v>
      </c>
      <c r="E104" s="102" t="s">
        <v>2078</v>
      </c>
      <c r="F104" s="102" t="s">
        <v>2079</v>
      </c>
      <c r="G104" s="99" t="s">
        <v>2003</v>
      </c>
      <c r="H104" s="102" t="s">
        <v>2080</v>
      </c>
      <c r="I104" s="102" t="s">
        <v>466</v>
      </c>
      <c r="J104" s="103">
        <v>300</v>
      </c>
      <c r="K104" s="104">
        <v>55000</v>
      </c>
      <c r="L104" s="104">
        <v>16500000</v>
      </c>
      <c r="M104" s="115">
        <v>100</v>
      </c>
      <c r="N104" s="115">
        <f t="shared" si="2"/>
        <v>16500000</v>
      </c>
      <c r="O104" s="57">
        <f t="shared" si="3"/>
        <v>0</v>
      </c>
    </row>
    <row r="105" spans="1:15">
      <c r="A105" s="19">
        <v>2026</v>
      </c>
      <c r="B105" s="111">
        <v>4</v>
      </c>
      <c r="C105" s="20">
        <v>46120</v>
      </c>
      <c r="D105" s="99" t="s">
        <v>2130</v>
      </c>
      <c r="E105" s="102" t="s">
        <v>2072</v>
      </c>
      <c r="F105" s="102" t="s">
        <v>464</v>
      </c>
      <c r="G105" s="99" t="s">
        <v>2003</v>
      </c>
      <c r="H105" s="102" t="s">
        <v>2073</v>
      </c>
      <c r="I105" s="102" t="s">
        <v>46</v>
      </c>
      <c r="J105" s="103">
        <v>500</v>
      </c>
      <c r="K105" s="104">
        <v>31000</v>
      </c>
      <c r="L105" s="104">
        <v>15500000</v>
      </c>
      <c r="M105" s="115">
        <v>100</v>
      </c>
      <c r="N105" s="115">
        <f t="shared" si="2"/>
        <v>15500000</v>
      </c>
      <c r="O105" s="57">
        <f t="shared" si="3"/>
        <v>0</v>
      </c>
    </row>
    <row r="106" spans="1:15">
      <c r="A106" s="19">
        <v>2026</v>
      </c>
      <c r="B106" s="111">
        <v>4</v>
      </c>
      <c r="C106" s="20">
        <v>46120</v>
      </c>
      <c r="D106" s="99" t="s">
        <v>2130</v>
      </c>
      <c r="E106" s="102" t="s">
        <v>2072</v>
      </c>
      <c r="F106" s="102" t="s">
        <v>464</v>
      </c>
      <c r="G106" s="99" t="s">
        <v>2003</v>
      </c>
      <c r="H106" s="102" t="s">
        <v>2073</v>
      </c>
      <c r="I106" s="102" t="s">
        <v>466</v>
      </c>
      <c r="J106" s="103">
        <v>500</v>
      </c>
      <c r="K106" s="104">
        <v>55000</v>
      </c>
      <c r="L106" s="104">
        <v>27500000</v>
      </c>
      <c r="M106" s="115">
        <v>100</v>
      </c>
      <c r="N106" s="115">
        <f t="shared" si="2"/>
        <v>27500000</v>
      </c>
      <c r="O106" s="57">
        <f t="shared" si="3"/>
        <v>0</v>
      </c>
    </row>
    <row r="107" spans="1:15">
      <c r="A107" s="19">
        <v>2026</v>
      </c>
      <c r="B107" s="111">
        <v>4</v>
      </c>
      <c r="C107" s="20">
        <v>46129</v>
      </c>
      <c r="D107" s="99" t="s">
        <v>2131</v>
      </c>
      <c r="E107" s="102" t="s">
        <v>2132</v>
      </c>
      <c r="F107" s="102" t="s">
        <v>704</v>
      </c>
      <c r="G107" s="99" t="s">
        <v>2003</v>
      </c>
      <c r="H107" s="102" t="s">
        <v>2133</v>
      </c>
      <c r="I107" s="102" t="s">
        <v>466</v>
      </c>
      <c r="J107" s="103">
        <v>20</v>
      </c>
      <c r="K107" s="104">
        <v>50000</v>
      </c>
      <c r="L107" s="104">
        <v>1000000</v>
      </c>
      <c r="M107" s="115">
        <v>0</v>
      </c>
      <c r="N107" s="115">
        <f t="shared" si="2"/>
        <v>0</v>
      </c>
      <c r="O107" s="57">
        <f t="shared" si="3"/>
        <v>1000000</v>
      </c>
    </row>
    <row r="108" spans="1:15">
      <c r="A108" s="19">
        <v>2026</v>
      </c>
      <c r="B108" s="111">
        <v>4</v>
      </c>
      <c r="C108" s="20">
        <v>46132</v>
      </c>
      <c r="D108" s="99" t="s">
        <v>2134</v>
      </c>
      <c r="E108" s="102" t="s">
        <v>2098</v>
      </c>
      <c r="F108" s="102" t="s">
        <v>1171</v>
      </c>
      <c r="G108" s="99" t="s">
        <v>2003</v>
      </c>
      <c r="H108" s="102" t="s">
        <v>2099</v>
      </c>
      <c r="I108" s="102" t="s">
        <v>466</v>
      </c>
      <c r="J108" s="103">
        <v>250</v>
      </c>
      <c r="K108" s="104">
        <v>55000</v>
      </c>
      <c r="L108" s="104">
        <v>13750000</v>
      </c>
      <c r="M108" s="115">
        <v>100</v>
      </c>
      <c r="N108" s="115">
        <f t="shared" si="2"/>
        <v>13750000</v>
      </c>
      <c r="O108" s="57">
        <f t="shared" si="3"/>
        <v>0</v>
      </c>
    </row>
    <row r="109" spans="1:15">
      <c r="A109" s="19">
        <v>2026</v>
      </c>
      <c r="B109" s="111">
        <v>4</v>
      </c>
      <c r="C109" s="20">
        <v>46139</v>
      </c>
      <c r="D109" s="99" t="s">
        <v>2135</v>
      </c>
      <c r="E109" s="102" t="s">
        <v>2078</v>
      </c>
      <c r="F109" s="102" t="s">
        <v>2079</v>
      </c>
      <c r="G109" s="99" t="s">
        <v>2003</v>
      </c>
      <c r="H109" s="102" t="s">
        <v>2080</v>
      </c>
      <c r="I109" s="102" t="s">
        <v>46</v>
      </c>
      <c r="J109" s="103">
        <v>400</v>
      </c>
      <c r="K109" s="104">
        <v>31000</v>
      </c>
      <c r="L109" s="104">
        <v>12400000</v>
      </c>
      <c r="M109" s="115">
        <v>0</v>
      </c>
      <c r="N109" s="115">
        <f t="shared" si="2"/>
        <v>0</v>
      </c>
      <c r="O109" s="57">
        <f t="shared" si="3"/>
        <v>12400000</v>
      </c>
    </row>
    <row r="110" spans="1:15">
      <c r="A110" s="19">
        <v>2026</v>
      </c>
      <c r="B110" s="111">
        <v>4</v>
      </c>
      <c r="C110" s="20">
        <v>46139</v>
      </c>
      <c r="D110" s="99" t="s">
        <v>2135</v>
      </c>
      <c r="E110" s="102" t="s">
        <v>2078</v>
      </c>
      <c r="F110" s="102" t="s">
        <v>2079</v>
      </c>
      <c r="G110" s="99" t="s">
        <v>2003</v>
      </c>
      <c r="H110" s="102" t="s">
        <v>2080</v>
      </c>
      <c r="I110" s="102" t="s">
        <v>466</v>
      </c>
      <c r="J110" s="103">
        <v>300</v>
      </c>
      <c r="K110" s="104">
        <v>55000</v>
      </c>
      <c r="L110" s="104">
        <v>16500000</v>
      </c>
      <c r="M110" s="115">
        <v>0</v>
      </c>
      <c r="N110" s="115">
        <f t="shared" si="2"/>
        <v>0</v>
      </c>
      <c r="O110" s="57">
        <f t="shared" si="3"/>
        <v>16500000</v>
      </c>
    </row>
    <row r="111" spans="1:15">
      <c r="A111" s="19">
        <v>2026</v>
      </c>
      <c r="B111" s="111">
        <v>4</v>
      </c>
      <c r="C111" s="20">
        <v>46139</v>
      </c>
      <c r="D111" s="99" t="s">
        <v>2135</v>
      </c>
      <c r="E111" s="102" t="s">
        <v>2078</v>
      </c>
      <c r="F111" s="102" t="s">
        <v>2079</v>
      </c>
      <c r="G111" s="99" t="s">
        <v>2003</v>
      </c>
      <c r="H111" s="102" t="s">
        <v>2080</v>
      </c>
      <c r="I111" s="102" t="s">
        <v>38</v>
      </c>
      <c r="J111" s="103">
        <v>200</v>
      </c>
      <c r="K111" s="104">
        <v>33000</v>
      </c>
      <c r="L111" s="104">
        <v>6600000</v>
      </c>
      <c r="M111" s="115">
        <v>0</v>
      </c>
      <c r="N111" s="115">
        <f t="shared" si="2"/>
        <v>0</v>
      </c>
      <c r="O111" s="57">
        <f t="shared" si="3"/>
        <v>6600000</v>
      </c>
    </row>
    <row r="112" spans="1:15">
      <c r="A112" s="19">
        <v>2026</v>
      </c>
      <c r="B112" s="111">
        <v>5</v>
      </c>
      <c r="C112" s="20">
        <v>46150</v>
      </c>
      <c r="D112" s="99" t="s">
        <v>2136</v>
      </c>
      <c r="E112" s="102" t="s">
        <v>2072</v>
      </c>
      <c r="F112" s="102" t="s">
        <v>464</v>
      </c>
      <c r="G112" s="99" t="s">
        <v>2003</v>
      </c>
      <c r="H112" s="102" t="s">
        <v>2073</v>
      </c>
      <c r="I112" s="102" t="s">
        <v>46</v>
      </c>
      <c r="J112" s="103">
        <v>600</v>
      </c>
      <c r="K112" s="104">
        <v>31000</v>
      </c>
      <c r="L112" s="104">
        <v>18600000</v>
      </c>
      <c r="M112" s="115">
        <v>100</v>
      </c>
      <c r="N112" s="115">
        <f t="shared" si="2"/>
        <v>18600000</v>
      </c>
      <c r="O112" s="57">
        <f t="shared" si="3"/>
        <v>0</v>
      </c>
    </row>
    <row r="113" spans="1:15">
      <c r="A113" s="19">
        <v>2025</v>
      </c>
      <c r="B113" s="111">
        <v>2</v>
      </c>
      <c r="C113" s="20">
        <v>45698</v>
      </c>
      <c r="D113" s="99" t="s">
        <v>1984</v>
      </c>
      <c r="E113" s="102" t="s">
        <v>1985</v>
      </c>
      <c r="F113" s="102" t="s">
        <v>1986</v>
      </c>
      <c r="G113" s="99" t="s">
        <v>1987</v>
      </c>
      <c r="H113" s="102" t="s">
        <v>16</v>
      </c>
      <c r="I113" s="102" t="s">
        <v>21</v>
      </c>
      <c r="J113" s="103">
        <v>500</v>
      </c>
      <c r="K113" s="104">
        <v>18300</v>
      </c>
      <c r="L113" s="112">
        <v>9150000</v>
      </c>
      <c r="M113" s="115">
        <v>100</v>
      </c>
      <c r="N113" s="115">
        <f t="shared" si="2"/>
        <v>9150000</v>
      </c>
      <c r="O113" s="57">
        <f t="shared" si="3"/>
        <v>0</v>
      </c>
    </row>
    <row r="114" spans="1:15">
      <c r="A114" s="19">
        <v>2025</v>
      </c>
      <c r="B114" s="111">
        <v>12</v>
      </c>
      <c r="C114" s="20">
        <v>45994</v>
      </c>
      <c r="D114" s="99" t="s">
        <v>1988</v>
      </c>
      <c r="E114" s="102" t="s">
        <v>1989</v>
      </c>
      <c r="F114" s="102" t="s">
        <v>36</v>
      </c>
      <c r="G114" s="99" t="s">
        <v>1987</v>
      </c>
      <c r="H114" s="102" t="s">
        <v>1989</v>
      </c>
      <c r="I114" s="102" t="s">
        <v>46</v>
      </c>
      <c r="J114" s="103">
        <v>40</v>
      </c>
      <c r="K114" s="104">
        <v>18300</v>
      </c>
      <c r="L114" s="104">
        <v>732000</v>
      </c>
      <c r="M114" s="115">
        <v>100</v>
      </c>
      <c r="N114" s="115">
        <f t="shared" si="2"/>
        <v>732000</v>
      </c>
      <c r="O114" s="57">
        <f t="shared" si="3"/>
        <v>0</v>
      </c>
    </row>
    <row r="115" spans="1:15">
      <c r="A115" s="19">
        <v>2025</v>
      </c>
      <c r="B115" s="111">
        <v>12</v>
      </c>
      <c r="C115" s="20">
        <v>45994</v>
      </c>
      <c r="D115" s="99" t="s">
        <v>1988</v>
      </c>
      <c r="E115" s="102" t="s">
        <v>1989</v>
      </c>
      <c r="F115" s="102" t="s">
        <v>36</v>
      </c>
      <c r="G115" s="99" t="s">
        <v>1987</v>
      </c>
      <c r="H115" s="102" t="s">
        <v>1989</v>
      </c>
      <c r="I115" s="102" t="s">
        <v>41</v>
      </c>
      <c r="J115" s="103">
        <v>80</v>
      </c>
      <c r="K115" s="104">
        <v>20000</v>
      </c>
      <c r="L115" s="104">
        <v>1600000</v>
      </c>
      <c r="M115" s="115">
        <v>100</v>
      </c>
      <c r="N115" s="115">
        <f t="shared" si="2"/>
        <v>1600000</v>
      </c>
      <c r="O115" s="57">
        <f t="shared" si="3"/>
        <v>0</v>
      </c>
    </row>
    <row r="116" spans="1:15">
      <c r="A116" s="19">
        <v>2025</v>
      </c>
      <c r="B116" s="111">
        <v>12</v>
      </c>
      <c r="C116" s="20">
        <v>45994</v>
      </c>
      <c r="D116" s="99" t="s">
        <v>1988</v>
      </c>
      <c r="E116" s="102" t="s">
        <v>1989</v>
      </c>
      <c r="F116" s="102" t="s">
        <v>36</v>
      </c>
      <c r="G116" s="99" t="s">
        <v>1987</v>
      </c>
      <c r="H116" s="102" t="s">
        <v>1989</v>
      </c>
      <c r="I116" s="102" t="s">
        <v>38</v>
      </c>
      <c r="J116" s="103">
        <v>80</v>
      </c>
      <c r="K116" s="104">
        <v>16500</v>
      </c>
      <c r="L116" s="104">
        <v>1320000</v>
      </c>
      <c r="M116" s="115">
        <v>100</v>
      </c>
      <c r="N116" s="115">
        <f t="shared" si="2"/>
        <v>1320000</v>
      </c>
      <c r="O116" s="57">
        <f t="shared" si="3"/>
        <v>0</v>
      </c>
    </row>
    <row r="117" spans="1:15">
      <c r="A117" s="19">
        <v>2026</v>
      </c>
      <c r="B117" s="111">
        <v>1</v>
      </c>
      <c r="C117" s="20">
        <v>46028</v>
      </c>
      <c r="D117" s="99" t="s">
        <v>1990</v>
      </c>
      <c r="E117" s="102" t="s">
        <v>1991</v>
      </c>
      <c r="F117" s="102" t="s">
        <v>44</v>
      </c>
      <c r="G117" s="99" t="s">
        <v>1987</v>
      </c>
      <c r="H117" s="102" t="s">
        <v>1991</v>
      </c>
      <c r="I117" s="102" t="s">
        <v>46</v>
      </c>
      <c r="J117" s="103">
        <v>20</v>
      </c>
      <c r="K117" s="104">
        <v>18300</v>
      </c>
      <c r="L117" s="104">
        <v>366000</v>
      </c>
      <c r="M117" s="115">
        <v>100</v>
      </c>
      <c r="N117" s="115">
        <f t="shared" si="2"/>
        <v>366000</v>
      </c>
      <c r="O117" s="57">
        <f t="shared" si="3"/>
        <v>0</v>
      </c>
    </row>
    <row r="118" spans="1:15">
      <c r="A118" s="19">
        <v>2026</v>
      </c>
      <c r="B118" s="111">
        <v>1</v>
      </c>
      <c r="C118" s="20">
        <v>46045</v>
      </c>
      <c r="D118" s="99" t="s">
        <v>1992</v>
      </c>
      <c r="E118" s="102" t="s">
        <v>1989</v>
      </c>
      <c r="F118" s="102" t="s">
        <v>36</v>
      </c>
      <c r="G118" s="99" t="s">
        <v>1987</v>
      </c>
      <c r="H118" s="102" t="s">
        <v>1989</v>
      </c>
      <c r="I118" s="102" t="s">
        <v>41</v>
      </c>
      <c r="J118" s="103">
        <v>30</v>
      </c>
      <c r="K118" s="104">
        <v>40000</v>
      </c>
      <c r="L118" s="104">
        <v>1200000</v>
      </c>
      <c r="M118" s="115">
        <v>100</v>
      </c>
      <c r="N118" s="115">
        <f t="shared" si="2"/>
        <v>1200000</v>
      </c>
      <c r="O118" s="57">
        <f t="shared" si="3"/>
        <v>0</v>
      </c>
    </row>
    <row r="119" spans="1:15">
      <c r="A119" s="19">
        <v>2026</v>
      </c>
      <c r="B119" s="111">
        <v>1</v>
      </c>
      <c r="C119" s="20">
        <v>46045</v>
      </c>
      <c r="D119" s="99" t="s">
        <v>1992</v>
      </c>
      <c r="E119" s="102" t="s">
        <v>1989</v>
      </c>
      <c r="F119" s="102" t="s">
        <v>36</v>
      </c>
      <c r="G119" s="99" t="s">
        <v>1987</v>
      </c>
      <c r="H119" s="102" t="s">
        <v>1989</v>
      </c>
      <c r="I119" s="102" t="s">
        <v>38</v>
      </c>
      <c r="J119" s="103">
        <v>20</v>
      </c>
      <c r="K119" s="104">
        <v>33000</v>
      </c>
      <c r="L119" s="104">
        <v>660000</v>
      </c>
      <c r="M119" s="115">
        <v>100</v>
      </c>
      <c r="N119" s="115">
        <f t="shared" si="2"/>
        <v>660000</v>
      </c>
      <c r="O119" s="57">
        <f t="shared" si="3"/>
        <v>0</v>
      </c>
    </row>
    <row r="120" spans="1:15">
      <c r="A120" s="19">
        <v>2026</v>
      </c>
      <c r="B120" s="111">
        <v>1</v>
      </c>
      <c r="C120" s="20">
        <v>46052</v>
      </c>
      <c r="D120" s="99" t="s">
        <v>1993</v>
      </c>
      <c r="E120" s="102" t="s">
        <v>1989</v>
      </c>
      <c r="F120" s="102" t="s">
        <v>36</v>
      </c>
      <c r="G120" s="99" t="s">
        <v>1987</v>
      </c>
      <c r="H120" s="102" t="s">
        <v>1989</v>
      </c>
      <c r="I120" s="102" t="s">
        <v>41</v>
      </c>
      <c r="J120" s="103">
        <v>20</v>
      </c>
      <c r="K120" s="104">
        <v>40000</v>
      </c>
      <c r="L120" s="104">
        <v>800000</v>
      </c>
      <c r="M120" s="115">
        <v>100</v>
      </c>
      <c r="N120" s="115">
        <f t="shared" si="2"/>
        <v>800000</v>
      </c>
      <c r="O120" s="57">
        <f t="shared" si="3"/>
        <v>0</v>
      </c>
    </row>
    <row r="121" spans="1:15">
      <c r="A121" s="19">
        <v>2026</v>
      </c>
      <c r="B121" s="111">
        <v>2</v>
      </c>
      <c r="C121" s="20">
        <v>46071</v>
      </c>
      <c r="D121" s="99" t="s">
        <v>1994</v>
      </c>
      <c r="E121" s="102" t="s">
        <v>1989</v>
      </c>
      <c r="F121" s="102" t="s">
        <v>36</v>
      </c>
      <c r="G121" s="99" t="s">
        <v>1987</v>
      </c>
      <c r="H121" s="102" t="s">
        <v>1989</v>
      </c>
      <c r="I121" s="102" t="s">
        <v>38</v>
      </c>
      <c r="J121" s="103">
        <v>40</v>
      </c>
      <c r="K121" s="104">
        <v>33000</v>
      </c>
      <c r="L121" s="104">
        <v>1320000</v>
      </c>
      <c r="M121" s="115">
        <v>100</v>
      </c>
      <c r="N121" s="115">
        <f t="shared" si="2"/>
        <v>1320000</v>
      </c>
      <c r="O121" s="57">
        <f t="shared" si="3"/>
        <v>0</v>
      </c>
    </row>
    <row r="122" spans="1:15">
      <c r="A122" s="19">
        <v>2026</v>
      </c>
      <c r="B122" s="111">
        <v>3</v>
      </c>
      <c r="C122" s="20">
        <v>46094</v>
      </c>
      <c r="D122" s="99" t="s">
        <v>1995</v>
      </c>
      <c r="E122" s="102" t="s">
        <v>1989</v>
      </c>
      <c r="F122" s="102" t="s">
        <v>36</v>
      </c>
      <c r="G122" s="99" t="s">
        <v>1987</v>
      </c>
      <c r="H122" s="102" t="s">
        <v>1989</v>
      </c>
      <c r="I122" s="102" t="s">
        <v>41</v>
      </c>
      <c r="J122" s="103">
        <v>40</v>
      </c>
      <c r="K122" s="104">
        <v>40000</v>
      </c>
      <c r="L122" s="104">
        <v>1600000</v>
      </c>
      <c r="M122" s="115">
        <v>100</v>
      </c>
      <c r="N122" s="115">
        <f t="shared" si="2"/>
        <v>1600000</v>
      </c>
      <c r="O122" s="57">
        <f t="shared" si="3"/>
        <v>0</v>
      </c>
    </row>
    <row r="123" spans="1:15">
      <c r="A123" s="19">
        <v>2026</v>
      </c>
      <c r="B123" s="111">
        <v>3</v>
      </c>
      <c r="C123" s="20">
        <v>46097</v>
      </c>
      <c r="D123" s="99" t="s">
        <v>1996</v>
      </c>
      <c r="E123" s="102" t="s">
        <v>1989</v>
      </c>
      <c r="F123" s="102" t="s">
        <v>36</v>
      </c>
      <c r="G123" s="99" t="s">
        <v>1987</v>
      </c>
      <c r="H123" s="102" t="s">
        <v>1989</v>
      </c>
      <c r="I123" s="102" t="s">
        <v>41</v>
      </c>
      <c r="J123" s="103">
        <v>20</v>
      </c>
      <c r="K123" s="104">
        <v>40000</v>
      </c>
      <c r="L123" s="104">
        <v>800000</v>
      </c>
      <c r="M123" s="115">
        <v>100</v>
      </c>
      <c r="N123" s="115">
        <f t="shared" si="2"/>
        <v>800000</v>
      </c>
      <c r="O123" s="57">
        <f t="shared" si="3"/>
        <v>0</v>
      </c>
    </row>
    <row r="124" spans="1:15">
      <c r="A124" s="19">
        <v>2026</v>
      </c>
      <c r="B124" s="111">
        <v>4</v>
      </c>
      <c r="C124" s="20">
        <v>46115</v>
      </c>
      <c r="D124" s="99" t="s">
        <v>1997</v>
      </c>
      <c r="E124" s="102" t="s">
        <v>1989</v>
      </c>
      <c r="F124" s="102" t="s">
        <v>36</v>
      </c>
      <c r="G124" s="99" t="s">
        <v>1987</v>
      </c>
      <c r="H124" s="102" t="s">
        <v>1989</v>
      </c>
      <c r="I124" s="102" t="s">
        <v>41</v>
      </c>
      <c r="J124" s="103">
        <v>20</v>
      </c>
      <c r="K124" s="104">
        <v>40000</v>
      </c>
      <c r="L124" s="104">
        <v>800000</v>
      </c>
      <c r="M124" s="115">
        <v>100</v>
      </c>
      <c r="N124" s="115">
        <f t="shared" si="2"/>
        <v>800000</v>
      </c>
      <c r="O124" s="57">
        <f t="shared" si="3"/>
        <v>0</v>
      </c>
    </row>
    <row r="125" spans="1:15">
      <c r="A125" s="19">
        <v>2026</v>
      </c>
      <c r="B125" s="111">
        <v>4</v>
      </c>
      <c r="C125" s="20">
        <v>46127</v>
      </c>
      <c r="D125" s="99" t="s">
        <v>1998</v>
      </c>
      <c r="E125" s="102" t="s">
        <v>1989</v>
      </c>
      <c r="F125" s="102" t="s">
        <v>36</v>
      </c>
      <c r="G125" s="99" t="s">
        <v>1987</v>
      </c>
      <c r="H125" s="102" t="s">
        <v>1989</v>
      </c>
      <c r="I125" s="102" t="s">
        <v>41</v>
      </c>
      <c r="J125" s="103">
        <v>10</v>
      </c>
      <c r="K125" s="104">
        <v>40000</v>
      </c>
      <c r="L125" s="104">
        <v>400000</v>
      </c>
      <c r="M125" s="115">
        <v>100</v>
      </c>
      <c r="N125" s="115">
        <f t="shared" si="2"/>
        <v>400000</v>
      </c>
      <c r="O125" s="57">
        <f t="shared" si="3"/>
        <v>0</v>
      </c>
    </row>
    <row r="126" spans="1:15">
      <c r="A126" s="19">
        <v>2026</v>
      </c>
      <c r="B126" s="111">
        <v>4</v>
      </c>
      <c r="C126" s="20">
        <v>46127</v>
      </c>
      <c r="D126" s="99" t="s">
        <v>1998</v>
      </c>
      <c r="E126" s="102" t="s">
        <v>1989</v>
      </c>
      <c r="F126" s="102" t="s">
        <v>36</v>
      </c>
      <c r="G126" s="99" t="s">
        <v>1987</v>
      </c>
      <c r="H126" s="102" t="s">
        <v>1989</v>
      </c>
      <c r="I126" s="102" t="s">
        <v>38</v>
      </c>
      <c r="J126" s="103">
        <v>10</v>
      </c>
      <c r="K126" s="104">
        <v>33000</v>
      </c>
      <c r="L126" s="104">
        <v>330000</v>
      </c>
      <c r="M126" s="115">
        <v>100</v>
      </c>
      <c r="N126" s="115">
        <f t="shared" si="2"/>
        <v>330000</v>
      </c>
      <c r="O126" s="57">
        <f t="shared" si="3"/>
        <v>0</v>
      </c>
    </row>
    <row r="127" spans="1:15">
      <c r="A127" s="19">
        <v>2026</v>
      </c>
      <c r="B127" s="111">
        <v>5</v>
      </c>
      <c r="C127" s="20">
        <v>46154</v>
      </c>
      <c r="D127" s="99" t="s">
        <v>1999</v>
      </c>
      <c r="E127" s="102" t="s">
        <v>1989</v>
      </c>
      <c r="F127" s="102" t="s">
        <v>36</v>
      </c>
      <c r="G127" s="99" t="s">
        <v>1987</v>
      </c>
      <c r="H127" s="102" t="s">
        <v>1989</v>
      </c>
      <c r="I127" s="102" t="s">
        <v>46</v>
      </c>
      <c r="J127" s="103">
        <v>40</v>
      </c>
      <c r="K127" s="104">
        <v>31000</v>
      </c>
      <c r="L127" s="104">
        <v>1240000</v>
      </c>
      <c r="M127" s="115">
        <v>100</v>
      </c>
      <c r="N127" s="115">
        <f t="shared" si="2"/>
        <v>1240000</v>
      </c>
      <c r="O127" s="57">
        <f t="shared" si="3"/>
        <v>0</v>
      </c>
    </row>
    <row r="128" spans="1:15">
      <c r="A128" s="19">
        <v>2025</v>
      </c>
      <c r="B128" s="111">
        <v>10</v>
      </c>
      <c r="C128" s="20">
        <v>45940</v>
      </c>
      <c r="D128" s="99" t="s">
        <v>1774</v>
      </c>
      <c r="E128" s="102" t="s">
        <v>16</v>
      </c>
      <c r="F128" s="102" t="s">
        <v>281</v>
      </c>
      <c r="G128" s="99" t="s">
        <v>1775</v>
      </c>
      <c r="H128" s="102" t="s">
        <v>281</v>
      </c>
      <c r="I128" s="102" t="s">
        <v>466</v>
      </c>
      <c r="J128" s="103">
        <v>50</v>
      </c>
      <c r="K128" s="104">
        <v>50000</v>
      </c>
      <c r="L128" s="104">
        <v>2500000</v>
      </c>
      <c r="M128" s="115">
        <v>0</v>
      </c>
      <c r="N128" s="115">
        <f t="shared" si="2"/>
        <v>0</v>
      </c>
      <c r="O128" s="57">
        <f t="shared" si="3"/>
        <v>2500000</v>
      </c>
    </row>
    <row r="129" spans="1:15">
      <c r="A129" s="19">
        <v>2025</v>
      </c>
      <c r="B129" s="111">
        <v>10</v>
      </c>
      <c r="C129" s="20">
        <v>45940</v>
      </c>
      <c r="D129" s="99" t="s">
        <v>1774</v>
      </c>
      <c r="E129" s="102" t="s">
        <v>16</v>
      </c>
      <c r="F129" s="102" t="s">
        <v>281</v>
      </c>
      <c r="G129" s="99" t="s">
        <v>1775</v>
      </c>
      <c r="H129" s="102" t="s">
        <v>281</v>
      </c>
      <c r="I129" s="102" t="s">
        <v>38</v>
      </c>
      <c r="J129" s="103">
        <v>50</v>
      </c>
      <c r="K129" s="104">
        <v>33000</v>
      </c>
      <c r="L129" s="104">
        <v>1650000</v>
      </c>
      <c r="M129" s="115">
        <v>0</v>
      </c>
      <c r="N129" s="115">
        <f t="shared" si="2"/>
        <v>0</v>
      </c>
      <c r="O129" s="57">
        <f t="shared" si="3"/>
        <v>1650000</v>
      </c>
    </row>
    <row r="130" spans="1:15">
      <c r="A130" s="19">
        <v>2025</v>
      </c>
      <c r="B130" s="111">
        <v>10</v>
      </c>
      <c r="C130" s="20">
        <v>45943</v>
      </c>
      <c r="D130" s="99" t="s">
        <v>1776</v>
      </c>
      <c r="E130" s="102" t="s">
        <v>1777</v>
      </c>
      <c r="F130" s="102" t="s">
        <v>864</v>
      </c>
      <c r="G130" s="99" t="s">
        <v>1775</v>
      </c>
      <c r="H130" s="102" t="s">
        <v>864</v>
      </c>
      <c r="I130" s="102" t="s">
        <v>41</v>
      </c>
      <c r="J130" s="103">
        <v>300</v>
      </c>
      <c r="K130" s="104">
        <v>38000</v>
      </c>
      <c r="L130" s="104">
        <v>11400000</v>
      </c>
      <c r="M130" s="115">
        <v>100</v>
      </c>
      <c r="N130" s="115">
        <f t="shared" si="2"/>
        <v>11400000</v>
      </c>
      <c r="O130" s="57">
        <f t="shared" si="3"/>
        <v>0</v>
      </c>
    </row>
    <row r="131" spans="1:15">
      <c r="A131" s="19">
        <v>2025</v>
      </c>
      <c r="B131" s="111">
        <v>10</v>
      </c>
      <c r="C131" s="20">
        <v>45943</v>
      </c>
      <c r="D131" s="99" t="s">
        <v>1776</v>
      </c>
      <c r="E131" s="102" t="s">
        <v>1777</v>
      </c>
      <c r="F131" s="102" t="s">
        <v>864</v>
      </c>
      <c r="G131" s="99" t="s">
        <v>1775</v>
      </c>
      <c r="H131" s="102" t="s">
        <v>864</v>
      </c>
      <c r="I131" s="102" t="s">
        <v>466</v>
      </c>
      <c r="J131" s="103">
        <v>300</v>
      </c>
      <c r="K131" s="104">
        <v>48000</v>
      </c>
      <c r="L131" s="104">
        <v>14400000</v>
      </c>
      <c r="M131" s="115">
        <v>100</v>
      </c>
      <c r="N131" s="115">
        <f t="shared" si="2"/>
        <v>14400000</v>
      </c>
      <c r="O131" s="57">
        <f t="shared" si="3"/>
        <v>0</v>
      </c>
    </row>
    <row r="132" spans="1:15">
      <c r="A132" s="19">
        <v>2025</v>
      </c>
      <c r="B132" s="111">
        <v>10</v>
      </c>
      <c r="C132" s="20">
        <v>45944</v>
      </c>
      <c r="D132" s="99" t="s">
        <v>1778</v>
      </c>
      <c r="E132" s="102" t="s">
        <v>1779</v>
      </c>
      <c r="F132" s="102" t="s">
        <v>1280</v>
      </c>
      <c r="G132" s="99" t="s">
        <v>1775</v>
      </c>
      <c r="H132" s="102" t="s">
        <v>1280</v>
      </c>
      <c r="I132" s="102" t="s">
        <v>466</v>
      </c>
      <c r="J132" s="103">
        <v>50</v>
      </c>
      <c r="K132" s="104">
        <v>50000</v>
      </c>
      <c r="L132" s="104">
        <v>2500000</v>
      </c>
      <c r="M132" s="115">
        <v>100</v>
      </c>
      <c r="N132" s="115">
        <f t="shared" ref="N132:N195" si="4">+L132*M132%</f>
        <v>2500000</v>
      </c>
      <c r="O132" s="57">
        <f t="shared" ref="O132:O195" si="5">L132-N132</f>
        <v>0</v>
      </c>
    </row>
    <row r="133" spans="1:15">
      <c r="A133" s="19">
        <v>2025</v>
      </c>
      <c r="B133" s="111">
        <v>10</v>
      </c>
      <c r="C133" s="20">
        <v>45944</v>
      </c>
      <c r="D133" s="99" t="s">
        <v>1780</v>
      </c>
      <c r="E133" s="102" t="s">
        <v>1781</v>
      </c>
      <c r="F133" s="102" t="s">
        <v>875</v>
      </c>
      <c r="G133" s="99" t="s">
        <v>1775</v>
      </c>
      <c r="H133" s="102" t="s">
        <v>875</v>
      </c>
      <c r="I133" s="102" t="s">
        <v>466</v>
      </c>
      <c r="J133" s="103">
        <v>80</v>
      </c>
      <c r="K133" s="104">
        <v>50000</v>
      </c>
      <c r="L133" s="104">
        <v>4000000</v>
      </c>
      <c r="M133" s="115">
        <v>100</v>
      </c>
      <c r="N133" s="115">
        <f t="shared" si="4"/>
        <v>4000000</v>
      </c>
      <c r="O133" s="57">
        <f t="shared" si="5"/>
        <v>0</v>
      </c>
    </row>
    <row r="134" spans="1:15">
      <c r="A134" s="19">
        <v>2025</v>
      </c>
      <c r="B134" s="111">
        <v>10</v>
      </c>
      <c r="C134" s="20">
        <v>45944</v>
      </c>
      <c r="D134" s="99" t="s">
        <v>1780</v>
      </c>
      <c r="E134" s="102" t="s">
        <v>1781</v>
      </c>
      <c r="F134" s="102" t="s">
        <v>875</v>
      </c>
      <c r="G134" s="99" t="s">
        <v>1775</v>
      </c>
      <c r="H134" s="102" t="s">
        <v>875</v>
      </c>
      <c r="I134" s="102" t="s">
        <v>38</v>
      </c>
      <c r="J134" s="103">
        <v>100</v>
      </c>
      <c r="K134" s="104">
        <v>33000</v>
      </c>
      <c r="L134" s="104">
        <v>3300000</v>
      </c>
      <c r="M134" s="115">
        <v>100</v>
      </c>
      <c r="N134" s="115">
        <f t="shared" si="4"/>
        <v>3300000</v>
      </c>
      <c r="O134" s="57">
        <f t="shared" si="5"/>
        <v>0</v>
      </c>
    </row>
    <row r="135" spans="1:15">
      <c r="A135" s="19">
        <v>2025</v>
      </c>
      <c r="B135" s="111">
        <v>10</v>
      </c>
      <c r="C135" s="20">
        <v>45947</v>
      </c>
      <c r="D135" s="99" t="s">
        <v>1782</v>
      </c>
      <c r="E135" s="102" t="s">
        <v>1783</v>
      </c>
      <c r="F135" s="102" t="s">
        <v>1272</v>
      </c>
      <c r="G135" s="99" t="s">
        <v>1775</v>
      </c>
      <c r="H135" s="102" t="s">
        <v>1272</v>
      </c>
      <c r="I135" s="102" t="s">
        <v>38</v>
      </c>
      <c r="J135" s="103">
        <v>40</v>
      </c>
      <c r="K135" s="104">
        <v>33000</v>
      </c>
      <c r="L135" s="104">
        <v>1320000</v>
      </c>
      <c r="M135" s="115">
        <v>31</v>
      </c>
      <c r="N135" s="115">
        <f t="shared" si="4"/>
        <v>409200</v>
      </c>
      <c r="O135" s="57">
        <f t="shared" si="5"/>
        <v>910800</v>
      </c>
    </row>
    <row r="136" spans="1:15">
      <c r="A136" s="19">
        <v>2025</v>
      </c>
      <c r="B136" s="111">
        <v>10</v>
      </c>
      <c r="C136" s="20">
        <v>45947</v>
      </c>
      <c r="D136" s="99" t="s">
        <v>1782</v>
      </c>
      <c r="E136" s="102" t="s">
        <v>1783</v>
      </c>
      <c r="F136" s="102" t="s">
        <v>1272</v>
      </c>
      <c r="G136" s="99" t="s">
        <v>1775</v>
      </c>
      <c r="H136" s="102" t="s">
        <v>1272</v>
      </c>
      <c r="I136" s="102" t="s">
        <v>41</v>
      </c>
      <c r="J136" s="103">
        <v>40</v>
      </c>
      <c r="K136" s="104">
        <v>40000</v>
      </c>
      <c r="L136" s="104">
        <v>1600000</v>
      </c>
      <c r="M136" s="115">
        <v>31</v>
      </c>
      <c r="N136" s="115">
        <f t="shared" si="4"/>
        <v>496000</v>
      </c>
      <c r="O136" s="57">
        <f t="shared" si="5"/>
        <v>1104000</v>
      </c>
    </row>
    <row r="137" spans="1:15">
      <c r="A137" s="19">
        <v>2025</v>
      </c>
      <c r="B137" s="111">
        <v>10</v>
      </c>
      <c r="C137" s="20">
        <v>45951</v>
      </c>
      <c r="D137" s="99" t="s">
        <v>1784</v>
      </c>
      <c r="E137" s="102" t="s">
        <v>16</v>
      </c>
      <c r="F137" s="102" t="s">
        <v>281</v>
      </c>
      <c r="G137" s="99" t="s">
        <v>1775</v>
      </c>
      <c r="H137" s="102" t="s">
        <v>281</v>
      </c>
      <c r="I137" s="102" t="s">
        <v>41</v>
      </c>
      <c r="J137" s="103">
        <v>50</v>
      </c>
      <c r="K137" s="104">
        <v>40000</v>
      </c>
      <c r="L137" s="104">
        <v>2000000</v>
      </c>
      <c r="M137" s="115">
        <v>100</v>
      </c>
      <c r="N137" s="115">
        <f t="shared" si="4"/>
        <v>2000000</v>
      </c>
      <c r="O137" s="57">
        <f t="shared" si="5"/>
        <v>0</v>
      </c>
    </row>
    <row r="138" spans="1:15">
      <c r="A138" s="19">
        <v>2025</v>
      </c>
      <c r="B138" s="111">
        <v>10</v>
      </c>
      <c r="C138" s="20">
        <v>45951</v>
      </c>
      <c r="D138" s="99" t="s">
        <v>1785</v>
      </c>
      <c r="E138" s="102" t="s">
        <v>1777</v>
      </c>
      <c r="F138" s="102" t="s">
        <v>864</v>
      </c>
      <c r="G138" s="99" t="s">
        <v>1775</v>
      </c>
      <c r="H138" s="102" t="s">
        <v>864</v>
      </c>
      <c r="I138" s="102" t="s">
        <v>41</v>
      </c>
      <c r="J138" s="103">
        <v>200</v>
      </c>
      <c r="K138" s="104">
        <v>38000</v>
      </c>
      <c r="L138" s="104">
        <v>7600000</v>
      </c>
      <c r="M138" s="115">
        <v>0</v>
      </c>
      <c r="N138" s="115">
        <f t="shared" si="4"/>
        <v>0</v>
      </c>
      <c r="O138" s="57">
        <f t="shared" si="5"/>
        <v>7600000</v>
      </c>
    </row>
    <row r="139" spans="1:15">
      <c r="A139" s="19">
        <v>2025</v>
      </c>
      <c r="B139" s="111">
        <v>10</v>
      </c>
      <c r="C139" s="20">
        <v>45951</v>
      </c>
      <c r="D139" s="99" t="s">
        <v>1785</v>
      </c>
      <c r="E139" s="102" t="s">
        <v>1777</v>
      </c>
      <c r="F139" s="102" t="s">
        <v>864</v>
      </c>
      <c r="G139" s="99" t="s">
        <v>1775</v>
      </c>
      <c r="H139" s="102" t="s">
        <v>864</v>
      </c>
      <c r="I139" s="102" t="s">
        <v>466</v>
      </c>
      <c r="J139" s="103">
        <v>20</v>
      </c>
      <c r="K139" s="104">
        <v>48000</v>
      </c>
      <c r="L139" s="104">
        <v>960000</v>
      </c>
      <c r="M139" s="115">
        <v>0</v>
      </c>
      <c r="N139" s="115">
        <f t="shared" si="4"/>
        <v>0</v>
      </c>
      <c r="O139" s="57">
        <f t="shared" si="5"/>
        <v>960000</v>
      </c>
    </row>
    <row r="140" spans="1:15">
      <c r="A140" s="19">
        <v>2025</v>
      </c>
      <c r="B140" s="111">
        <v>10</v>
      </c>
      <c r="C140" s="20">
        <v>45951</v>
      </c>
      <c r="D140" s="99" t="s">
        <v>1786</v>
      </c>
      <c r="E140" s="102" t="s">
        <v>1777</v>
      </c>
      <c r="F140" s="102" t="s">
        <v>864</v>
      </c>
      <c r="G140" s="99" t="s">
        <v>1775</v>
      </c>
      <c r="H140" s="102" t="s">
        <v>864</v>
      </c>
      <c r="I140" s="102" t="s">
        <v>38</v>
      </c>
      <c r="J140" s="103">
        <v>200</v>
      </c>
      <c r="K140" s="104">
        <v>31000</v>
      </c>
      <c r="L140" s="104">
        <v>6200000</v>
      </c>
      <c r="M140" s="115">
        <v>0</v>
      </c>
      <c r="N140" s="115">
        <f t="shared" si="4"/>
        <v>0</v>
      </c>
      <c r="O140" s="57">
        <f t="shared" si="5"/>
        <v>6200000</v>
      </c>
    </row>
    <row r="141" spans="1:15">
      <c r="A141" s="19">
        <v>2025</v>
      </c>
      <c r="B141" s="111">
        <v>10</v>
      </c>
      <c r="C141" s="20">
        <v>45953</v>
      </c>
      <c r="D141" s="99" t="s">
        <v>1787</v>
      </c>
      <c r="E141" s="102" t="s">
        <v>1777</v>
      </c>
      <c r="F141" s="102" t="s">
        <v>864</v>
      </c>
      <c r="G141" s="99" t="s">
        <v>1775</v>
      </c>
      <c r="H141" s="102" t="s">
        <v>864</v>
      </c>
      <c r="I141" s="102" t="s">
        <v>466</v>
      </c>
      <c r="J141" s="103">
        <v>180</v>
      </c>
      <c r="K141" s="104">
        <v>48000</v>
      </c>
      <c r="L141" s="104">
        <v>8640000</v>
      </c>
      <c r="M141" s="115">
        <v>100</v>
      </c>
      <c r="N141" s="115">
        <f t="shared" si="4"/>
        <v>8640000</v>
      </c>
      <c r="O141" s="57">
        <f t="shared" si="5"/>
        <v>0</v>
      </c>
    </row>
    <row r="142" spans="1:15">
      <c r="A142" s="19">
        <v>2025</v>
      </c>
      <c r="B142" s="111">
        <v>10</v>
      </c>
      <c r="C142" s="20">
        <v>45954</v>
      </c>
      <c r="D142" s="99" t="s">
        <v>1788</v>
      </c>
      <c r="E142" s="102" t="s">
        <v>16</v>
      </c>
      <c r="F142" s="102" t="s">
        <v>281</v>
      </c>
      <c r="G142" s="99" t="s">
        <v>1775</v>
      </c>
      <c r="H142" s="102" t="s">
        <v>281</v>
      </c>
      <c r="I142" s="102" t="s">
        <v>466</v>
      </c>
      <c r="J142" s="103">
        <v>30</v>
      </c>
      <c r="K142" s="104">
        <v>50000</v>
      </c>
      <c r="L142" s="104">
        <v>1500000</v>
      </c>
      <c r="M142" s="115">
        <v>100</v>
      </c>
      <c r="N142" s="115">
        <f t="shared" si="4"/>
        <v>1500000</v>
      </c>
      <c r="O142" s="57">
        <f t="shared" si="5"/>
        <v>0</v>
      </c>
    </row>
    <row r="143" spans="1:15">
      <c r="A143" s="19">
        <v>2025</v>
      </c>
      <c r="B143" s="111">
        <v>10</v>
      </c>
      <c r="C143" s="20">
        <v>45957</v>
      </c>
      <c r="D143" s="99" t="s">
        <v>1789</v>
      </c>
      <c r="E143" s="102" t="s">
        <v>1790</v>
      </c>
      <c r="F143" s="102" t="s">
        <v>1359</v>
      </c>
      <c r="G143" s="99" t="s">
        <v>1775</v>
      </c>
      <c r="H143" s="102" t="s">
        <v>1359</v>
      </c>
      <c r="I143" s="102" t="s">
        <v>41</v>
      </c>
      <c r="J143" s="103">
        <v>400</v>
      </c>
      <c r="K143" s="104">
        <v>40000</v>
      </c>
      <c r="L143" s="104">
        <v>16000000</v>
      </c>
      <c r="M143" s="115">
        <v>100</v>
      </c>
      <c r="N143" s="115">
        <f t="shared" si="4"/>
        <v>16000000</v>
      </c>
      <c r="O143" s="57">
        <f t="shared" si="5"/>
        <v>0</v>
      </c>
    </row>
    <row r="144" spans="1:15">
      <c r="A144" s="19">
        <v>2025</v>
      </c>
      <c r="B144" s="111">
        <v>10</v>
      </c>
      <c r="C144" s="20">
        <v>45957</v>
      </c>
      <c r="D144" s="99" t="s">
        <v>1789</v>
      </c>
      <c r="E144" s="102" t="s">
        <v>1790</v>
      </c>
      <c r="F144" s="102" t="s">
        <v>1359</v>
      </c>
      <c r="G144" s="99" t="s">
        <v>1775</v>
      </c>
      <c r="H144" s="102" t="s">
        <v>1359</v>
      </c>
      <c r="I144" s="102" t="s">
        <v>466</v>
      </c>
      <c r="J144" s="103">
        <v>400</v>
      </c>
      <c r="K144" s="104">
        <v>50000</v>
      </c>
      <c r="L144" s="104">
        <v>20000000</v>
      </c>
      <c r="M144" s="115">
        <v>100</v>
      </c>
      <c r="N144" s="115">
        <f t="shared" si="4"/>
        <v>20000000</v>
      </c>
      <c r="O144" s="57">
        <f t="shared" si="5"/>
        <v>0</v>
      </c>
    </row>
    <row r="145" spans="1:15">
      <c r="A145" s="19">
        <v>2025</v>
      </c>
      <c r="B145" s="111">
        <v>11</v>
      </c>
      <c r="C145" s="20">
        <v>45964</v>
      </c>
      <c r="D145" s="99" t="s">
        <v>1795</v>
      </c>
      <c r="E145" s="102" t="s">
        <v>1319</v>
      </c>
      <c r="F145" s="102" t="s">
        <v>1319</v>
      </c>
      <c r="G145" s="99" t="s">
        <v>1775</v>
      </c>
      <c r="H145" s="102" t="s">
        <v>1319</v>
      </c>
      <c r="I145" s="102" t="s">
        <v>41</v>
      </c>
      <c r="J145" s="103">
        <v>100</v>
      </c>
      <c r="K145" s="104">
        <v>40000</v>
      </c>
      <c r="L145" s="104">
        <v>4000000</v>
      </c>
      <c r="M145" s="115">
        <v>100</v>
      </c>
      <c r="N145" s="115">
        <f t="shared" si="4"/>
        <v>4000000</v>
      </c>
      <c r="O145" s="57">
        <f t="shared" si="5"/>
        <v>0</v>
      </c>
    </row>
    <row r="146" spans="1:15">
      <c r="A146" s="19">
        <v>2025</v>
      </c>
      <c r="B146" s="111">
        <v>11</v>
      </c>
      <c r="C146" s="20">
        <v>45968</v>
      </c>
      <c r="D146" s="99" t="s">
        <v>1796</v>
      </c>
      <c r="E146" s="102" t="s">
        <v>1797</v>
      </c>
      <c r="F146" s="102" t="s">
        <v>272</v>
      </c>
      <c r="G146" s="99" t="s">
        <v>1775</v>
      </c>
      <c r="H146" s="102" t="s">
        <v>272</v>
      </c>
      <c r="I146" s="102" t="s">
        <v>41</v>
      </c>
      <c r="J146" s="103">
        <v>200</v>
      </c>
      <c r="K146" s="104">
        <v>40000</v>
      </c>
      <c r="L146" s="104">
        <v>8000000</v>
      </c>
      <c r="M146" s="115">
        <v>100</v>
      </c>
      <c r="N146" s="115">
        <f t="shared" si="4"/>
        <v>8000000</v>
      </c>
      <c r="O146" s="57">
        <f t="shared" si="5"/>
        <v>0</v>
      </c>
    </row>
    <row r="147" spans="1:15">
      <c r="A147" s="19">
        <v>2025</v>
      </c>
      <c r="B147" s="111">
        <v>11</v>
      </c>
      <c r="C147" s="20">
        <v>45971</v>
      </c>
      <c r="D147" s="99" t="s">
        <v>1798</v>
      </c>
      <c r="E147" s="102" t="s">
        <v>1777</v>
      </c>
      <c r="F147" s="102" t="s">
        <v>864</v>
      </c>
      <c r="G147" s="99" t="s">
        <v>1775</v>
      </c>
      <c r="H147" s="102" t="s">
        <v>864</v>
      </c>
      <c r="I147" s="102" t="s">
        <v>46</v>
      </c>
      <c r="J147" s="103">
        <v>600</v>
      </c>
      <c r="K147" s="104">
        <v>31000</v>
      </c>
      <c r="L147" s="104">
        <v>18600000</v>
      </c>
      <c r="M147" s="115">
        <v>100</v>
      </c>
      <c r="N147" s="115">
        <f t="shared" si="4"/>
        <v>18600000</v>
      </c>
      <c r="O147" s="57">
        <f t="shared" si="5"/>
        <v>0</v>
      </c>
    </row>
    <row r="148" spans="1:15">
      <c r="A148" s="19">
        <v>2025</v>
      </c>
      <c r="B148" s="111">
        <v>11</v>
      </c>
      <c r="C148" s="20">
        <v>45971</v>
      </c>
      <c r="D148" s="99" t="s">
        <v>1799</v>
      </c>
      <c r="E148" s="102" t="s">
        <v>1800</v>
      </c>
      <c r="F148" s="102" t="s">
        <v>288</v>
      </c>
      <c r="G148" s="99" t="s">
        <v>1775</v>
      </c>
      <c r="H148" s="102" t="s">
        <v>1801</v>
      </c>
      <c r="I148" s="102" t="s">
        <v>38</v>
      </c>
      <c r="J148" s="103">
        <v>50</v>
      </c>
      <c r="K148" s="104">
        <v>33000</v>
      </c>
      <c r="L148" s="104">
        <v>1650000</v>
      </c>
      <c r="M148" s="115">
        <v>100</v>
      </c>
      <c r="N148" s="115">
        <f t="shared" si="4"/>
        <v>1650000</v>
      </c>
      <c r="O148" s="57">
        <f t="shared" si="5"/>
        <v>0</v>
      </c>
    </row>
    <row r="149" spans="1:15">
      <c r="A149" s="19">
        <v>2025</v>
      </c>
      <c r="B149" s="111">
        <v>11</v>
      </c>
      <c r="C149" s="20">
        <v>45972</v>
      </c>
      <c r="D149" s="99" t="s">
        <v>1802</v>
      </c>
      <c r="E149" s="102" t="s">
        <v>1779</v>
      </c>
      <c r="F149" s="102" t="s">
        <v>1280</v>
      </c>
      <c r="G149" s="99" t="s">
        <v>1775</v>
      </c>
      <c r="H149" s="102" t="s">
        <v>1280</v>
      </c>
      <c r="I149" s="102" t="s">
        <v>46</v>
      </c>
      <c r="J149" s="103">
        <v>200</v>
      </c>
      <c r="K149" s="104">
        <v>31000</v>
      </c>
      <c r="L149" s="104">
        <v>6200000</v>
      </c>
      <c r="M149" s="115">
        <v>100</v>
      </c>
      <c r="N149" s="115">
        <f t="shared" si="4"/>
        <v>6200000</v>
      </c>
      <c r="O149" s="57">
        <f t="shared" si="5"/>
        <v>0</v>
      </c>
    </row>
    <row r="150" spans="1:15">
      <c r="A150" s="19">
        <v>2025</v>
      </c>
      <c r="B150" s="111">
        <v>11</v>
      </c>
      <c r="C150" s="20">
        <v>45972</v>
      </c>
      <c r="D150" s="99" t="s">
        <v>1802</v>
      </c>
      <c r="E150" s="102" t="s">
        <v>1779</v>
      </c>
      <c r="F150" s="102" t="s">
        <v>1280</v>
      </c>
      <c r="G150" s="99" t="s">
        <v>1775</v>
      </c>
      <c r="H150" s="102" t="s">
        <v>1280</v>
      </c>
      <c r="I150" s="102" t="s">
        <v>38</v>
      </c>
      <c r="J150" s="103">
        <v>100</v>
      </c>
      <c r="K150" s="104">
        <v>33000</v>
      </c>
      <c r="L150" s="104">
        <v>3300000</v>
      </c>
      <c r="M150" s="115">
        <v>100</v>
      </c>
      <c r="N150" s="115">
        <f t="shared" si="4"/>
        <v>3300000</v>
      </c>
      <c r="O150" s="57">
        <f t="shared" si="5"/>
        <v>0</v>
      </c>
    </row>
    <row r="151" spans="1:15">
      <c r="A151" s="19">
        <v>2025</v>
      </c>
      <c r="B151" s="111">
        <v>11</v>
      </c>
      <c r="C151" s="20">
        <v>45972</v>
      </c>
      <c r="D151" s="99" t="s">
        <v>1803</v>
      </c>
      <c r="E151" s="102" t="s">
        <v>1797</v>
      </c>
      <c r="F151" s="102" t="s">
        <v>272</v>
      </c>
      <c r="G151" s="99" t="s">
        <v>1775</v>
      </c>
      <c r="H151" s="102" t="s">
        <v>272</v>
      </c>
      <c r="I151" s="102" t="s">
        <v>466</v>
      </c>
      <c r="J151" s="103">
        <v>80</v>
      </c>
      <c r="K151" s="104">
        <v>50000</v>
      </c>
      <c r="L151" s="104">
        <v>4000000</v>
      </c>
      <c r="M151" s="115">
        <v>100</v>
      </c>
      <c r="N151" s="115">
        <f t="shared" si="4"/>
        <v>4000000</v>
      </c>
      <c r="O151" s="57">
        <f t="shared" si="5"/>
        <v>0</v>
      </c>
    </row>
    <row r="152" spans="1:15">
      <c r="A152" s="19">
        <v>2025</v>
      </c>
      <c r="B152" s="111">
        <v>11</v>
      </c>
      <c r="C152" s="20">
        <v>45972</v>
      </c>
      <c r="D152" s="99" t="s">
        <v>1804</v>
      </c>
      <c r="E152" s="102" t="s">
        <v>1781</v>
      </c>
      <c r="F152" s="102" t="s">
        <v>875</v>
      </c>
      <c r="G152" s="99" t="s">
        <v>1775</v>
      </c>
      <c r="H152" s="102" t="s">
        <v>875</v>
      </c>
      <c r="I152" s="102" t="s">
        <v>41</v>
      </c>
      <c r="J152" s="103">
        <v>50</v>
      </c>
      <c r="K152" s="104">
        <v>40000</v>
      </c>
      <c r="L152" s="104">
        <v>2000000</v>
      </c>
      <c r="M152" s="115">
        <v>100</v>
      </c>
      <c r="N152" s="115">
        <f t="shared" si="4"/>
        <v>2000000</v>
      </c>
      <c r="O152" s="57">
        <f t="shared" si="5"/>
        <v>0</v>
      </c>
    </row>
    <row r="153" spans="1:15">
      <c r="A153" s="19">
        <v>2025</v>
      </c>
      <c r="B153" s="111">
        <v>11</v>
      </c>
      <c r="C153" s="20">
        <v>45972</v>
      </c>
      <c r="D153" s="99" t="s">
        <v>1804</v>
      </c>
      <c r="E153" s="102" t="s">
        <v>1781</v>
      </c>
      <c r="F153" s="102" t="s">
        <v>875</v>
      </c>
      <c r="G153" s="99" t="s">
        <v>1775</v>
      </c>
      <c r="H153" s="102" t="s">
        <v>875</v>
      </c>
      <c r="I153" s="102" t="s">
        <v>38</v>
      </c>
      <c r="J153" s="103">
        <v>100</v>
      </c>
      <c r="K153" s="104">
        <v>35000</v>
      </c>
      <c r="L153" s="104">
        <v>3500000</v>
      </c>
      <c r="M153" s="115">
        <v>100</v>
      </c>
      <c r="N153" s="115">
        <f t="shared" si="4"/>
        <v>3500000</v>
      </c>
      <c r="O153" s="57">
        <f t="shared" si="5"/>
        <v>0</v>
      </c>
    </row>
    <row r="154" spans="1:15">
      <c r="A154" s="19">
        <v>2025</v>
      </c>
      <c r="B154" s="111">
        <v>11</v>
      </c>
      <c r="C154" s="20">
        <v>45973</v>
      </c>
      <c r="D154" s="99" t="s">
        <v>1805</v>
      </c>
      <c r="E154" s="102" t="s">
        <v>1806</v>
      </c>
      <c r="F154" s="102" t="s">
        <v>1499</v>
      </c>
      <c r="G154" s="99" t="s">
        <v>1775</v>
      </c>
      <c r="H154" s="102" t="s">
        <v>1499</v>
      </c>
      <c r="I154" s="102" t="s">
        <v>41</v>
      </c>
      <c r="J154" s="103">
        <v>400</v>
      </c>
      <c r="K154" s="104">
        <v>40000</v>
      </c>
      <c r="L154" s="104">
        <v>16000000</v>
      </c>
      <c r="M154" s="115">
        <v>100</v>
      </c>
      <c r="N154" s="115">
        <f t="shared" si="4"/>
        <v>16000000</v>
      </c>
      <c r="O154" s="57">
        <f t="shared" si="5"/>
        <v>0</v>
      </c>
    </row>
    <row r="155" spans="1:15">
      <c r="A155" s="19">
        <v>2025</v>
      </c>
      <c r="B155" s="111">
        <v>11</v>
      </c>
      <c r="C155" s="20">
        <v>45973</v>
      </c>
      <c r="D155" s="99" t="s">
        <v>1805</v>
      </c>
      <c r="E155" s="102" t="s">
        <v>1806</v>
      </c>
      <c r="F155" s="102" t="s">
        <v>1499</v>
      </c>
      <c r="G155" s="99" t="s">
        <v>1775</v>
      </c>
      <c r="H155" s="102" t="s">
        <v>1499</v>
      </c>
      <c r="I155" s="102" t="s">
        <v>38</v>
      </c>
      <c r="J155" s="103">
        <v>400</v>
      </c>
      <c r="K155" s="104">
        <v>33000</v>
      </c>
      <c r="L155" s="104">
        <v>13200000</v>
      </c>
      <c r="M155" s="115">
        <v>100</v>
      </c>
      <c r="N155" s="115">
        <f t="shared" si="4"/>
        <v>13200000</v>
      </c>
      <c r="O155" s="57">
        <f t="shared" si="5"/>
        <v>0</v>
      </c>
    </row>
    <row r="156" spans="1:15">
      <c r="A156" s="19">
        <v>2025</v>
      </c>
      <c r="B156" s="111">
        <v>11</v>
      </c>
      <c r="C156" s="20">
        <v>45974</v>
      </c>
      <c r="D156" s="99" t="s">
        <v>1807</v>
      </c>
      <c r="E156" s="102" t="s">
        <v>1808</v>
      </c>
      <c r="F156" s="102" t="s">
        <v>1291</v>
      </c>
      <c r="G156" s="99" t="s">
        <v>1775</v>
      </c>
      <c r="H156" s="102" t="s">
        <v>1291</v>
      </c>
      <c r="I156" s="102" t="s">
        <v>46</v>
      </c>
      <c r="J156" s="103">
        <v>500</v>
      </c>
      <c r="K156" s="104">
        <v>31000</v>
      </c>
      <c r="L156" s="104">
        <v>15500000</v>
      </c>
      <c r="M156" s="115">
        <v>100</v>
      </c>
      <c r="N156" s="115">
        <f t="shared" si="4"/>
        <v>15500000</v>
      </c>
      <c r="O156" s="57">
        <f t="shared" si="5"/>
        <v>0</v>
      </c>
    </row>
    <row r="157" spans="1:15">
      <c r="A157" s="19">
        <v>2025</v>
      </c>
      <c r="B157" s="111">
        <v>11</v>
      </c>
      <c r="C157" s="20">
        <v>45974</v>
      </c>
      <c r="D157" s="99" t="s">
        <v>1807</v>
      </c>
      <c r="E157" s="102" t="s">
        <v>1808</v>
      </c>
      <c r="F157" s="102" t="s">
        <v>1291</v>
      </c>
      <c r="G157" s="99" t="s">
        <v>1775</v>
      </c>
      <c r="H157" s="102" t="s">
        <v>1291</v>
      </c>
      <c r="I157" s="102" t="s">
        <v>41</v>
      </c>
      <c r="J157" s="103">
        <v>500</v>
      </c>
      <c r="K157" s="104">
        <v>40000</v>
      </c>
      <c r="L157" s="104">
        <v>20000000</v>
      </c>
      <c r="M157" s="115">
        <v>100</v>
      </c>
      <c r="N157" s="115">
        <f t="shared" si="4"/>
        <v>20000000</v>
      </c>
      <c r="O157" s="57">
        <f t="shared" si="5"/>
        <v>0</v>
      </c>
    </row>
    <row r="158" spans="1:15">
      <c r="A158" s="19">
        <v>2025</v>
      </c>
      <c r="B158" s="111">
        <v>11</v>
      </c>
      <c r="C158" s="20">
        <v>45974</v>
      </c>
      <c r="D158" s="99" t="s">
        <v>1807</v>
      </c>
      <c r="E158" s="102" t="s">
        <v>1808</v>
      </c>
      <c r="F158" s="102" t="s">
        <v>1291</v>
      </c>
      <c r="G158" s="99" t="s">
        <v>1775</v>
      </c>
      <c r="H158" s="102" t="s">
        <v>1291</v>
      </c>
      <c r="I158" s="102" t="s">
        <v>38</v>
      </c>
      <c r="J158" s="103">
        <v>500</v>
      </c>
      <c r="K158" s="104">
        <v>33000</v>
      </c>
      <c r="L158" s="104">
        <v>16500000</v>
      </c>
      <c r="M158" s="115">
        <v>100</v>
      </c>
      <c r="N158" s="115">
        <f t="shared" si="4"/>
        <v>16500000</v>
      </c>
      <c r="O158" s="57">
        <f t="shared" si="5"/>
        <v>0</v>
      </c>
    </row>
    <row r="159" spans="1:15">
      <c r="A159" s="19">
        <v>2025</v>
      </c>
      <c r="B159" s="111">
        <v>11</v>
      </c>
      <c r="C159" s="20">
        <v>45974</v>
      </c>
      <c r="D159" s="99" t="s">
        <v>1809</v>
      </c>
      <c r="E159" s="102" t="s">
        <v>1797</v>
      </c>
      <c r="F159" s="102" t="s">
        <v>272</v>
      </c>
      <c r="G159" s="99" t="s">
        <v>1775</v>
      </c>
      <c r="H159" s="102" t="s">
        <v>272</v>
      </c>
      <c r="I159" s="102" t="s">
        <v>21</v>
      </c>
      <c r="J159" s="103">
        <v>120</v>
      </c>
      <c r="K159" s="104">
        <v>16300</v>
      </c>
      <c r="L159" s="112">
        <v>1956000</v>
      </c>
      <c r="M159" s="115">
        <v>100</v>
      </c>
      <c r="N159" s="115">
        <f t="shared" si="4"/>
        <v>1956000</v>
      </c>
      <c r="O159" s="57">
        <f t="shared" si="5"/>
        <v>0</v>
      </c>
    </row>
    <row r="160" spans="1:15">
      <c r="A160" s="19">
        <v>2025</v>
      </c>
      <c r="B160" s="111">
        <v>11</v>
      </c>
      <c r="C160" s="20">
        <v>45974</v>
      </c>
      <c r="D160" s="99" t="s">
        <v>1809</v>
      </c>
      <c r="E160" s="102" t="s">
        <v>1797</v>
      </c>
      <c r="F160" s="102" t="s">
        <v>272</v>
      </c>
      <c r="G160" s="99" t="s">
        <v>1775</v>
      </c>
      <c r="H160" s="102" t="s">
        <v>272</v>
      </c>
      <c r="I160" s="102" t="s">
        <v>38</v>
      </c>
      <c r="J160" s="103">
        <v>100</v>
      </c>
      <c r="K160" s="104">
        <v>33000</v>
      </c>
      <c r="L160" s="104">
        <v>3300000</v>
      </c>
      <c r="M160" s="115">
        <v>100</v>
      </c>
      <c r="N160" s="115">
        <f t="shared" si="4"/>
        <v>3300000</v>
      </c>
      <c r="O160" s="57">
        <f t="shared" si="5"/>
        <v>0</v>
      </c>
    </row>
    <row r="161" spans="1:15">
      <c r="A161" s="19">
        <v>2025</v>
      </c>
      <c r="B161" s="111">
        <v>11</v>
      </c>
      <c r="C161" s="20">
        <v>45974</v>
      </c>
      <c r="D161" s="99" t="s">
        <v>1810</v>
      </c>
      <c r="E161" s="102" t="s">
        <v>16</v>
      </c>
      <c r="F161" s="102" t="s">
        <v>281</v>
      </c>
      <c r="G161" s="99" t="s">
        <v>1775</v>
      </c>
      <c r="H161" s="102" t="s">
        <v>281</v>
      </c>
      <c r="I161" s="102" t="s">
        <v>38</v>
      </c>
      <c r="J161" s="103">
        <v>50</v>
      </c>
      <c r="K161" s="104">
        <v>33000</v>
      </c>
      <c r="L161" s="104">
        <v>1650000</v>
      </c>
      <c r="M161" s="115">
        <v>100</v>
      </c>
      <c r="N161" s="115">
        <f t="shared" si="4"/>
        <v>1650000</v>
      </c>
      <c r="O161" s="57">
        <f t="shared" si="5"/>
        <v>0</v>
      </c>
    </row>
    <row r="162" spans="1:15">
      <c r="A162" s="19">
        <v>2025</v>
      </c>
      <c r="B162" s="111">
        <v>11</v>
      </c>
      <c r="C162" s="20">
        <v>45979</v>
      </c>
      <c r="D162" s="99" t="s">
        <v>1811</v>
      </c>
      <c r="E162" s="102" t="s">
        <v>1319</v>
      </c>
      <c r="F162" s="102" t="s">
        <v>1319</v>
      </c>
      <c r="G162" s="99" t="s">
        <v>1775</v>
      </c>
      <c r="H162" s="102" t="s">
        <v>1319</v>
      </c>
      <c r="I162" s="102" t="s">
        <v>41</v>
      </c>
      <c r="J162" s="103">
        <v>200</v>
      </c>
      <c r="K162" s="104">
        <v>40000</v>
      </c>
      <c r="L162" s="104">
        <v>8000000</v>
      </c>
      <c r="M162" s="115">
        <v>100</v>
      </c>
      <c r="N162" s="115">
        <f t="shared" si="4"/>
        <v>8000000</v>
      </c>
      <c r="O162" s="57">
        <f t="shared" si="5"/>
        <v>0</v>
      </c>
    </row>
    <row r="163" spans="1:15">
      <c r="A163" s="19">
        <v>2025</v>
      </c>
      <c r="B163" s="111">
        <v>11</v>
      </c>
      <c r="C163" s="20">
        <v>45979</v>
      </c>
      <c r="D163" s="99" t="s">
        <v>1812</v>
      </c>
      <c r="E163" s="102" t="s">
        <v>1797</v>
      </c>
      <c r="F163" s="102" t="s">
        <v>272</v>
      </c>
      <c r="G163" s="99" t="s">
        <v>1775</v>
      </c>
      <c r="H163" s="102" t="s">
        <v>272</v>
      </c>
      <c r="I163" s="102" t="s">
        <v>466</v>
      </c>
      <c r="J163" s="103">
        <v>80</v>
      </c>
      <c r="K163" s="104">
        <v>50000</v>
      </c>
      <c r="L163" s="104">
        <v>4000000</v>
      </c>
      <c r="M163" s="115">
        <v>100</v>
      </c>
      <c r="N163" s="115">
        <f t="shared" si="4"/>
        <v>4000000</v>
      </c>
      <c r="O163" s="57">
        <f t="shared" si="5"/>
        <v>0</v>
      </c>
    </row>
    <row r="164" spans="1:15">
      <c r="A164" s="19">
        <v>2025</v>
      </c>
      <c r="B164" s="111">
        <v>11</v>
      </c>
      <c r="C164" s="20">
        <v>45979</v>
      </c>
      <c r="D164" s="99" t="s">
        <v>1813</v>
      </c>
      <c r="E164" s="102" t="s">
        <v>16</v>
      </c>
      <c r="F164" s="102" t="s">
        <v>281</v>
      </c>
      <c r="G164" s="99" t="s">
        <v>1775</v>
      </c>
      <c r="H164" s="102" t="s">
        <v>281</v>
      </c>
      <c r="I164" s="102" t="s">
        <v>466</v>
      </c>
      <c r="J164" s="103">
        <v>30</v>
      </c>
      <c r="K164" s="104">
        <v>50000</v>
      </c>
      <c r="L164" s="104">
        <v>1500000</v>
      </c>
      <c r="M164" s="115">
        <v>100</v>
      </c>
      <c r="N164" s="115">
        <f t="shared" si="4"/>
        <v>1500000</v>
      </c>
      <c r="O164" s="57">
        <f t="shared" si="5"/>
        <v>0</v>
      </c>
    </row>
    <row r="165" spans="1:15">
      <c r="A165" s="19">
        <v>2025</v>
      </c>
      <c r="B165" s="111">
        <v>11</v>
      </c>
      <c r="C165" s="20">
        <v>45980</v>
      </c>
      <c r="D165" s="99" t="s">
        <v>1814</v>
      </c>
      <c r="E165" s="102" t="s">
        <v>1815</v>
      </c>
      <c r="F165" s="102" t="s">
        <v>894</v>
      </c>
      <c r="G165" s="99" t="s">
        <v>1775</v>
      </c>
      <c r="H165" s="102" t="s">
        <v>894</v>
      </c>
      <c r="I165" s="102" t="s">
        <v>41</v>
      </c>
      <c r="J165" s="103">
        <v>500</v>
      </c>
      <c r="K165" s="104">
        <v>40000</v>
      </c>
      <c r="L165" s="104">
        <v>20000000</v>
      </c>
      <c r="M165" s="115">
        <v>100</v>
      </c>
      <c r="N165" s="115">
        <f t="shared" si="4"/>
        <v>20000000</v>
      </c>
      <c r="O165" s="57">
        <f t="shared" si="5"/>
        <v>0</v>
      </c>
    </row>
    <row r="166" spans="1:15">
      <c r="A166" s="19">
        <v>2025</v>
      </c>
      <c r="B166" s="111">
        <v>11</v>
      </c>
      <c r="C166" s="20">
        <v>45981</v>
      </c>
      <c r="D166" s="99" t="s">
        <v>1816</v>
      </c>
      <c r="E166" s="102" t="s">
        <v>1817</v>
      </c>
      <c r="F166" s="102" t="s">
        <v>1101</v>
      </c>
      <c r="G166" s="99" t="s">
        <v>1775</v>
      </c>
      <c r="H166" s="102" t="s">
        <v>1101</v>
      </c>
      <c r="I166" s="102" t="s">
        <v>38</v>
      </c>
      <c r="J166" s="103">
        <v>100</v>
      </c>
      <c r="K166" s="104">
        <v>33000</v>
      </c>
      <c r="L166" s="104">
        <v>3300000</v>
      </c>
      <c r="M166" s="115">
        <v>100</v>
      </c>
      <c r="N166" s="115">
        <f t="shared" si="4"/>
        <v>3300000</v>
      </c>
      <c r="O166" s="57">
        <f t="shared" si="5"/>
        <v>0</v>
      </c>
    </row>
    <row r="167" spans="1:15">
      <c r="A167" s="19">
        <v>2025</v>
      </c>
      <c r="B167" s="111">
        <v>11</v>
      </c>
      <c r="C167" s="20">
        <v>45982</v>
      </c>
      <c r="D167" s="99" t="s">
        <v>1818</v>
      </c>
      <c r="E167" s="102" t="s">
        <v>1797</v>
      </c>
      <c r="F167" s="102" t="s">
        <v>272</v>
      </c>
      <c r="G167" s="99" t="s">
        <v>1775</v>
      </c>
      <c r="H167" s="102" t="s">
        <v>272</v>
      </c>
      <c r="I167" s="102" t="s">
        <v>21</v>
      </c>
      <c r="J167" s="103">
        <v>480</v>
      </c>
      <c r="K167" s="104">
        <v>16300</v>
      </c>
      <c r="L167" s="112">
        <v>6650400</v>
      </c>
      <c r="M167" s="115">
        <v>100</v>
      </c>
      <c r="N167" s="115">
        <f t="shared" si="4"/>
        <v>6650400</v>
      </c>
      <c r="O167" s="57">
        <f t="shared" si="5"/>
        <v>0</v>
      </c>
    </row>
    <row r="168" spans="1:15">
      <c r="A168" s="19">
        <v>2025</v>
      </c>
      <c r="B168" s="111">
        <v>11</v>
      </c>
      <c r="C168" s="20">
        <v>45985</v>
      </c>
      <c r="D168" s="99" t="s">
        <v>1819</v>
      </c>
      <c r="E168" s="102" t="s">
        <v>1797</v>
      </c>
      <c r="F168" s="102" t="s">
        <v>272</v>
      </c>
      <c r="G168" s="99" t="s">
        <v>1775</v>
      </c>
      <c r="H168" s="102" t="s">
        <v>272</v>
      </c>
      <c r="I168" s="102" t="s">
        <v>21</v>
      </c>
      <c r="J168" s="103">
        <v>120</v>
      </c>
      <c r="K168" s="104">
        <v>16300</v>
      </c>
      <c r="L168" s="112">
        <v>1956000</v>
      </c>
      <c r="M168" s="115">
        <v>100</v>
      </c>
      <c r="N168" s="115">
        <f t="shared" si="4"/>
        <v>1956000</v>
      </c>
      <c r="O168" s="57">
        <f t="shared" si="5"/>
        <v>0</v>
      </c>
    </row>
    <row r="169" spans="1:15">
      <c r="A169" s="19">
        <v>2025</v>
      </c>
      <c r="B169" s="111">
        <v>11</v>
      </c>
      <c r="C169" s="20">
        <v>45985</v>
      </c>
      <c r="D169" s="99" t="s">
        <v>1820</v>
      </c>
      <c r="E169" s="102" t="s">
        <v>16</v>
      </c>
      <c r="F169" s="102" t="s">
        <v>281</v>
      </c>
      <c r="G169" s="99" t="s">
        <v>1775</v>
      </c>
      <c r="H169" s="102" t="s">
        <v>281</v>
      </c>
      <c r="I169" s="102" t="s">
        <v>21</v>
      </c>
      <c r="J169" s="103">
        <v>300</v>
      </c>
      <c r="K169" s="104">
        <v>16300</v>
      </c>
      <c r="L169" s="112">
        <v>4890000</v>
      </c>
      <c r="M169" s="115">
        <v>100</v>
      </c>
      <c r="N169" s="115">
        <f t="shared" si="4"/>
        <v>4890000</v>
      </c>
      <c r="O169" s="57">
        <f t="shared" si="5"/>
        <v>0</v>
      </c>
    </row>
    <row r="170" spans="1:15">
      <c r="A170" s="19">
        <v>2025</v>
      </c>
      <c r="B170" s="111">
        <v>11</v>
      </c>
      <c r="C170" s="20">
        <v>45985</v>
      </c>
      <c r="D170" s="99" t="s">
        <v>1821</v>
      </c>
      <c r="E170" s="102" t="s">
        <v>1806</v>
      </c>
      <c r="F170" s="102" t="s">
        <v>1499</v>
      </c>
      <c r="G170" s="99" t="s">
        <v>1775</v>
      </c>
      <c r="H170" s="102" t="s">
        <v>1499</v>
      </c>
      <c r="I170" s="102" t="s">
        <v>21</v>
      </c>
      <c r="J170" s="103">
        <v>480</v>
      </c>
      <c r="K170" s="104">
        <v>16300</v>
      </c>
      <c r="L170" s="112">
        <v>7824000</v>
      </c>
      <c r="M170" s="115">
        <v>100</v>
      </c>
      <c r="N170" s="115">
        <f t="shared" si="4"/>
        <v>7824000</v>
      </c>
      <c r="O170" s="57">
        <f t="shared" si="5"/>
        <v>0</v>
      </c>
    </row>
    <row r="171" spans="1:15">
      <c r="A171" s="19">
        <v>2025</v>
      </c>
      <c r="B171" s="111">
        <v>11</v>
      </c>
      <c r="C171" s="20">
        <v>45985</v>
      </c>
      <c r="D171" s="99" t="s">
        <v>1822</v>
      </c>
      <c r="E171" s="102" t="s">
        <v>1319</v>
      </c>
      <c r="F171" s="102" t="s">
        <v>1319</v>
      </c>
      <c r="G171" s="99" t="s">
        <v>1775</v>
      </c>
      <c r="H171" s="102" t="s">
        <v>1319</v>
      </c>
      <c r="I171" s="102" t="s">
        <v>41</v>
      </c>
      <c r="J171" s="103">
        <v>100</v>
      </c>
      <c r="K171" s="104">
        <v>40000</v>
      </c>
      <c r="L171" s="104">
        <v>4000000</v>
      </c>
      <c r="M171" s="115">
        <v>100</v>
      </c>
      <c r="N171" s="115">
        <f t="shared" si="4"/>
        <v>4000000</v>
      </c>
      <c r="O171" s="57">
        <f t="shared" si="5"/>
        <v>0</v>
      </c>
    </row>
    <row r="172" spans="1:15">
      <c r="A172" s="19">
        <v>2025</v>
      </c>
      <c r="B172" s="111">
        <v>11</v>
      </c>
      <c r="C172" s="20">
        <v>45985</v>
      </c>
      <c r="D172" s="99" t="s">
        <v>1823</v>
      </c>
      <c r="E172" s="102" t="s">
        <v>1781</v>
      </c>
      <c r="F172" s="102" t="s">
        <v>875</v>
      </c>
      <c r="G172" s="99" t="s">
        <v>1775</v>
      </c>
      <c r="H172" s="102" t="s">
        <v>875</v>
      </c>
      <c r="I172" s="102" t="s">
        <v>41</v>
      </c>
      <c r="J172" s="103">
        <v>50</v>
      </c>
      <c r="K172" s="104">
        <v>40000</v>
      </c>
      <c r="L172" s="104">
        <v>2000000</v>
      </c>
      <c r="M172" s="115">
        <v>100</v>
      </c>
      <c r="N172" s="115">
        <f t="shared" si="4"/>
        <v>2000000</v>
      </c>
      <c r="O172" s="57">
        <f t="shared" si="5"/>
        <v>0</v>
      </c>
    </row>
    <row r="173" spans="1:15">
      <c r="A173" s="19">
        <v>2025</v>
      </c>
      <c r="B173" s="111">
        <v>11</v>
      </c>
      <c r="C173" s="20">
        <v>45985</v>
      </c>
      <c r="D173" s="99" t="s">
        <v>1824</v>
      </c>
      <c r="E173" s="102" t="s">
        <v>1815</v>
      </c>
      <c r="F173" s="102" t="s">
        <v>894</v>
      </c>
      <c r="G173" s="99" t="s">
        <v>1775</v>
      </c>
      <c r="H173" s="102" t="s">
        <v>894</v>
      </c>
      <c r="I173" s="102" t="s">
        <v>41</v>
      </c>
      <c r="J173" s="103">
        <v>500</v>
      </c>
      <c r="K173" s="104">
        <v>40000</v>
      </c>
      <c r="L173" s="104">
        <v>20000000</v>
      </c>
      <c r="M173" s="115">
        <v>100</v>
      </c>
      <c r="N173" s="115">
        <f t="shared" si="4"/>
        <v>20000000</v>
      </c>
      <c r="O173" s="57">
        <f t="shared" si="5"/>
        <v>0</v>
      </c>
    </row>
    <row r="174" spans="1:15">
      <c r="A174" s="19">
        <v>2025</v>
      </c>
      <c r="B174" s="111">
        <v>11</v>
      </c>
      <c r="C174" s="20">
        <v>45986</v>
      </c>
      <c r="D174" s="99" t="s">
        <v>1825</v>
      </c>
      <c r="E174" s="102" t="s">
        <v>1790</v>
      </c>
      <c r="F174" s="102" t="s">
        <v>1359</v>
      </c>
      <c r="G174" s="99" t="s">
        <v>1775</v>
      </c>
      <c r="H174" s="102" t="s">
        <v>1359</v>
      </c>
      <c r="I174" s="102" t="s">
        <v>466</v>
      </c>
      <c r="J174" s="103">
        <v>220</v>
      </c>
      <c r="K174" s="104">
        <v>50000</v>
      </c>
      <c r="L174" s="104">
        <v>11000000</v>
      </c>
      <c r="M174" s="115">
        <v>100</v>
      </c>
      <c r="N174" s="115">
        <f t="shared" si="4"/>
        <v>11000000</v>
      </c>
      <c r="O174" s="57">
        <f t="shared" si="5"/>
        <v>0</v>
      </c>
    </row>
    <row r="175" spans="1:15">
      <c r="A175" s="19">
        <v>2025</v>
      </c>
      <c r="B175" s="111">
        <v>11</v>
      </c>
      <c r="C175" s="20">
        <v>45986</v>
      </c>
      <c r="D175" s="99" t="s">
        <v>1825</v>
      </c>
      <c r="E175" s="102" t="s">
        <v>1790</v>
      </c>
      <c r="F175" s="102" t="s">
        <v>1359</v>
      </c>
      <c r="G175" s="99" t="s">
        <v>1775</v>
      </c>
      <c r="H175" s="102" t="s">
        <v>1359</v>
      </c>
      <c r="I175" s="102" t="s">
        <v>466</v>
      </c>
      <c r="J175" s="103">
        <v>180</v>
      </c>
      <c r="K175" s="104">
        <v>50000</v>
      </c>
      <c r="L175" s="104">
        <v>9000000</v>
      </c>
      <c r="M175" s="115">
        <v>100</v>
      </c>
      <c r="N175" s="115">
        <f t="shared" si="4"/>
        <v>9000000</v>
      </c>
      <c r="O175" s="57">
        <f t="shared" si="5"/>
        <v>0</v>
      </c>
    </row>
    <row r="176" spans="1:15">
      <c r="A176" s="19">
        <v>2025</v>
      </c>
      <c r="B176" s="111">
        <v>11</v>
      </c>
      <c r="C176" s="20">
        <v>45986</v>
      </c>
      <c r="D176" s="99" t="s">
        <v>1826</v>
      </c>
      <c r="E176" s="102" t="s">
        <v>1790</v>
      </c>
      <c r="F176" s="102" t="s">
        <v>1359</v>
      </c>
      <c r="G176" s="99" t="s">
        <v>1775</v>
      </c>
      <c r="H176" s="102" t="s">
        <v>1359</v>
      </c>
      <c r="I176" s="102" t="s">
        <v>41</v>
      </c>
      <c r="J176" s="103">
        <v>600</v>
      </c>
      <c r="K176" s="104">
        <v>40000</v>
      </c>
      <c r="L176" s="104">
        <v>24000000</v>
      </c>
      <c r="M176" s="115">
        <v>100</v>
      </c>
      <c r="N176" s="115">
        <f t="shared" si="4"/>
        <v>24000000</v>
      </c>
      <c r="O176" s="57">
        <f t="shared" si="5"/>
        <v>0</v>
      </c>
    </row>
    <row r="177" spans="1:15">
      <c r="A177" s="19">
        <v>2025</v>
      </c>
      <c r="B177" s="111">
        <v>11</v>
      </c>
      <c r="C177" s="20">
        <v>45986</v>
      </c>
      <c r="D177" s="99" t="s">
        <v>1827</v>
      </c>
      <c r="E177" s="102" t="s">
        <v>1808</v>
      </c>
      <c r="F177" s="102" t="s">
        <v>1291</v>
      </c>
      <c r="G177" s="99" t="s">
        <v>1775</v>
      </c>
      <c r="H177" s="102" t="s">
        <v>1291</v>
      </c>
      <c r="I177" s="102" t="s">
        <v>38</v>
      </c>
      <c r="J177" s="103">
        <v>300</v>
      </c>
      <c r="K177" s="104">
        <v>33000</v>
      </c>
      <c r="L177" s="104">
        <v>9900000</v>
      </c>
      <c r="M177" s="115">
        <v>100</v>
      </c>
      <c r="N177" s="115">
        <f t="shared" si="4"/>
        <v>9900000</v>
      </c>
      <c r="O177" s="57">
        <f t="shared" si="5"/>
        <v>0</v>
      </c>
    </row>
    <row r="178" spans="1:15">
      <c r="A178" s="19">
        <v>2025</v>
      </c>
      <c r="B178" s="111">
        <v>11</v>
      </c>
      <c r="C178" s="20">
        <v>45986</v>
      </c>
      <c r="D178" s="99" t="s">
        <v>1828</v>
      </c>
      <c r="E178" s="102" t="s">
        <v>1808</v>
      </c>
      <c r="F178" s="102" t="s">
        <v>1291</v>
      </c>
      <c r="G178" s="99" t="s">
        <v>1775</v>
      </c>
      <c r="H178" s="102" t="s">
        <v>1291</v>
      </c>
      <c r="I178" s="102" t="s">
        <v>38</v>
      </c>
      <c r="J178" s="103">
        <v>200</v>
      </c>
      <c r="K178" s="104">
        <v>33000</v>
      </c>
      <c r="L178" s="104">
        <v>6600000</v>
      </c>
      <c r="M178" s="115">
        <v>100</v>
      </c>
      <c r="N178" s="115">
        <f t="shared" si="4"/>
        <v>6600000</v>
      </c>
      <c r="O178" s="57">
        <f t="shared" si="5"/>
        <v>0</v>
      </c>
    </row>
    <row r="179" spans="1:15">
      <c r="A179" s="19">
        <v>2025</v>
      </c>
      <c r="B179" s="111">
        <v>11</v>
      </c>
      <c r="C179" s="20">
        <v>45986</v>
      </c>
      <c r="D179" s="99" t="s">
        <v>1829</v>
      </c>
      <c r="E179" s="102" t="s">
        <v>1797</v>
      </c>
      <c r="F179" s="102" t="s">
        <v>272</v>
      </c>
      <c r="G179" s="99" t="s">
        <v>1775</v>
      </c>
      <c r="H179" s="102" t="s">
        <v>272</v>
      </c>
      <c r="I179" s="102" t="s">
        <v>21</v>
      </c>
      <c r="J179" s="103">
        <v>240</v>
      </c>
      <c r="K179" s="104">
        <v>16300</v>
      </c>
      <c r="L179" s="112">
        <v>3912000</v>
      </c>
      <c r="M179" s="115">
        <v>100</v>
      </c>
      <c r="N179" s="115">
        <f t="shared" si="4"/>
        <v>3912000</v>
      </c>
      <c r="O179" s="57">
        <f t="shared" si="5"/>
        <v>0</v>
      </c>
    </row>
    <row r="180" spans="1:15">
      <c r="A180" s="19">
        <v>2025</v>
      </c>
      <c r="B180" s="111">
        <v>11</v>
      </c>
      <c r="C180" s="20">
        <v>45988</v>
      </c>
      <c r="D180" s="99" t="s">
        <v>1830</v>
      </c>
      <c r="E180" s="102" t="s">
        <v>16</v>
      </c>
      <c r="F180" s="102" t="s">
        <v>281</v>
      </c>
      <c r="G180" s="99" t="s">
        <v>1775</v>
      </c>
      <c r="H180" s="102" t="s">
        <v>281</v>
      </c>
      <c r="I180" s="102" t="s">
        <v>21</v>
      </c>
      <c r="J180" s="103">
        <v>100</v>
      </c>
      <c r="K180" s="104">
        <v>16300</v>
      </c>
      <c r="L180" s="112">
        <v>1630000</v>
      </c>
      <c r="M180" s="115">
        <v>100</v>
      </c>
      <c r="N180" s="115">
        <f t="shared" si="4"/>
        <v>1630000</v>
      </c>
      <c r="O180" s="57">
        <f t="shared" si="5"/>
        <v>0</v>
      </c>
    </row>
    <row r="181" spans="1:15">
      <c r="A181" s="19">
        <v>2025</v>
      </c>
      <c r="B181" s="111">
        <v>11</v>
      </c>
      <c r="C181" s="20">
        <v>45989</v>
      </c>
      <c r="D181" s="99" t="s">
        <v>1831</v>
      </c>
      <c r="E181" s="102" t="s">
        <v>1319</v>
      </c>
      <c r="F181" s="102" t="s">
        <v>1319</v>
      </c>
      <c r="G181" s="99" t="s">
        <v>1775</v>
      </c>
      <c r="H181" s="102" t="s">
        <v>1319</v>
      </c>
      <c r="I181" s="102" t="s">
        <v>41</v>
      </c>
      <c r="J181" s="103">
        <v>200</v>
      </c>
      <c r="K181" s="104">
        <v>40000</v>
      </c>
      <c r="L181" s="104">
        <v>8000000</v>
      </c>
      <c r="M181" s="115">
        <v>100</v>
      </c>
      <c r="N181" s="115">
        <f t="shared" si="4"/>
        <v>8000000</v>
      </c>
      <c r="O181" s="57">
        <f t="shared" si="5"/>
        <v>0</v>
      </c>
    </row>
    <row r="182" spans="1:15">
      <c r="A182" s="19">
        <v>2025</v>
      </c>
      <c r="B182" s="111">
        <v>11</v>
      </c>
      <c r="C182" s="20">
        <v>45989</v>
      </c>
      <c r="D182" s="99" t="s">
        <v>1832</v>
      </c>
      <c r="E182" s="102" t="s">
        <v>1319</v>
      </c>
      <c r="F182" s="102" t="s">
        <v>1319</v>
      </c>
      <c r="G182" s="99" t="s">
        <v>1775</v>
      </c>
      <c r="H182" s="102" t="s">
        <v>1319</v>
      </c>
      <c r="I182" s="102" t="s">
        <v>41</v>
      </c>
      <c r="J182" s="103">
        <v>110</v>
      </c>
      <c r="K182" s="104">
        <v>40000</v>
      </c>
      <c r="L182" s="104">
        <v>4400000</v>
      </c>
      <c r="M182" s="115">
        <v>100</v>
      </c>
      <c r="N182" s="115">
        <f t="shared" si="4"/>
        <v>4400000</v>
      </c>
      <c r="O182" s="57">
        <f t="shared" si="5"/>
        <v>0</v>
      </c>
    </row>
    <row r="183" spans="1:15">
      <c r="A183" s="19">
        <v>2025</v>
      </c>
      <c r="B183" s="111">
        <v>11</v>
      </c>
      <c r="C183" s="20">
        <v>45989</v>
      </c>
      <c r="D183" s="99" t="s">
        <v>1832</v>
      </c>
      <c r="E183" s="102" t="s">
        <v>1319</v>
      </c>
      <c r="F183" s="102" t="s">
        <v>1319</v>
      </c>
      <c r="G183" s="99" t="s">
        <v>1775</v>
      </c>
      <c r="H183" s="102" t="s">
        <v>1319</v>
      </c>
      <c r="I183" s="102" t="s">
        <v>41</v>
      </c>
      <c r="J183" s="103">
        <v>190</v>
      </c>
      <c r="K183" s="104">
        <v>40000</v>
      </c>
      <c r="L183" s="104">
        <v>7600000</v>
      </c>
      <c r="M183" s="115">
        <v>100</v>
      </c>
      <c r="N183" s="115">
        <f t="shared" si="4"/>
        <v>7600000</v>
      </c>
      <c r="O183" s="57">
        <f t="shared" si="5"/>
        <v>0</v>
      </c>
    </row>
    <row r="184" spans="1:15">
      <c r="A184" s="19">
        <v>2025</v>
      </c>
      <c r="B184" s="111">
        <v>12</v>
      </c>
      <c r="C184" s="20">
        <v>45992</v>
      </c>
      <c r="D184" s="99" t="s">
        <v>1833</v>
      </c>
      <c r="E184" s="102" t="s">
        <v>1800</v>
      </c>
      <c r="F184" s="102" t="s">
        <v>288</v>
      </c>
      <c r="G184" s="99" t="s">
        <v>1775</v>
      </c>
      <c r="H184" s="102" t="s">
        <v>1801</v>
      </c>
      <c r="I184" s="102" t="s">
        <v>38</v>
      </c>
      <c r="J184" s="103">
        <v>100</v>
      </c>
      <c r="K184" s="104">
        <v>33000</v>
      </c>
      <c r="L184" s="104">
        <v>3300000</v>
      </c>
      <c r="M184" s="115">
        <v>100</v>
      </c>
      <c r="N184" s="115">
        <f t="shared" si="4"/>
        <v>3300000</v>
      </c>
      <c r="O184" s="57">
        <f t="shared" si="5"/>
        <v>0</v>
      </c>
    </row>
    <row r="185" spans="1:15">
      <c r="A185" s="19">
        <v>2025</v>
      </c>
      <c r="B185" s="111">
        <v>12</v>
      </c>
      <c r="C185" s="20">
        <v>45993</v>
      </c>
      <c r="D185" s="99" t="s">
        <v>1834</v>
      </c>
      <c r="E185" s="102" t="s">
        <v>1779</v>
      </c>
      <c r="F185" s="102" t="s">
        <v>1280</v>
      </c>
      <c r="G185" s="99" t="s">
        <v>1775</v>
      </c>
      <c r="H185" s="102" t="s">
        <v>1280</v>
      </c>
      <c r="I185" s="102" t="s">
        <v>46</v>
      </c>
      <c r="J185" s="103">
        <v>200</v>
      </c>
      <c r="K185" s="104">
        <v>31000</v>
      </c>
      <c r="L185" s="104">
        <v>6200000</v>
      </c>
      <c r="M185" s="115">
        <v>100</v>
      </c>
      <c r="N185" s="115">
        <f t="shared" si="4"/>
        <v>6200000</v>
      </c>
      <c r="O185" s="57">
        <f t="shared" si="5"/>
        <v>0</v>
      </c>
    </row>
    <row r="186" spans="1:15">
      <c r="A186" s="19">
        <v>2025</v>
      </c>
      <c r="B186" s="111">
        <v>12</v>
      </c>
      <c r="C186" s="20">
        <v>45994</v>
      </c>
      <c r="D186" s="99" t="s">
        <v>1835</v>
      </c>
      <c r="E186" s="102" t="s">
        <v>1779</v>
      </c>
      <c r="F186" s="102" t="s">
        <v>1280</v>
      </c>
      <c r="G186" s="99" t="s">
        <v>1775</v>
      </c>
      <c r="H186" s="102" t="s">
        <v>1280</v>
      </c>
      <c r="I186" s="102" t="s">
        <v>466</v>
      </c>
      <c r="J186" s="103">
        <v>80</v>
      </c>
      <c r="K186" s="104">
        <v>50000</v>
      </c>
      <c r="L186" s="104">
        <v>4000000</v>
      </c>
      <c r="M186" s="115">
        <v>100</v>
      </c>
      <c r="N186" s="115">
        <f t="shared" si="4"/>
        <v>4000000</v>
      </c>
      <c r="O186" s="57">
        <f t="shared" si="5"/>
        <v>0</v>
      </c>
    </row>
    <row r="187" spans="1:15">
      <c r="A187" s="19">
        <v>2025</v>
      </c>
      <c r="B187" s="111">
        <v>12</v>
      </c>
      <c r="C187" s="20">
        <v>45994</v>
      </c>
      <c r="D187" s="99" t="s">
        <v>1835</v>
      </c>
      <c r="E187" s="102" t="s">
        <v>1779</v>
      </c>
      <c r="F187" s="102" t="s">
        <v>1280</v>
      </c>
      <c r="G187" s="99" t="s">
        <v>1775</v>
      </c>
      <c r="H187" s="102" t="s">
        <v>1280</v>
      </c>
      <c r="I187" s="102" t="s">
        <v>38</v>
      </c>
      <c r="J187" s="103">
        <v>200</v>
      </c>
      <c r="K187" s="104">
        <v>33000</v>
      </c>
      <c r="L187" s="104">
        <v>6600000</v>
      </c>
      <c r="M187" s="115">
        <v>100</v>
      </c>
      <c r="N187" s="115">
        <f t="shared" si="4"/>
        <v>6600000</v>
      </c>
      <c r="O187" s="57">
        <f t="shared" si="5"/>
        <v>0</v>
      </c>
    </row>
    <row r="188" spans="1:15">
      <c r="A188" s="19">
        <v>2025</v>
      </c>
      <c r="B188" s="111">
        <v>12</v>
      </c>
      <c r="C188" s="20">
        <v>45994</v>
      </c>
      <c r="D188" s="99" t="s">
        <v>1836</v>
      </c>
      <c r="E188" s="102" t="s">
        <v>1777</v>
      </c>
      <c r="F188" s="102" t="s">
        <v>864</v>
      </c>
      <c r="G188" s="99" t="s">
        <v>1775</v>
      </c>
      <c r="H188" s="102" t="s">
        <v>864</v>
      </c>
      <c r="I188" s="102" t="s">
        <v>41</v>
      </c>
      <c r="J188" s="103">
        <v>100</v>
      </c>
      <c r="K188" s="104">
        <v>40000</v>
      </c>
      <c r="L188" s="104">
        <v>4000000</v>
      </c>
      <c r="M188" s="115">
        <v>100</v>
      </c>
      <c r="N188" s="115">
        <f t="shared" si="4"/>
        <v>4000000</v>
      </c>
      <c r="O188" s="57">
        <f t="shared" si="5"/>
        <v>0</v>
      </c>
    </row>
    <row r="189" spans="1:15">
      <c r="A189" s="19">
        <v>2025</v>
      </c>
      <c r="B189" s="111">
        <v>12</v>
      </c>
      <c r="C189" s="20">
        <v>45995</v>
      </c>
      <c r="D189" s="99" t="s">
        <v>1837</v>
      </c>
      <c r="E189" s="102" t="s">
        <v>16</v>
      </c>
      <c r="F189" s="102" t="s">
        <v>281</v>
      </c>
      <c r="G189" s="99" t="s">
        <v>1775</v>
      </c>
      <c r="H189" s="102" t="s">
        <v>281</v>
      </c>
      <c r="I189" s="102" t="s">
        <v>21</v>
      </c>
      <c r="J189" s="103">
        <v>200</v>
      </c>
      <c r="K189" s="104">
        <v>16300</v>
      </c>
      <c r="L189" s="112">
        <v>3260000</v>
      </c>
      <c r="M189" s="115">
        <v>100</v>
      </c>
      <c r="N189" s="115">
        <f t="shared" si="4"/>
        <v>3260000</v>
      </c>
      <c r="O189" s="57">
        <f t="shared" si="5"/>
        <v>0</v>
      </c>
    </row>
    <row r="190" spans="1:15">
      <c r="A190" s="19">
        <v>2025</v>
      </c>
      <c r="B190" s="111">
        <v>12</v>
      </c>
      <c r="C190" s="20">
        <v>45996</v>
      </c>
      <c r="D190" s="99" t="s">
        <v>1838</v>
      </c>
      <c r="E190" s="102" t="s">
        <v>16</v>
      </c>
      <c r="F190" s="102" t="s">
        <v>281</v>
      </c>
      <c r="G190" s="99" t="s">
        <v>1775</v>
      </c>
      <c r="H190" s="102" t="s">
        <v>281</v>
      </c>
      <c r="I190" s="102" t="s">
        <v>466</v>
      </c>
      <c r="J190" s="103">
        <v>50</v>
      </c>
      <c r="K190" s="104">
        <v>50000</v>
      </c>
      <c r="L190" s="104">
        <v>2500000</v>
      </c>
      <c r="M190" s="115">
        <v>100</v>
      </c>
      <c r="N190" s="115">
        <f t="shared" si="4"/>
        <v>2500000</v>
      </c>
      <c r="O190" s="57">
        <f t="shared" si="5"/>
        <v>0</v>
      </c>
    </row>
    <row r="191" spans="1:15">
      <c r="A191" s="19">
        <v>2025</v>
      </c>
      <c r="B191" s="111">
        <v>12</v>
      </c>
      <c r="C191" s="20">
        <v>46000</v>
      </c>
      <c r="D191" s="99" t="s">
        <v>1839</v>
      </c>
      <c r="E191" s="102" t="s">
        <v>1797</v>
      </c>
      <c r="F191" s="102" t="s">
        <v>272</v>
      </c>
      <c r="G191" s="99" t="s">
        <v>1775</v>
      </c>
      <c r="H191" s="102" t="s">
        <v>272</v>
      </c>
      <c r="I191" s="102" t="s">
        <v>466</v>
      </c>
      <c r="J191" s="103">
        <v>120</v>
      </c>
      <c r="K191" s="104">
        <v>50000</v>
      </c>
      <c r="L191" s="104">
        <v>6000000</v>
      </c>
      <c r="M191" s="115">
        <v>100</v>
      </c>
      <c r="N191" s="115">
        <f t="shared" si="4"/>
        <v>6000000</v>
      </c>
      <c r="O191" s="57">
        <f t="shared" si="5"/>
        <v>0</v>
      </c>
    </row>
    <row r="192" spans="1:15">
      <c r="A192" s="19">
        <v>2025</v>
      </c>
      <c r="B192" s="111">
        <v>12</v>
      </c>
      <c r="C192" s="20">
        <v>46006</v>
      </c>
      <c r="D192" s="99" t="s">
        <v>1840</v>
      </c>
      <c r="E192" s="102" t="s">
        <v>16</v>
      </c>
      <c r="F192" s="102" t="s">
        <v>281</v>
      </c>
      <c r="G192" s="99" t="s">
        <v>1775</v>
      </c>
      <c r="H192" s="102" t="s">
        <v>281</v>
      </c>
      <c r="I192" s="102" t="s">
        <v>21</v>
      </c>
      <c r="J192" s="103">
        <v>50</v>
      </c>
      <c r="K192" s="104">
        <v>16300</v>
      </c>
      <c r="L192" s="112">
        <v>815000</v>
      </c>
      <c r="M192" s="115">
        <v>100</v>
      </c>
      <c r="N192" s="115">
        <f t="shared" si="4"/>
        <v>815000</v>
      </c>
      <c r="O192" s="57">
        <f t="shared" si="5"/>
        <v>0</v>
      </c>
    </row>
    <row r="193" spans="1:15">
      <c r="A193" s="19">
        <v>2025</v>
      </c>
      <c r="B193" s="111">
        <v>12</v>
      </c>
      <c r="C193" s="20">
        <v>46006</v>
      </c>
      <c r="D193" s="99" t="s">
        <v>1841</v>
      </c>
      <c r="E193" s="102" t="s">
        <v>1842</v>
      </c>
      <c r="F193" s="102" t="s">
        <v>1843</v>
      </c>
      <c r="G193" s="99" t="s">
        <v>1775</v>
      </c>
      <c r="H193" s="102" t="s">
        <v>1843</v>
      </c>
      <c r="I193" s="102" t="s">
        <v>46</v>
      </c>
      <c r="J193" s="103">
        <v>200</v>
      </c>
      <c r="K193" s="104">
        <v>31000</v>
      </c>
      <c r="L193" s="104">
        <v>6200000</v>
      </c>
      <c r="M193" s="115">
        <v>100</v>
      </c>
      <c r="N193" s="115">
        <f t="shared" si="4"/>
        <v>6200000</v>
      </c>
      <c r="O193" s="57">
        <f t="shared" si="5"/>
        <v>0</v>
      </c>
    </row>
    <row r="194" spans="1:15">
      <c r="A194" s="19">
        <v>2025</v>
      </c>
      <c r="B194" s="111">
        <v>12</v>
      </c>
      <c r="C194" s="20">
        <v>46006</v>
      </c>
      <c r="D194" s="99" t="s">
        <v>1844</v>
      </c>
      <c r="E194" s="102" t="s">
        <v>1781</v>
      </c>
      <c r="F194" s="102" t="s">
        <v>875</v>
      </c>
      <c r="G194" s="99" t="s">
        <v>1775</v>
      </c>
      <c r="H194" s="102" t="s">
        <v>875</v>
      </c>
      <c r="I194" s="102" t="s">
        <v>41</v>
      </c>
      <c r="J194" s="103">
        <v>50</v>
      </c>
      <c r="K194" s="104">
        <v>40000</v>
      </c>
      <c r="L194" s="104">
        <v>2000000</v>
      </c>
      <c r="M194" s="115">
        <v>100</v>
      </c>
      <c r="N194" s="115">
        <f t="shared" si="4"/>
        <v>2000000</v>
      </c>
      <c r="O194" s="57">
        <f t="shared" si="5"/>
        <v>0</v>
      </c>
    </row>
    <row r="195" spans="1:15">
      <c r="A195" s="19">
        <v>2025</v>
      </c>
      <c r="B195" s="111">
        <v>12</v>
      </c>
      <c r="C195" s="20">
        <v>46008</v>
      </c>
      <c r="D195" s="99" t="s">
        <v>1845</v>
      </c>
      <c r="E195" s="102" t="s">
        <v>1777</v>
      </c>
      <c r="F195" s="102" t="s">
        <v>864</v>
      </c>
      <c r="G195" s="99" t="s">
        <v>1775</v>
      </c>
      <c r="H195" s="102" t="s">
        <v>864</v>
      </c>
      <c r="I195" s="102" t="s">
        <v>38</v>
      </c>
      <c r="J195" s="103">
        <v>200</v>
      </c>
      <c r="K195" s="104">
        <v>33000</v>
      </c>
      <c r="L195" s="104">
        <v>6600000</v>
      </c>
      <c r="M195" s="115">
        <v>100</v>
      </c>
      <c r="N195" s="115">
        <f t="shared" si="4"/>
        <v>6600000</v>
      </c>
      <c r="O195" s="57">
        <f t="shared" si="5"/>
        <v>0</v>
      </c>
    </row>
    <row r="196" spans="1:15">
      <c r="A196" s="19">
        <v>2025</v>
      </c>
      <c r="B196" s="111">
        <v>12</v>
      </c>
      <c r="C196" s="20">
        <v>46008</v>
      </c>
      <c r="D196" s="99" t="s">
        <v>1846</v>
      </c>
      <c r="E196" s="102" t="s">
        <v>1797</v>
      </c>
      <c r="F196" s="102" t="s">
        <v>272</v>
      </c>
      <c r="G196" s="99" t="s">
        <v>1775</v>
      </c>
      <c r="H196" s="102" t="s">
        <v>272</v>
      </c>
      <c r="I196" s="102" t="s">
        <v>21</v>
      </c>
      <c r="J196" s="103">
        <v>30</v>
      </c>
      <c r="K196" s="104">
        <v>16300</v>
      </c>
      <c r="L196" s="112">
        <v>489000</v>
      </c>
      <c r="M196" s="115">
        <v>100</v>
      </c>
      <c r="N196" s="115">
        <f t="shared" ref="N196:N259" si="6">+L196*M196%</f>
        <v>489000</v>
      </c>
      <c r="O196" s="57">
        <f t="shared" ref="O196:O259" si="7">L196-N196</f>
        <v>0</v>
      </c>
    </row>
    <row r="197" spans="1:15">
      <c r="A197" s="19">
        <v>2025</v>
      </c>
      <c r="B197" s="111">
        <v>12</v>
      </c>
      <c r="C197" s="20">
        <v>46008</v>
      </c>
      <c r="D197" s="99" t="s">
        <v>1846</v>
      </c>
      <c r="E197" s="102" t="s">
        <v>1797</v>
      </c>
      <c r="F197" s="102" t="s">
        <v>272</v>
      </c>
      <c r="G197" s="99" t="s">
        <v>1775</v>
      </c>
      <c r="H197" s="102" t="s">
        <v>272</v>
      </c>
      <c r="I197" s="102" t="s">
        <v>21</v>
      </c>
      <c r="J197" s="103">
        <v>90</v>
      </c>
      <c r="K197" s="104">
        <v>16300</v>
      </c>
      <c r="L197" s="112">
        <v>1467000</v>
      </c>
      <c r="M197" s="115">
        <v>100</v>
      </c>
      <c r="N197" s="115">
        <f t="shared" si="6"/>
        <v>1467000</v>
      </c>
      <c r="O197" s="57">
        <f t="shared" si="7"/>
        <v>0</v>
      </c>
    </row>
    <row r="198" spans="1:15">
      <c r="A198" s="19">
        <v>2025</v>
      </c>
      <c r="B198" s="111">
        <v>12</v>
      </c>
      <c r="C198" s="20">
        <v>46013</v>
      </c>
      <c r="D198" s="99" t="s">
        <v>1850</v>
      </c>
      <c r="E198" s="102" t="s">
        <v>1800</v>
      </c>
      <c r="F198" s="102" t="s">
        <v>288</v>
      </c>
      <c r="G198" s="99" t="s">
        <v>1775</v>
      </c>
      <c r="H198" s="102" t="s">
        <v>1801</v>
      </c>
      <c r="I198" s="102" t="s">
        <v>466</v>
      </c>
      <c r="J198" s="103">
        <v>100</v>
      </c>
      <c r="K198" s="104">
        <v>50000</v>
      </c>
      <c r="L198" s="104">
        <v>5000000</v>
      </c>
      <c r="M198" s="115">
        <v>100</v>
      </c>
      <c r="N198" s="115">
        <f t="shared" si="6"/>
        <v>5000000</v>
      </c>
      <c r="O198" s="57">
        <f t="shared" si="7"/>
        <v>0</v>
      </c>
    </row>
    <row r="199" spans="1:15">
      <c r="A199" s="19">
        <v>2025</v>
      </c>
      <c r="B199" s="111">
        <v>12</v>
      </c>
      <c r="C199" s="20">
        <v>46014</v>
      </c>
      <c r="D199" s="99" t="s">
        <v>1851</v>
      </c>
      <c r="E199" s="102" t="s">
        <v>1779</v>
      </c>
      <c r="F199" s="102" t="s">
        <v>1280</v>
      </c>
      <c r="G199" s="99" t="s">
        <v>1775</v>
      </c>
      <c r="H199" s="102" t="s">
        <v>1280</v>
      </c>
      <c r="I199" s="102" t="s">
        <v>46</v>
      </c>
      <c r="J199" s="103">
        <v>40</v>
      </c>
      <c r="K199" s="104">
        <v>31000</v>
      </c>
      <c r="L199" s="104">
        <v>1240000</v>
      </c>
      <c r="M199" s="115">
        <v>100</v>
      </c>
      <c r="N199" s="115">
        <f t="shared" si="6"/>
        <v>1240000</v>
      </c>
      <c r="O199" s="57">
        <f t="shared" si="7"/>
        <v>0</v>
      </c>
    </row>
    <row r="200" spans="1:15">
      <c r="A200" s="19">
        <v>2025</v>
      </c>
      <c r="B200" s="111">
        <v>12</v>
      </c>
      <c r="C200" s="20">
        <v>46015</v>
      </c>
      <c r="D200" s="99" t="s">
        <v>1852</v>
      </c>
      <c r="E200" s="102" t="s">
        <v>1797</v>
      </c>
      <c r="F200" s="102" t="s">
        <v>272</v>
      </c>
      <c r="G200" s="99" t="s">
        <v>1775</v>
      </c>
      <c r="H200" s="102" t="s">
        <v>272</v>
      </c>
      <c r="I200" s="102" t="s">
        <v>38</v>
      </c>
      <c r="J200" s="103">
        <v>50</v>
      </c>
      <c r="K200" s="104">
        <v>33000</v>
      </c>
      <c r="L200" s="104">
        <v>1650000</v>
      </c>
      <c r="M200" s="115">
        <v>100</v>
      </c>
      <c r="N200" s="115">
        <f t="shared" si="6"/>
        <v>1650000</v>
      </c>
      <c r="O200" s="57">
        <f t="shared" si="7"/>
        <v>0</v>
      </c>
    </row>
    <row r="201" spans="1:15">
      <c r="A201" s="19">
        <v>2026</v>
      </c>
      <c r="B201" s="111">
        <v>1</v>
      </c>
      <c r="C201" s="20">
        <v>46041</v>
      </c>
      <c r="D201" s="99" t="s">
        <v>1853</v>
      </c>
      <c r="E201" s="102" t="s">
        <v>1781</v>
      </c>
      <c r="F201" s="102" t="s">
        <v>875</v>
      </c>
      <c r="G201" s="99" t="s">
        <v>1775</v>
      </c>
      <c r="H201" s="102" t="s">
        <v>875</v>
      </c>
      <c r="I201" s="102" t="s">
        <v>41</v>
      </c>
      <c r="J201" s="103">
        <v>50</v>
      </c>
      <c r="K201" s="104">
        <v>40000</v>
      </c>
      <c r="L201" s="104">
        <v>2000000</v>
      </c>
      <c r="M201" s="115">
        <v>100</v>
      </c>
      <c r="N201" s="115">
        <f t="shared" si="6"/>
        <v>2000000</v>
      </c>
      <c r="O201" s="57">
        <f t="shared" si="7"/>
        <v>0</v>
      </c>
    </row>
    <row r="202" spans="1:15">
      <c r="A202" s="19">
        <v>2026</v>
      </c>
      <c r="B202" s="111">
        <v>1</v>
      </c>
      <c r="C202" s="20">
        <v>46041</v>
      </c>
      <c r="D202" s="99" t="s">
        <v>1853</v>
      </c>
      <c r="E202" s="102" t="s">
        <v>1781</v>
      </c>
      <c r="F202" s="102" t="s">
        <v>875</v>
      </c>
      <c r="G202" s="99" t="s">
        <v>1775</v>
      </c>
      <c r="H202" s="102" t="s">
        <v>875</v>
      </c>
      <c r="I202" s="102" t="s">
        <v>466</v>
      </c>
      <c r="J202" s="103">
        <v>80</v>
      </c>
      <c r="K202" s="104">
        <v>50000</v>
      </c>
      <c r="L202" s="104">
        <v>4000000</v>
      </c>
      <c r="M202" s="115">
        <v>100</v>
      </c>
      <c r="N202" s="115">
        <f t="shared" si="6"/>
        <v>4000000</v>
      </c>
      <c r="O202" s="57">
        <f t="shared" si="7"/>
        <v>0</v>
      </c>
    </row>
    <row r="203" spans="1:15">
      <c r="A203" s="19">
        <v>2026</v>
      </c>
      <c r="B203" s="111">
        <v>1</v>
      </c>
      <c r="C203" s="20">
        <v>46041</v>
      </c>
      <c r="D203" s="99" t="s">
        <v>1853</v>
      </c>
      <c r="E203" s="102" t="s">
        <v>1781</v>
      </c>
      <c r="F203" s="102" t="s">
        <v>875</v>
      </c>
      <c r="G203" s="99" t="s">
        <v>1775</v>
      </c>
      <c r="H203" s="102" t="s">
        <v>875</v>
      </c>
      <c r="I203" s="102" t="s">
        <v>38</v>
      </c>
      <c r="J203" s="103">
        <v>300</v>
      </c>
      <c r="K203" s="104">
        <v>33000</v>
      </c>
      <c r="L203" s="104">
        <v>9900000</v>
      </c>
      <c r="M203" s="115">
        <v>100</v>
      </c>
      <c r="N203" s="115">
        <f t="shared" si="6"/>
        <v>9900000</v>
      </c>
      <c r="O203" s="57">
        <f t="shared" si="7"/>
        <v>0</v>
      </c>
    </row>
    <row r="204" spans="1:15">
      <c r="A204" s="19">
        <v>2026</v>
      </c>
      <c r="B204" s="111">
        <v>1</v>
      </c>
      <c r="C204" s="20">
        <v>46041</v>
      </c>
      <c r="D204" s="99" t="s">
        <v>1854</v>
      </c>
      <c r="E204" s="102" t="s">
        <v>1783</v>
      </c>
      <c r="F204" s="102" t="s">
        <v>1272</v>
      </c>
      <c r="G204" s="99" t="s">
        <v>1775</v>
      </c>
      <c r="H204" s="102" t="s">
        <v>1272</v>
      </c>
      <c r="I204" s="102" t="s">
        <v>41</v>
      </c>
      <c r="J204" s="103">
        <v>50</v>
      </c>
      <c r="K204" s="104">
        <v>40000</v>
      </c>
      <c r="L204" s="104">
        <v>2000000</v>
      </c>
      <c r="M204" s="115">
        <v>100</v>
      </c>
      <c r="N204" s="115">
        <f t="shared" si="6"/>
        <v>2000000</v>
      </c>
      <c r="O204" s="57">
        <f t="shared" si="7"/>
        <v>0</v>
      </c>
    </row>
    <row r="205" spans="1:15">
      <c r="A205" s="19">
        <v>2026</v>
      </c>
      <c r="B205" s="111">
        <v>1</v>
      </c>
      <c r="C205" s="20">
        <v>46041</v>
      </c>
      <c r="D205" s="99" t="s">
        <v>1855</v>
      </c>
      <c r="E205" s="102" t="s">
        <v>1797</v>
      </c>
      <c r="F205" s="102" t="s">
        <v>272</v>
      </c>
      <c r="G205" s="99" t="s">
        <v>1775</v>
      </c>
      <c r="H205" s="102" t="s">
        <v>272</v>
      </c>
      <c r="I205" s="102" t="s">
        <v>466</v>
      </c>
      <c r="J205" s="103">
        <v>100</v>
      </c>
      <c r="K205" s="104">
        <v>50000</v>
      </c>
      <c r="L205" s="104">
        <v>5000000</v>
      </c>
      <c r="M205" s="115">
        <v>100</v>
      </c>
      <c r="N205" s="115">
        <f t="shared" si="6"/>
        <v>5000000</v>
      </c>
      <c r="O205" s="57">
        <f t="shared" si="7"/>
        <v>0</v>
      </c>
    </row>
    <row r="206" spans="1:15">
      <c r="A206" s="19">
        <v>2026</v>
      </c>
      <c r="B206" s="111">
        <v>1</v>
      </c>
      <c r="C206" s="20">
        <v>46041</v>
      </c>
      <c r="D206" s="99" t="s">
        <v>1855</v>
      </c>
      <c r="E206" s="102" t="s">
        <v>1797</v>
      </c>
      <c r="F206" s="102" t="s">
        <v>272</v>
      </c>
      <c r="G206" s="99" t="s">
        <v>1775</v>
      </c>
      <c r="H206" s="102" t="s">
        <v>272</v>
      </c>
      <c r="I206" s="102" t="s">
        <v>21</v>
      </c>
      <c r="J206" s="103">
        <v>110</v>
      </c>
      <c r="K206" s="104">
        <v>16300</v>
      </c>
      <c r="L206" s="112">
        <v>1793000</v>
      </c>
      <c r="M206" s="115">
        <v>100</v>
      </c>
      <c r="N206" s="115">
        <f t="shared" si="6"/>
        <v>1793000</v>
      </c>
      <c r="O206" s="57">
        <f t="shared" si="7"/>
        <v>0</v>
      </c>
    </row>
    <row r="207" spans="1:15">
      <c r="A207" s="19">
        <v>2026</v>
      </c>
      <c r="B207" s="111">
        <v>1</v>
      </c>
      <c r="C207" s="20">
        <v>46041</v>
      </c>
      <c r="D207" s="99" t="s">
        <v>1856</v>
      </c>
      <c r="E207" s="102" t="s">
        <v>16</v>
      </c>
      <c r="F207" s="102" t="s">
        <v>281</v>
      </c>
      <c r="G207" s="99" t="s">
        <v>1775</v>
      </c>
      <c r="H207" s="102" t="s">
        <v>281</v>
      </c>
      <c r="I207" s="102" t="s">
        <v>21</v>
      </c>
      <c r="J207" s="103">
        <v>50</v>
      </c>
      <c r="K207" s="104">
        <v>16300</v>
      </c>
      <c r="L207" s="112">
        <v>815000</v>
      </c>
      <c r="M207" s="115">
        <v>100</v>
      </c>
      <c r="N207" s="115">
        <f t="shared" si="6"/>
        <v>815000</v>
      </c>
      <c r="O207" s="57">
        <f t="shared" si="7"/>
        <v>0</v>
      </c>
    </row>
    <row r="208" spans="1:15">
      <c r="A208" s="19">
        <v>2026</v>
      </c>
      <c r="B208" s="111">
        <v>1</v>
      </c>
      <c r="C208" s="20">
        <v>46041</v>
      </c>
      <c r="D208" s="99" t="s">
        <v>1856</v>
      </c>
      <c r="E208" s="102" t="s">
        <v>16</v>
      </c>
      <c r="F208" s="102" t="s">
        <v>281</v>
      </c>
      <c r="G208" s="99" t="s">
        <v>1775</v>
      </c>
      <c r="H208" s="102" t="s">
        <v>281</v>
      </c>
      <c r="I208" s="102" t="s">
        <v>21</v>
      </c>
      <c r="J208" s="103">
        <v>250</v>
      </c>
      <c r="K208" s="104">
        <v>16300</v>
      </c>
      <c r="L208" s="112">
        <v>4075000</v>
      </c>
      <c r="M208" s="115">
        <v>100</v>
      </c>
      <c r="N208" s="115">
        <f t="shared" si="6"/>
        <v>4075000</v>
      </c>
      <c r="O208" s="57">
        <f t="shared" si="7"/>
        <v>0</v>
      </c>
    </row>
    <row r="209" spans="1:15">
      <c r="A209" s="19">
        <v>2026</v>
      </c>
      <c r="B209" s="111">
        <v>1</v>
      </c>
      <c r="C209" s="20">
        <v>46041</v>
      </c>
      <c r="D209" s="99" t="s">
        <v>1857</v>
      </c>
      <c r="E209" s="102" t="s">
        <v>1779</v>
      </c>
      <c r="F209" s="102" t="s">
        <v>1280</v>
      </c>
      <c r="G209" s="99" t="s">
        <v>1775</v>
      </c>
      <c r="H209" s="102" t="s">
        <v>1280</v>
      </c>
      <c r="I209" s="102" t="s">
        <v>46</v>
      </c>
      <c r="J209" s="103">
        <v>50</v>
      </c>
      <c r="K209" s="104">
        <v>31000</v>
      </c>
      <c r="L209" s="104">
        <v>1550000</v>
      </c>
      <c r="M209" s="115">
        <v>100</v>
      </c>
      <c r="N209" s="115">
        <f t="shared" si="6"/>
        <v>1550000</v>
      </c>
      <c r="O209" s="57">
        <f t="shared" si="7"/>
        <v>0</v>
      </c>
    </row>
    <row r="210" spans="1:15">
      <c r="A210" s="19">
        <v>2026</v>
      </c>
      <c r="B210" s="111">
        <v>1</v>
      </c>
      <c r="C210" s="20">
        <v>46041</v>
      </c>
      <c r="D210" s="99" t="s">
        <v>1857</v>
      </c>
      <c r="E210" s="102" t="s">
        <v>1779</v>
      </c>
      <c r="F210" s="102" t="s">
        <v>1280</v>
      </c>
      <c r="G210" s="99" t="s">
        <v>1775</v>
      </c>
      <c r="H210" s="102" t="s">
        <v>1280</v>
      </c>
      <c r="I210" s="102" t="s">
        <v>46</v>
      </c>
      <c r="J210" s="103">
        <v>100</v>
      </c>
      <c r="K210" s="104">
        <v>31000</v>
      </c>
      <c r="L210" s="104">
        <v>3100000</v>
      </c>
      <c r="M210" s="115">
        <v>100</v>
      </c>
      <c r="N210" s="115">
        <f t="shared" si="6"/>
        <v>3100000</v>
      </c>
      <c r="O210" s="57">
        <f t="shared" si="7"/>
        <v>0</v>
      </c>
    </row>
    <row r="211" spans="1:15">
      <c r="A211" s="19">
        <v>2026</v>
      </c>
      <c r="B211" s="111">
        <v>1</v>
      </c>
      <c r="C211" s="20">
        <v>46041</v>
      </c>
      <c r="D211" s="99" t="s">
        <v>1857</v>
      </c>
      <c r="E211" s="102" t="s">
        <v>1779</v>
      </c>
      <c r="F211" s="102" t="s">
        <v>1280</v>
      </c>
      <c r="G211" s="99" t="s">
        <v>1775</v>
      </c>
      <c r="H211" s="102" t="s">
        <v>1280</v>
      </c>
      <c r="I211" s="102" t="s">
        <v>46</v>
      </c>
      <c r="J211" s="103">
        <v>50</v>
      </c>
      <c r="K211" s="104">
        <v>31000</v>
      </c>
      <c r="L211" s="104">
        <v>1550000</v>
      </c>
      <c r="M211" s="115">
        <v>100</v>
      </c>
      <c r="N211" s="115">
        <f t="shared" si="6"/>
        <v>1550000</v>
      </c>
      <c r="O211" s="57">
        <f t="shared" si="7"/>
        <v>0</v>
      </c>
    </row>
    <row r="212" spans="1:15">
      <c r="A212" s="19">
        <v>2026</v>
      </c>
      <c r="B212" s="111">
        <v>1</v>
      </c>
      <c r="C212" s="20">
        <v>46041</v>
      </c>
      <c r="D212" s="99" t="s">
        <v>1857</v>
      </c>
      <c r="E212" s="102" t="s">
        <v>1779</v>
      </c>
      <c r="F212" s="102" t="s">
        <v>1280</v>
      </c>
      <c r="G212" s="99" t="s">
        <v>1775</v>
      </c>
      <c r="H212" s="102" t="s">
        <v>1280</v>
      </c>
      <c r="I212" s="102" t="s">
        <v>466</v>
      </c>
      <c r="J212" s="103">
        <v>40</v>
      </c>
      <c r="K212" s="104">
        <v>50000</v>
      </c>
      <c r="L212" s="104">
        <v>2000000</v>
      </c>
      <c r="M212" s="115">
        <v>100</v>
      </c>
      <c r="N212" s="115">
        <f t="shared" si="6"/>
        <v>2000000</v>
      </c>
      <c r="O212" s="57">
        <f t="shared" si="7"/>
        <v>0</v>
      </c>
    </row>
    <row r="213" spans="1:15">
      <c r="A213" s="19">
        <v>2026</v>
      </c>
      <c r="B213" s="111">
        <v>1</v>
      </c>
      <c r="C213" s="20">
        <v>46041</v>
      </c>
      <c r="D213" s="99" t="s">
        <v>1858</v>
      </c>
      <c r="E213" s="102" t="s">
        <v>1797</v>
      </c>
      <c r="F213" s="102" t="s">
        <v>272</v>
      </c>
      <c r="G213" s="99" t="s">
        <v>1775</v>
      </c>
      <c r="H213" s="102" t="s">
        <v>272</v>
      </c>
      <c r="I213" s="102" t="s">
        <v>466</v>
      </c>
      <c r="J213" s="103">
        <v>120</v>
      </c>
      <c r="K213" s="104">
        <v>50000</v>
      </c>
      <c r="L213" s="104">
        <v>6000000</v>
      </c>
      <c r="M213" s="115">
        <v>100</v>
      </c>
      <c r="N213" s="115">
        <f t="shared" si="6"/>
        <v>6000000</v>
      </c>
      <c r="O213" s="57">
        <f t="shared" si="7"/>
        <v>0</v>
      </c>
    </row>
    <row r="214" spans="1:15">
      <c r="A214" s="19">
        <v>2026</v>
      </c>
      <c r="B214" s="111">
        <v>1</v>
      </c>
      <c r="C214" s="20">
        <v>46042</v>
      </c>
      <c r="D214" s="99" t="s">
        <v>1859</v>
      </c>
      <c r="E214" s="102" t="s">
        <v>16</v>
      </c>
      <c r="F214" s="102" t="s">
        <v>281</v>
      </c>
      <c r="G214" s="99" t="s">
        <v>1775</v>
      </c>
      <c r="H214" s="102" t="s">
        <v>281</v>
      </c>
      <c r="I214" s="102" t="s">
        <v>466</v>
      </c>
      <c r="J214" s="103">
        <v>50</v>
      </c>
      <c r="K214" s="104">
        <v>50000</v>
      </c>
      <c r="L214" s="104">
        <v>2500000</v>
      </c>
      <c r="M214" s="115">
        <v>100</v>
      </c>
      <c r="N214" s="115">
        <f t="shared" si="6"/>
        <v>2500000</v>
      </c>
      <c r="O214" s="57">
        <f t="shared" si="7"/>
        <v>0</v>
      </c>
    </row>
    <row r="215" spans="1:15">
      <c r="A215" s="19">
        <v>2026</v>
      </c>
      <c r="B215" s="111">
        <v>1</v>
      </c>
      <c r="C215" s="20">
        <v>46042</v>
      </c>
      <c r="D215" s="99" t="s">
        <v>1860</v>
      </c>
      <c r="E215" s="102" t="s">
        <v>1790</v>
      </c>
      <c r="F215" s="102" t="s">
        <v>1359</v>
      </c>
      <c r="G215" s="99" t="s">
        <v>1775</v>
      </c>
      <c r="H215" s="102" t="s">
        <v>1359</v>
      </c>
      <c r="I215" s="102" t="s">
        <v>41</v>
      </c>
      <c r="J215" s="103">
        <v>400</v>
      </c>
      <c r="K215" s="104">
        <v>40000</v>
      </c>
      <c r="L215" s="104">
        <v>16000000</v>
      </c>
      <c r="M215" s="115">
        <v>100</v>
      </c>
      <c r="N215" s="115">
        <f t="shared" si="6"/>
        <v>16000000</v>
      </c>
      <c r="O215" s="57">
        <f t="shared" si="7"/>
        <v>0</v>
      </c>
    </row>
    <row r="216" spans="1:15">
      <c r="A216" s="19">
        <v>2026</v>
      </c>
      <c r="B216" s="111">
        <v>1</v>
      </c>
      <c r="C216" s="20">
        <v>46042</v>
      </c>
      <c r="D216" s="99" t="s">
        <v>1860</v>
      </c>
      <c r="E216" s="102" t="s">
        <v>1790</v>
      </c>
      <c r="F216" s="102" t="s">
        <v>1359</v>
      </c>
      <c r="G216" s="99" t="s">
        <v>1775</v>
      </c>
      <c r="H216" s="102" t="s">
        <v>1359</v>
      </c>
      <c r="I216" s="102" t="s">
        <v>466</v>
      </c>
      <c r="J216" s="103">
        <v>500</v>
      </c>
      <c r="K216" s="104">
        <v>50000</v>
      </c>
      <c r="L216" s="104">
        <v>25000000</v>
      </c>
      <c r="M216" s="115">
        <v>100</v>
      </c>
      <c r="N216" s="115">
        <f t="shared" si="6"/>
        <v>25000000</v>
      </c>
      <c r="O216" s="57">
        <f t="shared" si="7"/>
        <v>0</v>
      </c>
    </row>
    <row r="217" spans="1:15">
      <c r="A217" s="19">
        <v>2026</v>
      </c>
      <c r="B217" s="111">
        <v>1</v>
      </c>
      <c r="C217" s="20">
        <v>46042</v>
      </c>
      <c r="D217" s="99" t="s">
        <v>1861</v>
      </c>
      <c r="E217" s="102" t="s">
        <v>1862</v>
      </c>
      <c r="F217" s="102" t="s">
        <v>1264</v>
      </c>
      <c r="G217" s="99" t="s">
        <v>1775</v>
      </c>
      <c r="H217" s="102" t="s">
        <v>1264</v>
      </c>
      <c r="I217" s="102" t="s">
        <v>46</v>
      </c>
      <c r="J217" s="103">
        <v>80</v>
      </c>
      <c r="K217" s="104">
        <v>31000</v>
      </c>
      <c r="L217" s="104">
        <v>2480000</v>
      </c>
      <c r="M217" s="115">
        <v>100</v>
      </c>
      <c r="N217" s="115">
        <f t="shared" si="6"/>
        <v>2480000</v>
      </c>
      <c r="O217" s="57">
        <f t="shared" si="7"/>
        <v>0</v>
      </c>
    </row>
    <row r="218" spans="1:15">
      <c r="A218" s="19">
        <v>2026</v>
      </c>
      <c r="B218" s="111">
        <v>1</v>
      </c>
      <c r="C218" s="20">
        <v>46042</v>
      </c>
      <c r="D218" s="99" t="s">
        <v>1861</v>
      </c>
      <c r="E218" s="102" t="s">
        <v>1862</v>
      </c>
      <c r="F218" s="102" t="s">
        <v>1264</v>
      </c>
      <c r="G218" s="99" t="s">
        <v>1775</v>
      </c>
      <c r="H218" s="102" t="s">
        <v>1264</v>
      </c>
      <c r="I218" s="102" t="s">
        <v>38</v>
      </c>
      <c r="J218" s="103">
        <v>100</v>
      </c>
      <c r="K218" s="104">
        <v>33000</v>
      </c>
      <c r="L218" s="104">
        <v>3300000</v>
      </c>
      <c r="M218" s="115">
        <v>100</v>
      </c>
      <c r="N218" s="115">
        <f t="shared" si="6"/>
        <v>3300000</v>
      </c>
      <c r="O218" s="57">
        <f t="shared" si="7"/>
        <v>0</v>
      </c>
    </row>
    <row r="219" spans="1:15">
      <c r="A219" s="19">
        <v>2026</v>
      </c>
      <c r="B219" s="111">
        <v>1</v>
      </c>
      <c r="C219" s="20">
        <v>46042</v>
      </c>
      <c r="D219" s="99" t="s">
        <v>1863</v>
      </c>
      <c r="E219" s="102" t="s">
        <v>1777</v>
      </c>
      <c r="F219" s="102" t="s">
        <v>864</v>
      </c>
      <c r="G219" s="99" t="s">
        <v>1775</v>
      </c>
      <c r="H219" s="102" t="s">
        <v>864</v>
      </c>
      <c r="I219" s="102" t="s">
        <v>46</v>
      </c>
      <c r="J219" s="103">
        <v>500</v>
      </c>
      <c r="K219" s="104">
        <v>31000</v>
      </c>
      <c r="L219" s="104">
        <v>15500000</v>
      </c>
      <c r="M219" s="115">
        <v>100</v>
      </c>
      <c r="N219" s="115">
        <f t="shared" si="6"/>
        <v>15500000</v>
      </c>
      <c r="O219" s="57">
        <f t="shared" si="7"/>
        <v>0</v>
      </c>
    </row>
    <row r="220" spans="1:15">
      <c r="A220" s="19">
        <v>2026</v>
      </c>
      <c r="B220" s="111">
        <v>1</v>
      </c>
      <c r="C220" s="20">
        <v>46042</v>
      </c>
      <c r="D220" s="99" t="s">
        <v>1863</v>
      </c>
      <c r="E220" s="102" t="s">
        <v>1777</v>
      </c>
      <c r="F220" s="102" t="s">
        <v>864</v>
      </c>
      <c r="G220" s="99" t="s">
        <v>1775</v>
      </c>
      <c r="H220" s="102" t="s">
        <v>864</v>
      </c>
      <c r="I220" s="102" t="s">
        <v>41</v>
      </c>
      <c r="J220" s="103">
        <v>400</v>
      </c>
      <c r="K220" s="104">
        <v>40000</v>
      </c>
      <c r="L220" s="104">
        <v>16000000</v>
      </c>
      <c r="M220" s="115">
        <v>100</v>
      </c>
      <c r="N220" s="115">
        <f t="shared" si="6"/>
        <v>16000000</v>
      </c>
      <c r="O220" s="57">
        <f t="shared" si="7"/>
        <v>0</v>
      </c>
    </row>
    <row r="221" spans="1:15">
      <c r="A221" s="19">
        <v>2026</v>
      </c>
      <c r="B221" s="111">
        <v>1</v>
      </c>
      <c r="C221" s="20">
        <v>46042</v>
      </c>
      <c r="D221" s="99" t="s">
        <v>1863</v>
      </c>
      <c r="E221" s="102" t="s">
        <v>1777</v>
      </c>
      <c r="F221" s="102" t="s">
        <v>864</v>
      </c>
      <c r="G221" s="99" t="s">
        <v>1775</v>
      </c>
      <c r="H221" s="102" t="s">
        <v>864</v>
      </c>
      <c r="I221" s="102" t="s">
        <v>38</v>
      </c>
      <c r="J221" s="103">
        <v>400</v>
      </c>
      <c r="K221" s="104">
        <v>33000</v>
      </c>
      <c r="L221" s="104">
        <v>13200000</v>
      </c>
      <c r="M221" s="115">
        <v>100</v>
      </c>
      <c r="N221" s="115">
        <f t="shared" si="6"/>
        <v>13200000</v>
      </c>
      <c r="O221" s="57">
        <f t="shared" si="7"/>
        <v>0</v>
      </c>
    </row>
    <row r="222" spans="1:15">
      <c r="A222" s="19">
        <v>2026</v>
      </c>
      <c r="B222" s="111">
        <v>1</v>
      </c>
      <c r="C222" s="20">
        <v>46042</v>
      </c>
      <c r="D222" s="99" t="s">
        <v>1864</v>
      </c>
      <c r="E222" s="102" t="s">
        <v>1865</v>
      </c>
      <c r="F222" s="102" t="s">
        <v>1027</v>
      </c>
      <c r="G222" s="99" t="s">
        <v>1775</v>
      </c>
      <c r="H222" s="102" t="s">
        <v>1027</v>
      </c>
      <c r="I222" s="102" t="s">
        <v>46</v>
      </c>
      <c r="J222" s="103">
        <v>50</v>
      </c>
      <c r="K222" s="104">
        <v>31000</v>
      </c>
      <c r="L222" s="104">
        <v>1550000</v>
      </c>
      <c r="M222" s="115">
        <v>100</v>
      </c>
      <c r="N222" s="115">
        <f t="shared" si="6"/>
        <v>1550000</v>
      </c>
      <c r="O222" s="57">
        <f t="shared" si="7"/>
        <v>0</v>
      </c>
    </row>
    <row r="223" spans="1:15">
      <c r="A223" s="19">
        <v>2026</v>
      </c>
      <c r="B223" s="111">
        <v>1</v>
      </c>
      <c r="C223" s="20">
        <v>46042</v>
      </c>
      <c r="D223" s="99" t="s">
        <v>1864</v>
      </c>
      <c r="E223" s="102" t="s">
        <v>1865</v>
      </c>
      <c r="F223" s="102" t="s">
        <v>1027</v>
      </c>
      <c r="G223" s="99" t="s">
        <v>1775</v>
      </c>
      <c r="H223" s="102" t="s">
        <v>1027</v>
      </c>
      <c r="I223" s="102" t="s">
        <v>41</v>
      </c>
      <c r="J223" s="103">
        <v>50</v>
      </c>
      <c r="K223" s="104">
        <v>40000</v>
      </c>
      <c r="L223" s="104">
        <v>2000000</v>
      </c>
      <c r="M223" s="115">
        <v>100</v>
      </c>
      <c r="N223" s="115">
        <f t="shared" si="6"/>
        <v>2000000</v>
      </c>
      <c r="O223" s="57">
        <f t="shared" si="7"/>
        <v>0</v>
      </c>
    </row>
    <row r="224" spans="1:15">
      <c r="A224" s="19">
        <v>2026</v>
      </c>
      <c r="B224" s="111">
        <v>1</v>
      </c>
      <c r="C224" s="20">
        <v>46044</v>
      </c>
      <c r="D224" s="99" t="s">
        <v>1866</v>
      </c>
      <c r="E224" s="102" t="s">
        <v>1815</v>
      </c>
      <c r="F224" s="102" t="s">
        <v>894</v>
      </c>
      <c r="G224" s="99" t="s">
        <v>1775</v>
      </c>
      <c r="H224" s="102" t="s">
        <v>894</v>
      </c>
      <c r="I224" s="102" t="s">
        <v>38</v>
      </c>
      <c r="J224" s="103">
        <v>500</v>
      </c>
      <c r="K224" s="104">
        <v>33000</v>
      </c>
      <c r="L224" s="104">
        <v>16500000</v>
      </c>
      <c r="M224" s="115">
        <v>100</v>
      </c>
      <c r="N224" s="115">
        <f t="shared" si="6"/>
        <v>16500000</v>
      </c>
      <c r="O224" s="57">
        <f t="shared" si="7"/>
        <v>0</v>
      </c>
    </row>
    <row r="225" spans="1:15">
      <c r="A225" s="19">
        <v>2026</v>
      </c>
      <c r="B225" s="111">
        <v>1</v>
      </c>
      <c r="C225" s="20">
        <v>46045</v>
      </c>
      <c r="D225" s="99" t="s">
        <v>1867</v>
      </c>
      <c r="E225" s="102" t="s">
        <v>1806</v>
      </c>
      <c r="F225" s="102" t="s">
        <v>1499</v>
      </c>
      <c r="G225" s="99" t="s">
        <v>1775</v>
      </c>
      <c r="H225" s="102" t="s">
        <v>1499</v>
      </c>
      <c r="I225" s="102" t="s">
        <v>41</v>
      </c>
      <c r="J225" s="103">
        <v>400</v>
      </c>
      <c r="K225" s="104">
        <v>40000</v>
      </c>
      <c r="L225" s="104">
        <v>16000000</v>
      </c>
      <c r="M225" s="115">
        <v>100</v>
      </c>
      <c r="N225" s="115">
        <f t="shared" si="6"/>
        <v>16000000</v>
      </c>
      <c r="O225" s="57">
        <f t="shared" si="7"/>
        <v>0</v>
      </c>
    </row>
    <row r="226" spans="1:15">
      <c r="A226" s="19">
        <v>2026</v>
      </c>
      <c r="B226" s="111">
        <v>1</v>
      </c>
      <c r="C226" s="20">
        <v>46045</v>
      </c>
      <c r="D226" s="99" t="s">
        <v>1867</v>
      </c>
      <c r="E226" s="102" t="s">
        <v>1806</v>
      </c>
      <c r="F226" s="102" t="s">
        <v>1499</v>
      </c>
      <c r="G226" s="99" t="s">
        <v>1775</v>
      </c>
      <c r="H226" s="102" t="s">
        <v>1499</v>
      </c>
      <c r="I226" s="102" t="s">
        <v>38</v>
      </c>
      <c r="J226" s="103">
        <v>400</v>
      </c>
      <c r="K226" s="104">
        <v>33000</v>
      </c>
      <c r="L226" s="104">
        <v>13200000</v>
      </c>
      <c r="M226" s="115">
        <v>100</v>
      </c>
      <c r="N226" s="115">
        <f t="shared" si="6"/>
        <v>13200000</v>
      </c>
      <c r="O226" s="57">
        <f t="shared" si="7"/>
        <v>0</v>
      </c>
    </row>
    <row r="227" spans="1:15">
      <c r="A227" s="19">
        <v>2026</v>
      </c>
      <c r="B227" s="111">
        <v>1</v>
      </c>
      <c r="C227" s="20">
        <v>46041</v>
      </c>
      <c r="D227" s="99" t="s">
        <v>1856</v>
      </c>
      <c r="E227" s="102" t="s">
        <v>2005</v>
      </c>
      <c r="F227" s="102" t="s">
        <v>1280</v>
      </c>
      <c r="G227" s="99" t="s">
        <v>1775</v>
      </c>
      <c r="H227" s="102" t="s">
        <v>1280</v>
      </c>
      <c r="I227" s="102" t="s">
        <v>21</v>
      </c>
      <c r="J227" s="103">
        <v>-5139</v>
      </c>
      <c r="K227" s="104">
        <v>16300</v>
      </c>
      <c r="L227" s="112">
        <v>-83765700</v>
      </c>
      <c r="M227" s="115">
        <v>100</v>
      </c>
      <c r="N227" s="115">
        <f t="shared" si="6"/>
        <v>-83765700</v>
      </c>
      <c r="O227" s="57">
        <f t="shared" si="7"/>
        <v>0</v>
      </c>
    </row>
    <row r="228" spans="1:15">
      <c r="A228" s="19">
        <v>2026</v>
      </c>
      <c r="B228" s="111">
        <v>1</v>
      </c>
      <c r="C228" s="20">
        <v>46045</v>
      </c>
      <c r="D228" s="99" t="s">
        <v>1867</v>
      </c>
      <c r="E228" s="102" t="s">
        <v>1806</v>
      </c>
      <c r="F228" s="102" t="s">
        <v>1499</v>
      </c>
      <c r="G228" s="99" t="s">
        <v>1775</v>
      </c>
      <c r="H228" s="102" t="s">
        <v>1499</v>
      </c>
      <c r="I228" s="102" t="s">
        <v>21</v>
      </c>
      <c r="J228" s="103">
        <v>480</v>
      </c>
      <c r="K228" s="104">
        <v>16300</v>
      </c>
      <c r="L228" s="112">
        <v>7824000</v>
      </c>
      <c r="M228" s="115">
        <v>100</v>
      </c>
      <c r="N228" s="115">
        <f t="shared" si="6"/>
        <v>7824000</v>
      </c>
      <c r="O228" s="57">
        <f t="shared" si="7"/>
        <v>0</v>
      </c>
    </row>
    <row r="229" spans="1:15">
      <c r="A229" s="19">
        <v>2026</v>
      </c>
      <c r="B229" s="111">
        <v>1</v>
      </c>
      <c r="C229" s="20">
        <v>46045</v>
      </c>
      <c r="D229" s="99" t="s">
        <v>1868</v>
      </c>
      <c r="E229" s="102" t="s">
        <v>16</v>
      </c>
      <c r="F229" s="102" t="s">
        <v>281</v>
      </c>
      <c r="G229" s="99" t="s">
        <v>1775</v>
      </c>
      <c r="H229" s="102" t="s">
        <v>281</v>
      </c>
      <c r="I229" s="102" t="s">
        <v>21</v>
      </c>
      <c r="J229" s="103">
        <v>120</v>
      </c>
      <c r="K229" s="104">
        <v>16300</v>
      </c>
      <c r="L229" s="112">
        <v>1956000</v>
      </c>
      <c r="M229" s="115">
        <v>100</v>
      </c>
      <c r="N229" s="115">
        <f t="shared" si="6"/>
        <v>1956000</v>
      </c>
      <c r="O229" s="57">
        <f t="shared" si="7"/>
        <v>0</v>
      </c>
    </row>
    <row r="230" spans="1:15">
      <c r="A230" s="19">
        <v>2026</v>
      </c>
      <c r="B230" s="111">
        <v>1</v>
      </c>
      <c r="C230" s="20">
        <v>46048</v>
      </c>
      <c r="D230" s="99" t="s">
        <v>1869</v>
      </c>
      <c r="E230" s="102" t="s">
        <v>1797</v>
      </c>
      <c r="F230" s="102" t="s">
        <v>272</v>
      </c>
      <c r="G230" s="99" t="s">
        <v>1775</v>
      </c>
      <c r="H230" s="102" t="s">
        <v>272</v>
      </c>
      <c r="I230" s="102" t="s">
        <v>21</v>
      </c>
      <c r="J230" s="103">
        <v>130</v>
      </c>
      <c r="K230" s="104">
        <v>16300</v>
      </c>
      <c r="L230" s="112">
        <v>2119000</v>
      </c>
      <c r="M230" s="115">
        <v>100</v>
      </c>
      <c r="N230" s="115">
        <f t="shared" si="6"/>
        <v>2119000</v>
      </c>
      <c r="O230" s="57">
        <f t="shared" si="7"/>
        <v>0</v>
      </c>
    </row>
    <row r="231" spans="1:15">
      <c r="A231" s="19">
        <v>2026</v>
      </c>
      <c r="B231" s="111">
        <v>1</v>
      </c>
      <c r="C231" s="20">
        <v>46048</v>
      </c>
      <c r="D231" s="99" t="s">
        <v>1869</v>
      </c>
      <c r="E231" s="102" t="s">
        <v>1797</v>
      </c>
      <c r="F231" s="102" t="s">
        <v>272</v>
      </c>
      <c r="G231" s="99" t="s">
        <v>1775</v>
      </c>
      <c r="H231" s="102" t="s">
        <v>272</v>
      </c>
      <c r="I231" s="102" t="s">
        <v>21</v>
      </c>
      <c r="J231" s="103">
        <v>110</v>
      </c>
      <c r="K231" s="104">
        <v>16300</v>
      </c>
      <c r="L231" s="112">
        <v>1793000</v>
      </c>
      <c r="M231" s="115">
        <v>100</v>
      </c>
      <c r="N231" s="115">
        <f t="shared" si="6"/>
        <v>1793000</v>
      </c>
      <c r="O231" s="57">
        <f t="shared" si="7"/>
        <v>0</v>
      </c>
    </row>
    <row r="232" spans="1:15">
      <c r="A232" s="19">
        <v>2026</v>
      </c>
      <c r="B232" s="111">
        <v>1</v>
      </c>
      <c r="C232" s="20">
        <v>46048</v>
      </c>
      <c r="D232" s="99" t="s">
        <v>1870</v>
      </c>
      <c r="E232" s="102" t="s">
        <v>1779</v>
      </c>
      <c r="F232" s="102" t="s">
        <v>1280</v>
      </c>
      <c r="G232" s="99" t="s">
        <v>1775</v>
      </c>
      <c r="H232" s="102" t="s">
        <v>1280</v>
      </c>
      <c r="I232" s="102" t="s">
        <v>38</v>
      </c>
      <c r="J232" s="103">
        <v>80</v>
      </c>
      <c r="K232" s="104">
        <v>33000</v>
      </c>
      <c r="L232" s="104">
        <v>2640000</v>
      </c>
      <c r="M232" s="115">
        <v>100</v>
      </c>
      <c r="N232" s="115">
        <f t="shared" si="6"/>
        <v>2640000</v>
      </c>
      <c r="O232" s="57">
        <f t="shared" si="7"/>
        <v>0</v>
      </c>
    </row>
    <row r="233" spans="1:15">
      <c r="A233" s="19">
        <v>2026</v>
      </c>
      <c r="B233" s="111">
        <v>1</v>
      </c>
      <c r="C233" s="20">
        <v>46048</v>
      </c>
      <c r="D233" s="99" t="s">
        <v>1871</v>
      </c>
      <c r="E233" s="102" t="s">
        <v>1797</v>
      </c>
      <c r="F233" s="102" t="s">
        <v>272</v>
      </c>
      <c r="G233" s="99" t="s">
        <v>1775</v>
      </c>
      <c r="H233" s="102" t="s">
        <v>272</v>
      </c>
      <c r="I233" s="102" t="s">
        <v>21</v>
      </c>
      <c r="J233" s="103">
        <v>120</v>
      </c>
      <c r="K233" s="104">
        <v>16300</v>
      </c>
      <c r="L233" s="112">
        <v>1956000</v>
      </c>
      <c r="M233" s="115">
        <v>100</v>
      </c>
      <c r="N233" s="115">
        <f t="shared" si="6"/>
        <v>1956000</v>
      </c>
      <c r="O233" s="57">
        <f t="shared" si="7"/>
        <v>0</v>
      </c>
    </row>
    <row r="234" spans="1:15">
      <c r="A234" s="19">
        <v>2026</v>
      </c>
      <c r="B234" s="111">
        <v>1</v>
      </c>
      <c r="C234" s="20">
        <v>46048</v>
      </c>
      <c r="D234" s="99" t="s">
        <v>1872</v>
      </c>
      <c r="E234" s="102" t="s">
        <v>1862</v>
      </c>
      <c r="F234" s="102" t="s">
        <v>1264</v>
      </c>
      <c r="G234" s="99" t="s">
        <v>1775</v>
      </c>
      <c r="H234" s="102" t="s">
        <v>1264</v>
      </c>
      <c r="I234" s="102" t="s">
        <v>46</v>
      </c>
      <c r="J234" s="103">
        <v>160</v>
      </c>
      <c r="K234" s="104">
        <v>31000</v>
      </c>
      <c r="L234" s="104">
        <v>4960000</v>
      </c>
      <c r="M234" s="115">
        <v>100</v>
      </c>
      <c r="N234" s="115">
        <f t="shared" si="6"/>
        <v>4960000</v>
      </c>
      <c r="O234" s="57">
        <f t="shared" si="7"/>
        <v>0</v>
      </c>
    </row>
    <row r="235" spans="1:15">
      <c r="A235" s="19">
        <v>2026</v>
      </c>
      <c r="B235" s="111">
        <v>1</v>
      </c>
      <c r="C235" s="20">
        <v>46048</v>
      </c>
      <c r="D235" s="99" t="s">
        <v>1873</v>
      </c>
      <c r="E235" s="102" t="s">
        <v>1797</v>
      </c>
      <c r="F235" s="102" t="s">
        <v>272</v>
      </c>
      <c r="G235" s="99" t="s">
        <v>1775</v>
      </c>
      <c r="H235" s="102" t="s">
        <v>272</v>
      </c>
      <c r="I235" s="102" t="s">
        <v>41</v>
      </c>
      <c r="J235" s="103">
        <v>50</v>
      </c>
      <c r="K235" s="104">
        <v>40000</v>
      </c>
      <c r="L235" s="104">
        <v>2000000</v>
      </c>
      <c r="M235" s="115">
        <v>100</v>
      </c>
      <c r="N235" s="115">
        <f t="shared" si="6"/>
        <v>2000000</v>
      </c>
      <c r="O235" s="57">
        <f t="shared" si="7"/>
        <v>0</v>
      </c>
    </row>
    <row r="236" spans="1:15">
      <c r="A236" s="19">
        <v>2026</v>
      </c>
      <c r="B236" s="111">
        <v>1</v>
      </c>
      <c r="C236" s="20">
        <v>46049</v>
      </c>
      <c r="D236" s="99" t="s">
        <v>1874</v>
      </c>
      <c r="E236" s="102" t="s">
        <v>1800</v>
      </c>
      <c r="F236" s="102" t="s">
        <v>288</v>
      </c>
      <c r="G236" s="99" t="s">
        <v>1775</v>
      </c>
      <c r="H236" s="102" t="s">
        <v>1801</v>
      </c>
      <c r="I236" s="102" t="s">
        <v>38</v>
      </c>
      <c r="J236" s="103">
        <v>100</v>
      </c>
      <c r="K236" s="104">
        <v>33000</v>
      </c>
      <c r="L236" s="104">
        <v>3300000</v>
      </c>
      <c r="M236" s="115">
        <v>100</v>
      </c>
      <c r="N236" s="115">
        <f t="shared" si="6"/>
        <v>3300000</v>
      </c>
      <c r="O236" s="57">
        <f t="shared" si="7"/>
        <v>0</v>
      </c>
    </row>
    <row r="237" spans="1:15">
      <c r="A237" s="19">
        <v>2026</v>
      </c>
      <c r="B237" s="111">
        <v>1</v>
      </c>
      <c r="C237" s="20">
        <v>46049</v>
      </c>
      <c r="D237" s="99" t="s">
        <v>1875</v>
      </c>
      <c r="E237" s="102" t="s">
        <v>1779</v>
      </c>
      <c r="F237" s="102" t="s">
        <v>1280</v>
      </c>
      <c r="G237" s="99" t="s">
        <v>1775</v>
      </c>
      <c r="H237" s="102" t="s">
        <v>1280</v>
      </c>
      <c r="I237" s="102" t="s">
        <v>46</v>
      </c>
      <c r="J237" s="103">
        <v>200</v>
      </c>
      <c r="K237" s="104">
        <v>31000</v>
      </c>
      <c r="L237" s="104">
        <v>6200000</v>
      </c>
      <c r="M237" s="115">
        <v>100</v>
      </c>
      <c r="N237" s="115">
        <f t="shared" si="6"/>
        <v>6200000</v>
      </c>
      <c r="O237" s="57">
        <f t="shared" si="7"/>
        <v>0</v>
      </c>
    </row>
    <row r="238" spans="1:15">
      <c r="A238" s="19">
        <v>2026</v>
      </c>
      <c r="B238" s="111">
        <v>1</v>
      </c>
      <c r="C238" s="20">
        <v>46050</v>
      </c>
      <c r="D238" s="99" t="s">
        <v>1876</v>
      </c>
      <c r="E238" s="102" t="s">
        <v>1777</v>
      </c>
      <c r="F238" s="102" t="s">
        <v>864</v>
      </c>
      <c r="G238" s="99" t="s">
        <v>1775</v>
      </c>
      <c r="H238" s="102" t="s">
        <v>864</v>
      </c>
      <c r="I238" s="102" t="s">
        <v>46</v>
      </c>
      <c r="J238" s="104">
        <v>1000</v>
      </c>
      <c r="K238" s="104">
        <v>31000</v>
      </c>
      <c r="L238" s="104">
        <v>31000000</v>
      </c>
      <c r="M238" s="115">
        <v>100</v>
      </c>
      <c r="N238" s="115">
        <f t="shared" si="6"/>
        <v>31000000</v>
      </c>
      <c r="O238" s="57">
        <f t="shared" si="7"/>
        <v>0</v>
      </c>
    </row>
    <row r="239" spans="1:15">
      <c r="A239" s="19">
        <v>2026</v>
      </c>
      <c r="B239" s="111">
        <v>1</v>
      </c>
      <c r="C239" s="20">
        <v>46050</v>
      </c>
      <c r="D239" s="99" t="s">
        <v>1877</v>
      </c>
      <c r="E239" s="102" t="s">
        <v>1779</v>
      </c>
      <c r="F239" s="102" t="s">
        <v>1280</v>
      </c>
      <c r="G239" s="99" t="s">
        <v>1775</v>
      </c>
      <c r="H239" s="102" t="s">
        <v>1280</v>
      </c>
      <c r="I239" s="102" t="s">
        <v>38</v>
      </c>
      <c r="J239" s="103">
        <v>80</v>
      </c>
      <c r="K239" s="104">
        <v>33000</v>
      </c>
      <c r="L239" s="104">
        <v>2640000</v>
      </c>
      <c r="M239" s="115">
        <v>100</v>
      </c>
      <c r="N239" s="115">
        <f t="shared" si="6"/>
        <v>2640000</v>
      </c>
      <c r="O239" s="57">
        <f t="shared" si="7"/>
        <v>0</v>
      </c>
    </row>
    <row r="240" spans="1:15">
      <c r="A240" s="19">
        <v>2026</v>
      </c>
      <c r="B240" s="111">
        <v>1</v>
      </c>
      <c r="C240" s="20">
        <v>46050</v>
      </c>
      <c r="D240" s="99" t="s">
        <v>1878</v>
      </c>
      <c r="E240" s="102" t="s">
        <v>1779</v>
      </c>
      <c r="F240" s="102" t="s">
        <v>1280</v>
      </c>
      <c r="G240" s="99" t="s">
        <v>1775</v>
      </c>
      <c r="H240" s="102" t="s">
        <v>1280</v>
      </c>
      <c r="I240" s="102" t="s">
        <v>466</v>
      </c>
      <c r="J240" s="103">
        <v>80</v>
      </c>
      <c r="K240" s="104">
        <v>50000</v>
      </c>
      <c r="L240" s="104">
        <v>4000000</v>
      </c>
      <c r="M240" s="115">
        <v>100</v>
      </c>
      <c r="N240" s="115">
        <f t="shared" si="6"/>
        <v>4000000</v>
      </c>
      <c r="O240" s="57">
        <f t="shared" si="7"/>
        <v>0</v>
      </c>
    </row>
    <row r="241" spans="1:15">
      <c r="A241" s="19">
        <v>2026</v>
      </c>
      <c r="B241" s="111">
        <v>2</v>
      </c>
      <c r="C241" s="20">
        <v>46055</v>
      </c>
      <c r="D241" s="99" t="s">
        <v>1879</v>
      </c>
      <c r="E241" s="102" t="s">
        <v>1797</v>
      </c>
      <c r="F241" s="102" t="s">
        <v>272</v>
      </c>
      <c r="G241" s="99" t="s">
        <v>1775</v>
      </c>
      <c r="H241" s="102" t="s">
        <v>272</v>
      </c>
      <c r="I241" s="102" t="s">
        <v>21</v>
      </c>
      <c r="J241" s="103">
        <v>120</v>
      </c>
      <c r="K241" s="104">
        <v>16300</v>
      </c>
      <c r="L241" s="112">
        <v>1956000</v>
      </c>
      <c r="M241" s="115">
        <v>100</v>
      </c>
      <c r="N241" s="115">
        <f t="shared" si="6"/>
        <v>1956000</v>
      </c>
      <c r="O241" s="57">
        <f t="shared" si="7"/>
        <v>0</v>
      </c>
    </row>
    <row r="242" spans="1:15">
      <c r="A242" s="19">
        <v>2026</v>
      </c>
      <c r="B242" s="111">
        <v>2</v>
      </c>
      <c r="C242" s="20">
        <v>46056</v>
      </c>
      <c r="D242" s="99" t="s">
        <v>1880</v>
      </c>
      <c r="E242" s="102" t="s">
        <v>1781</v>
      </c>
      <c r="F242" s="102" t="s">
        <v>875</v>
      </c>
      <c r="G242" s="99" t="s">
        <v>1775</v>
      </c>
      <c r="H242" s="102" t="s">
        <v>875</v>
      </c>
      <c r="I242" s="102" t="s">
        <v>41</v>
      </c>
      <c r="J242" s="103">
        <v>50</v>
      </c>
      <c r="K242" s="104">
        <v>40000</v>
      </c>
      <c r="L242" s="104">
        <v>2000000</v>
      </c>
      <c r="M242" s="115">
        <v>100</v>
      </c>
      <c r="N242" s="115">
        <f t="shared" si="6"/>
        <v>2000000</v>
      </c>
      <c r="O242" s="57">
        <f t="shared" si="7"/>
        <v>0</v>
      </c>
    </row>
    <row r="243" spans="1:15">
      <c r="A243" s="19">
        <v>2026</v>
      </c>
      <c r="B243" s="111">
        <v>2</v>
      </c>
      <c r="C243" s="20">
        <v>46056</v>
      </c>
      <c r="D243" s="99" t="s">
        <v>1882</v>
      </c>
      <c r="E243" s="102" t="s">
        <v>1797</v>
      </c>
      <c r="F243" s="102" t="s">
        <v>272</v>
      </c>
      <c r="G243" s="99" t="s">
        <v>1775</v>
      </c>
      <c r="H243" s="102" t="s">
        <v>272</v>
      </c>
      <c r="I243" s="102" t="s">
        <v>21</v>
      </c>
      <c r="J243" s="103">
        <v>95</v>
      </c>
      <c r="K243" s="104">
        <v>16300</v>
      </c>
      <c r="L243" s="112">
        <v>1548500</v>
      </c>
      <c r="M243" s="115">
        <v>100</v>
      </c>
      <c r="N243" s="115">
        <f t="shared" si="6"/>
        <v>1548500</v>
      </c>
      <c r="O243" s="57">
        <f t="shared" si="7"/>
        <v>0</v>
      </c>
    </row>
    <row r="244" spans="1:15">
      <c r="A244" s="19">
        <v>2026</v>
      </c>
      <c r="B244" s="111">
        <v>2</v>
      </c>
      <c r="C244" s="20">
        <v>46056</v>
      </c>
      <c r="D244" s="99" t="s">
        <v>1883</v>
      </c>
      <c r="E244" s="102" t="s">
        <v>1797</v>
      </c>
      <c r="F244" s="102" t="s">
        <v>272</v>
      </c>
      <c r="G244" s="99" t="s">
        <v>1775</v>
      </c>
      <c r="H244" s="102" t="s">
        <v>272</v>
      </c>
      <c r="I244" s="102" t="s">
        <v>41</v>
      </c>
      <c r="J244" s="103">
        <v>50</v>
      </c>
      <c r="K244" s="104">
        <v>40000</v>
      </c>
      <c r="L244" s="104">
        <v>2000000</v>
      </c>
      <c r="M244" s="115">
        <v>100</v>
      </c>
      <c r="N244" s="115">
        <f t="shared" si="6"/>
        <v>2000000</v>
      </c>
      <c r="O244" s="57">
        <f t="shared" si="7"/>
        <v>0</v>
      </c>
    </row>
    <row r="245" spans="1:15">
      <c r="A245" s="19">
        <v>2026</v>
      </c>
      <c r="B245" s="111">
        <v>2</v>
      </c>
      <c r="C245" s="20">
        <v>46058</v>
      </c>
      <c r="D245" s="99" t="s">
        <v>1884</v>
      </c>
      <c r="E245" s="102" t="s">
        <v>1781</v>
      </c>
      <c r="F245" s="102" t="s">
        <v>875</v>
      </c>
      <c r="G245" s="99" t="s">
        <v>1775</v>
      </c>
      <c r="H245" s="102" t="s">
        <v>875</v>
      </c>
      <c r="I245" s="102" t="s">
        <v>38</v>
      </c>
      <c r="J245" s="103">
        <v>800</v>
      </c>
      <c r="K245" s="104">
        <v>33000</v>
      </c>
      <c r="L245" s="104">
        <v>26400000</v>
      </c>
      <c r="M245" s="115">
        <v>100</v>
      </c>
      <c r="N245" s="115">
        <f t="shared" si="6"/>
        <v>26400000</v>
      </c>
      <c r="O245" s="57">
        <f t="shared" si="7"/>
        <v>0</v>
      </c>
    </row>
    <row r="246" spans="1:15">
      <c r="A246" s="19">
        <v>2026</v>
      </c>
      <c r="B246" s="111">
        <v>2</v>
      </c>
      <c r="C246" s="20">
        <v>46058</v>
      </c>
      <c r="D246" s="99" t="s">
        <v>1885</v>
      </c>
      <c r="E246" s="102" t="s">
        <v>1790</v>
      </c>
      <c r="F246" s="102" t="s">
        <v>1359</v>
      </c>
      <c r="G246" s="99" t="s">
        <v>1775</v>
      </c>
      <c r="H246" s="102" t="s">
        <v>1359</v>
      </c>
      <c r="I246" s="102" t="s">
        <v>41</v>
      </c>
      <c r="J246" s="103">
        <v>200</v>
      </c>
      <c r="K246" s="104">
        <v>40000</v>
      </c>
      <c r="L246" s="104">
        <v>8000000</v>
      </c>
      <c r="M246" s="115">
        <v>100</v>
      </c>
      <c r="N246" s="115">
        <f t="shared" si="6"/>
        <v>8000000</v>
      </c>
      <c r="O246" s="57">
        <f t="shared" si="7"/>
        <v>0</v>
      </c>
    </row>
    <row r="247" spans="1:15">
      <c r="A247" s="19">
        <v>2026</v>
      </c>
      <c r="B247" s="111">
        <v>2</v>
      </c>
      <c r="C247" s="20">
        <v>46058</v>
      </c>
      <c r="D247" s="99" t="s">
        <v>1885</v>
      </c>
      <c r="E247" s="102" t="s">
        <v>1790</v>
      </c>
      <c r="F247" s="102" t="s">
        <v>1359</v>
      </c>
      <c r="G247" s="99" t="s">
        <v>1775</v>
      </c>
      <c r="H247" s="102" t="s">
        <v>1359</v>
      </c>
      <c r="I247" s="102" t="s">
        <v>466</v>
      </c>
      <c r="J247" s="103">
        <v>200</v>
      </c>
      <c r="K247" s="104">
        <v>50000</v>
      </c>
      <c r="L247" s="104">
        <v>10000000</v>
      </c>
      <c r="M247" s="115">
        <v>100</v>
      </c>
      <c r="N247" s="115">
        <f t="shared" si="6"/>
        <v>10000000</v>
      </c>
      <c r="O247" s="57">
        <f t="shared" si="7"/>
        <v>0</v>
      </c>
    </row>
    <row r="248" spans="1:15">
      <c r="A248" s="19">
        <v>2026</v>
      </c>
      <c r="B248" s="111">
        <v>2</v>
      </c>
      <c r="C248" s="20">
        <v>46059</v>
      </c>
      <c r="D248" s="99" t="s">
        <v>1886</v>
      </c>
      <c r="E248" s="102" t="s">
        <v>1779</v>
      </c>
      <c r="F248" s="102" t="s">
        <v>1280</v>
      </c>
      <c r="G248" s="99" t="s">
        <v>1775</v>
      </c>
      <c r="H248" s="102" t="s">
        <v>1280</v>
      </c>
      <c r="I248" s="102" t="s">
        <v>38</v>
      </c>
      <c r="J248" s="103">
        <v>40</v>
      </c>
      <c r="K248" s="104">
        <v>33000</v>
      </c>
      <c r="L248" s="104">
        <v>1320000</v>
      </c>
      <c r="M248" s="115">
        <v>100</v>
      </c>
      <c r="N248" s="115">
        <f t="shared" si="6"/>
        <v>1320000</v>
      </c>
      <c r="O248" s="57">
        <f t="shared" si="7"/>
        <v>0</v>
      </c>
    </row>
    <row r="249" spans="1:15">
      <c r="A249" s="19">
        <v>2026</v>
      </c>
      <c r="B249" s="111">
        <v>2</v>
      </c>
      <c r="C249" s="20">
        <v>46059</v>
      </c>
      <c r="D249" s="99" t="s">
        <v>1887</v>
      </c>
      <c r="E249" s="102" t="s">
        <v>1797</v>
      </c>
      <c r="F249" s="102" t="s">
        <v>272</v>
      </c>
      <c r="G249" s="99" t="s">
        <v>1775</v>
      </c>
      <c r="H249" s="102" t="s">
        <v>272</v>
      </c>
      <c r="I249" s="102" t="s">
        <v>21</v>
      </c>
      <c r="J249" s="103">
        <v>240</v>
      </c>
      <c r="K249" s="104">
        <v>16300</v>
      </c>
      <c r="L249" s="112">
        <v>3912000</v>
      </c>
      <c r="M249" s="115">
        <v>100</v>
      </c>
      <c r="N249" s="115">
        <f t="shared" si="6"/>
        <v>3912000</v>
      </c>
      <c r="O249" s="57">
        <f t="shared" si="7"/>
        <v>0</v>
      </c>
    </row>
    <row r="250" spans="1:15">
      <c r="A250" s="19">
        <v>2026</v>
      </c>
      <c r="B250" s="111">
        <v>2</v>
      </c>
      <c r="C250" s="20">
        <v>46059</v>
      </c>
      <c r="D250" s="99" t="s">
        <v>1888</v>
      </c>
      <c r="E250" s="102" t="s">
        <v>1806</v>
      </c>
      <c r="F250" s="102" t="s">
        <v>1499</v>
      </c>
      <c r="G250" s="99" t="s">
        <v>1775</v>
      </c>
      <c r="H250" s="102" t="s">
        <v>1499</v>
      </c>
      <c r="I250" s="102" t="s">
        <v>21</v>
      </c>
      <c r="J250" s="103">
        <v>480</v>
      </c>
      <c r="K250" s="104">
        <v>16300</v>
      </c>
      <c r="L250" s="112">
        <v>7824000</v>
      </c>
      <c r="M250" s="115">
        <v>100</v>
      </c>
      <c r="N250" s="115">
        <f t="shared" si="6"/>
        <v>7824000</v>
      </c>
      <c r="O250" s="57">
        <f t="shared" si="7"/>
        <v>0</v>
      </c>
    </row>
    <row r="251" spans="1:15">
      <c r="A251" s="19">
        <v>2026</v>
      </c>
      <c r="B251" s="111">
        <v>2</v>
      </c>
      <c r="C251" s="20">
        <v>46059</v>
      </c>
      <c r="D251" s="99" t="s">
        <v>1889</v>
      </c>
      <c r="E251" s="102" t="s">
        <v>16</v>
      </c>
      <c r="F251" s="102" t="s">
        <v>281</v>
      </c>
      <c r="G251" s="99" t="s">
        <v>1775</v>
      </c>
      <c r="H251" s="102" t="s">
        <v>281</v>
      </c>
      <c r="I251" s="102" t="s">
        <v>21</v>
      </c>
      <c r="J251" s="103">
        <v>50</v>
      </c>
      <c r="K251" s="104">
        <v>16300</v>
      </c>
      <c r="L251" s="112">
        <v>815000</v>
      </c>
      <c r="M251" s="115">
        <v>100</v>
      </c>
      <c r="N251" s="115">
        <f t="shared" si="6"/>
        <v>815000</v>
      </c>
      <c r="O251" s="57">
        <f t="shared" si="7"/>
        <v>0</v>
      </c>
    </row>
    <row r="252" spans="1:15">
      <c r="A252" s="19">
        <v>2026</v>
      </c>
      <c r="B252" s="111">
        <v>2</v>
      </c>
      <c r="C252" s="20">
        <v>46059</v>
      </c>
      <c r="D252" s="99" t="s">
        <v>1890</v>
      </c>
      <c r="E252" s="102" t="s">
        <v>1797</v>
      </c>
      <c r="F252" s="102" t="s">
        <v>272</v>
      </c>
      <c r="G252" s="99" t="s">
        <v>1775</v>
      </c>
      <c r="H252" s="102" t="s">
        <v>272</v>
      </c>
      <c r="I252" s="102" t="s">
        <v>41</v>
      </c>
      <c r="J252" s="103">
        <v>50</v>
      </c>
      <c r="K252" s="104">
        <v>40000</v>
      </c>
      <c r="L252" s="104">
        <v>2000000</v>
      </c>
      <c r="M252" s="115">
        <v>100</v>
      </c>
      <c r="N252" s="115">
        <f t="shared" si="6"/>
        <v>2000000</v>
      </c>
      <c r="O252" s="57">
        <f t="shared" si="7"/>
        <v>0</v>
      </c>
    </row>
    <row r="253" spans="1:15">
      <c r="A253" s="19">
        <v>2026</v>
      </c>
      <c r="B253" s="111">
        <v>2</v>
      </c>
      <c r="C253" s="20">
        <v>46063</v>
      </c>
      <c r="D253" s="99" t="s">
        <v>1891</v>
      </c>
      <c r="E253" s="102" t="s">
        <v>16</v>
      </c>
      <c r="F253" s="102" t="s">
        <v>281</v>
      </c>
      <c r="G253" s="99" t="s">
        <v>1775</v>
      </c>
      <c r="H253" s="102" t="s">
        <v>281</v>
      </c>
      <c r="I253" s="102" t="s">
        <v>21</v>
      </c>
      <c r="J253" s="103">
        <v>40</v>
      </c>
      <c r="K253" s="104">
        <v>16300</v>
      </c>
      <c r="L253" s="112">
        <v>652000</v>
      </c>
      <c r="M253" s="115">
        <v>100</v>
      </c>
      <c r="N253" s="115">
        <f t="shared" si="6"/>
        <v>652000</v>
      </c>
      <c r="O253" s="57">
        <f t="shared" si="7"/>
        <v>0</v>
      </c>
    </row>
    <row r="254" spans="1:15">
      <c r="A254" s="19">
        <v>2026</v>
      </c>
      <c r="B254" s="111">
        <v>2</v>
      </c>
      <c r="C254" s="20">
        <v>46063</v>
      </c>
      <c r="D254" s="99" t="s">
        <v>1892</v>
      </c>
      <c r="E254" s="102" t="s">
        <v>1797</v>
      </c>
      <c r="F254" s="102" t="s">
        <v>272</v>
      </c>
      <c r="G254" s="99" t="s">
        <v>1775</v>
      </c>
      <c r="H254" s="102" t="s">
        <v>272</v>
      </c>
      <c r="I254" s="102" t="s">
        <v>41</v>
      </c>
      <c r="J254" s="103">
        <v>100</v>
      </c>
      <c r="K254" s="104">
        <v>40000</v>
      </c>
      <c r="L254" s="104">
        <v>4000000</v>
      </c>
      <c r="M254" s="115">
        <v>100</v>
      </c>
      <c r="N254" s="115">
        <f t="shared" si="6"/>
        <v>4000000</v>
      </c>
      <c r="O254" s="57">
        <f t="shared" si="7"/>
        <v>0</v>
      </c>
    </row>
    <row r="255" spans="1:15">
      <c r="A255" s="19">
        <v>2026</v>
      </c>
      <c r="B255" s="111">
        <v>2</v>
      </c>
      <c r="C255" s="20">
        <v>46063</v>
      </c>
      <c r="D255" s="99" t="s">
        <v>1893</v>
      </c>
      <c r="E255" s="102" t="s">
        <v>1783</v>
      </c>
      <c r="F255" s="102" t="s">
        <v>1272</v>
      </c>
      <c r="G255" s="99" t="s">
        <v>1775</v>
      </c>
      <c r="H255" s="102" t="s">
        <v>1272</v>
      </c>
      <c r="I255" s="102" t="s">
        <v>41</v>
      </c>
      <c r="J255" s="103">
        <v>50</v>
      </c>
      <c r="K255" s="104">
        <v>40000</v>
      </c>
      <c r="L255" s="104">
        <v>2000000</v>
      </c>
      <c r="M255" s="115">
        <v>100</v>
      </c>
      <c r="N255" s="115">
        <f t="shared" si="6"/>
        <v>2000000</v>
      </c>
      <c r="O255" s="57">
        <f t="shared" si="7"/>
        <v>0</v>
      </c>
    </row>
    <row r="256" spans="1:15">
      <c r="A256" s="19">
        <v>2026</v>
      </c>
      <c r="B256" s="111">
        <v>2</v>
      </c>
      <c r="C256" s="20">
        <v>46064</v>
      </c>
      <c r="D256" s="99" t="s">
        <v>1894</v>
      </c>
      <c r="E256" s="102" t="s">
        <v>1815</v>
      </c>
      <c r="F256" s="102" t="s">
        <v>894</v>
      </c>
      <c r="G256" s="99" t="s">
        <v>1775</v>
      </c>
      <c r="H256" s="102" t="s">
        <v>894</v>
      </c>
      <c r="I256" s="102" t="s">
        <v>41</v>
      </c>
      <c r="J256" s="103">
        <v>500</v>
      </c>
      <c r="K256" s="104">
        <v>40000</v>
      </c>
      <c r="L256" s="104">
        <v>20000000</v>
      </c>
      <c r="M256" s="115">
        <v>100</v>
      </c>
      <c r="N256" s="115">
        <f t="shared" si="6"/>
        <v>20000000</v>
      </c>
      <c r="O256" s="57">
        <f t="shared" si="7"/>
        <v>0</v>
      </c>
    </row>
    <row r="257" spans="1:15">
      <c r="A257" s="19">
        <v>2026</v>
      </c>
      <c r="B257" s="111">
        <v>2</v>
      </c>
      <c r="C257" s="20">
        <v>46064</v>
      </c>
      <c r="D257" s="99" t="s">
        <v>1895</v>
      </c>
      <c r="E257" s="102" t="s">
        <v>1779</v>
      </c>
      <c r="F257" s="102" t="s">
        <v>1280</v>
      </c>
      <c r="G257" s="99" t="s">
        <v>1775</v>
      </c>
      <c r="H257" s="102" t="s">
        <v>1280</v>
      </c>
      <c r="I257" s="102" t="s">
        <v>38</v>
      </c>
      <c r="J257" s="103">
        <v>40</v>
      </c>
      <c r="K257" s="104">
        <v>33000</v>
      </c>
      <c r="L257" s="104">
        <v>1320000</v>
      </c>
      <c r="M257" s="115">
        <v>100</v>
      </c>
      <c r="N257" s="115">
        <f t="shared" si="6"/>
        <v>1320000</v>
      </c>
      <c r="O257" s="57">
        <f t="shared" si="7"/>
        <v>0</v>
      </c>
    </row>
    <row r="258" spans="1:15">
      <c r="A258" s="19">
        <v>2026</v>
      </c>
      <c r="B258" s="111">
        <v>2</v>
      </c>
      <c r="C258" s="20">
        <v>46064</v>
      </c>
      <c r="D258" s="99" t="s">
        <v>1896</v>
      </c>
      <c r="E258" s="102" t="s">
        <v>16</v>
      </c>
      <c r="F258" s="102" t="s">
        <v>281</v>
      </c>
      <c r="G258" s="99" t="s">
        <v>1775</v>
      </c>
      <c r="H258" s="102" t="s">
        <v>281</v>
      </c>
      <c r="I258" s="102" t="s">
        <v>21</v>
      </c>
      <c r="J258" s="103">
        <v>50</v>
      </c>
      <c r="K258" s="104">
        <v>16300</v>
      </c>
      <c r="L258" s="112">
        <v>815000</v>
      </c>
      <c r="M258" s="115">
        <v>100</v>
      </c>
      <c r="N258" s="115">
        <f t="shared" si="6"/>
        <v>815000</v>
      </c>
      <c r="O258" s="57">
        <f t="shared" si="7"/>
        <v>0</v>
      </c>
    </row>
    <row r="259" spans="1:15">
      <c r="A259" s="19">
        <v>2026</v>
      </c>
      <c r="B259" s="111">
        <v>2</v>
      </c>
      <c r="C259" s="20">
        <v>46065</v>
      </c>
      <c r="D259" s="99" t="s">
        <v>1897</v>
      </c>
      <c r="E259" s="102" t="s">
        <v>1862</v>
      </c>
      <c r="F259" s="102" t="s">
        <v>1264</v>
      </c>
      <c r="G259" s="99" t="s">
        <v>1775</v>
      </c>
      <c r="H259" s="102" t="s">
        <v>1264</v>
      </c>
      <c r="I259" s="102" t="s">
        <v>46</v>
      </c>
      <c r="J259" s="103">
        <v>80</v>
      </c>
      <c r="K259" s="104">
        <v>31000</v>
      </c>
      <c r="L259" s="104">
        <v>2480000</v>
      </c>
      <c r="M259" s="115">
        <v>100</v>
      </c>
      <c r="N259" s="115">
        <f t="shared" si="6"/>
        <v>2480000</v>
      </c>
      <c r="O259" s="57">
        <f t="shared" si="7"/>
        <v>0</v>
      </c>
    </row>
    <row r="260" spans="1:15">
      <c r="A260" s="19">
        <v>2026</v>
      </c>
      <c r="B260" s="111">
        <v>2</v>
      </c>
      <c r="C260" s="20">
        <v>46065</v>
      </c>
      <c r="D260" s="99" t="s">
        <v>1898</v>
      </c>
      <c r="E260" s="102" t="s">
        <v>1779</v>
      </c>
      <c r="F260" s="102" t="s">
        <v>1280</v>
      </c>
      <c r="G260" s="99" t="s">
        <v>1775</v>
      </c>
      <c r="H260" s="102" t="s">
        <v>1280</v>
      </c>
      <c r="I260" s="102" t="s">
        <v>38</v>
      </c>
      <c r="J260" s="103">
        <v>40</v>
      </c>
      <c r="K260" s="104">
        <v>33000</v>
      </c>
      <c r="L260" s="104">
        <v>1320000</v>
      </c>
      <c r="M260" s="115">
        <v>100</v>
      </c>
      <c r="N260" s="115">
        <f t="shared" ref="N260:N323" si="8">+L260*M260%</f>
        <v>1320000</v>
      </c>
      <c r="O260" s="57">
        <f t="shared" ref="O260:O323" si="9">L260-N260</f>
        <v>0</v>
      </c>
    </row>
    <row r="261" spans="1:15">
      <c r="A261" s="19">
        <v>2026</v>
      </c>
      <c r="B261" s="111">
        <v>2</v>
      </c>
      <c r="C261" s="20">
        <v>46066</v>
      </c>
      <c r="D261" s="99" t="s">
        <v>1899</v>
      </c>
      <c r="E261" s="102" t="s">
        <v>16</v>
      </c>
      <c r="F261" s="102" t="s">
        <v>281</v>
      </c>
      <c r="G261" s="99" t="s">
        <v>1775</v>
      </c>
      <c r="H261" s="102" t="s">
        <v>281</v>
      </c>
      <c r="I261" s="102" t="s">
        <v>466</v>
      </c>
      <c r="J261" s="103">
        <v>40</v>
      </c>
      <c r="K261" s="104">
        <v>50000</v>
      </c>
      <c r="L261" s="104">
        <v>2000000</v>
      </c>
      <c r="M261" s="115">
        <v>100</v>
      </c>
      <c r="N261" s="115">
        <f t="shared" si="8"/>
        <v>2000000</v>
      </c>
      <c r="O261" s="57">
        <f t="shared" si="9"/>
        <v>0</v>
      </c>
    </row>
    <row r="262" spans="1:15">
      <c r="A262" s="19">
        <v>2026</v>
      </c>
      <c r="B262" s="111">
        <v>2</v>
      </c>
      <c r="C262" s="20">
        <v>46066</v>
      </c>
      <c r="D262" s="99" t="s">
        <v>1900</v>
      </c>
      <c r="E262" s="102" t="s">
        <v>1797</v>
      </c>
      <c r="F262" s="102" t="s">
        <v>272</v>
      </c>
      <c r="G262" s="99" t="s">
        <v>1775</v>
      </c>
      <c r="H262" s="102" t="s">
        <v>272</v>
      </c>
      <c r="I262" s="102" t="s">
        <v>21</v>
      </c>
      <c r="J262" s="103">
        <v>240</v>
      </c>
      <c r="K262" s="104">
        <v>16300</v>
      </c>
      <c r="L262" s="112">
        <v>3912000</v>
      </c>
      <c r="M262" s="115">
        <v>100</v>
      </c>
      <c r="N262" s="115">
        <f t="shared" si="8"/>
        <v>3912000</v>
      </c>
      <c r="O262" s="57">
        <f t="shared" si="9"/>
        <v>0</v>
      </c>
    </row>
    <row r="263" spans="1:15">
      <c r="A263" s="19">
        <v>2026</v>
      </c>
      <c r="B263" s="111">
        <v>2</v>
      </c>
      <c r="C263" s="20">
        <v>46070</v>
      </c>
      <c r="D263" s="99" t="s">
        <v>1901</v>
      </c>
      <c r="E263" s="102" t="s">
        <v>1779</v>
      </c>
      <c r="F263" s="102" t="s">
        <v>1280</v>
      </c>
      <c r="G263" s="99" t="s">
        <v>1775</v>
      </c>
      <c r="H263" s="102" t="s">
        <v>1280</v>
      </c>
      <c r="I263" s="102" t="s">
        <v>41</v>
      </c>
      <c r="J263" s="103">
        <v>40</v>
      </c>
      <c r="K263" s="104">
        <v>40000</v>
      </c>
      <c r="L263" s="104">
        <v>1600000</v>
      </c>
      <c r="M263" s="115">
        <v>100</v>
      </c>
      <c r="N263" s="115">
        <f t="shared" si="8"/>
        <v>1600000</v>
      </c>
      <c r="O263" s="57">
        <f t="shared" si="9"/>
        <v>0</v>
      </c>
    </row>
    <row r="264" spans="1:15">
      <c r="A264" s="19">
        <v>2026</v>
      </c>
      <c r="B264" s="111">
        <v>2</v>
      </c>
      <c r="C264" s="20">
        <v>46071</v>
      </c>
      <c r="D264" s="99" t="s">
        <v>1902</v>
      </c>
      <c r="E264" s="102" t="s">
        <v>16</v>
      </c>
      <c r="F264" s="102" t="s">
        <v>281</v>
      </c>
      <c r="G264" s="99" t="s">
        <v>1775</v>
      </c>
      <c r="H264" s="102" t="s">
        <v>281</v>
      </c>
      <c r="I264" s="102" t="s">
        <v>21</v>
      </c>
      <c r="J264" s="103">
        <v>50</v>
      </c>
      <c r="K264" s="104">
        <v>16300</v>
      </c>
      <c r="L264" s="112">
        <v>815000</v>
      </c>
      <c r="M264" s="115">
        <v>100</v>
      </c>
      <c r="N264" s="115">
        <f t="shared" si="8"/>
        <v>815000</v>
      </c>
      <c r="O264" s="57">
        <f t="shared" si="9"/>
        <v>0</v>
      </c>
    </row>
    <row r="265" spans="1:15">
      <c r="A265" s="19">
        <v>2026</v>
      </c>
      <c r="B265" s="111">
        <v>2</v>
      </c>
      <c r="C265" s="20">
        <v>46072</v>
      </c>
      <c r="D265" s="99" t="s">
        <v>1903</v>
      </c>
      <c r="E265" s="102" t="s">
        <v>1808</v>
      </c>
      <c r="F265" s="102" t="s">
        <v>1291</v>
      </c>
      <c r="G265" s="99" t="s">
        <v>1775</v>
      </c>
      <c r="H265" s="102" t="s">
        <v>1291</v>
      </c>
      <c r="I265" s="102" t="s">
        <v>46</v>
      </c>
      <c r="J265" s="103">
        <v>120</v>
      </c>
      <c r="K265" s="104">
        <v>31000</v>
      </c>
      <c r="L265" s="104">
        <v>3720000</v>
      </c>
      <c r="M265" s="115">
        <v>100</v>
      </c>
      <c r="N265" s="115">
        <f t="shared" si="8"/>
        <v>3720000</v>
      </c>
      <c r="O265" s="57">
        <f t="shared" si="9"/>
        <v>0</v>
      </c>
    </row>
    <row r="266" spans="1:15">
      <c r="A266" s="19">
        <v>2026</v>
      </c>
      <c r="B266" s="111">
        <v>2</v>
      </c>
      <c r="C266" s="20">
        <v>46072</v>
      </c>
      <c r="D266" s="99" t="s">
        <v>1904</v>
      </c>
      <c r="E266" s="102" t="s">
        <v>1781</v>
      </c>
      <c r="F266" s="102" t="s">
        <v>875</v>
      </c>
      <c r="G266" s="99" t="s">
        <v>1775</v>
      </c>
      <c r="H266" s="102" t="s">
        <v>875</v>
      </c>
      <c r="I266" s="102" t="s">
        <v>38</v>
      </c>
      <c r="J266" s="103">
        <v>50</v>
      </c>
      <c r="K266" s="104">
        <v>33000</v>
      </c>
      <c r="L266" s="104">
        <v>1650000</v>
      </c>
      <c r="M266" s="115">
        <v>100</v>
      </c>
      <c r="N266" s="115">
        <f t="shared" si="8"/>
        <v>1650000</v>
      </c>
      <c r="O266" s="57">
        <f t="shared" si="9"/>
        <v>0</v>
      </c>
    </row>
    <row r="267" spans="1:15">
      <c r="A267" s="19">
        <v>2026</v>
      </c>
      <c r="B267" s="111">
        <v>2</v>
      </c>
      <c r="C267" s="20">
        <v>46073</v>
      </c>
      <c r="D267" s="99" t="s">
        <v>1905</v>
      </c>
      <c r="E267" s="102" t="s">
        <v>1779</v>
      </c>
      <c r="F267" s="102" t="s">
        <v>1280</v>
      </c>
      <c r="G267" s="99" t="s">
        <v>1775</v>
      </c>
      <c r="H267" s="102" t="s">
        <v>1280</v>
      </c>
      <c r="I267" s="102" t="s">
        <v>466</v>
      </c>
      <c r="J267" s="103">
        <v>40</v>
      </c>
      <c r="K267" s="104">
        <v>50000</v>
      </c>
      <c r="L267" s="104">
        <v>2000000</v>
      </c>
      <c r="M267" s="115">
        <v>100</v>
      </c>
      <c r="N267" s="115">
        <f t="shared" si="8"/>
        <v>2000000</v>
      </c>
      <c r="O267" s="57">
        <f t="shared" si="9"/>
        <v>0</v>
      </c>
    </row>
    <row r="268" spans="1:15">
      <c r="A268" s="19">
        <v>2026</v>
      </c>
      <c r="B268" s="111">
        <v>2</v>
      </c>
      <c r="C268" s="20">
        <v>46073</v>
      </c>
      <c r="D268" s="99" t="s">
        <v>1906</v>
      </c>
      <c r="E268" s="102" t="s">
        <v>1797</v>
      </c>
      <c r="F268" s="102" t="s">
        <v>272</v>
      </c>
      <c r="G268" s="99" t="s">
        <v>1775</v>
      </c>
      <c r="H268" s="102" t="s">
        <v>272</v>
      </c>
      <c r="I268" s="102" t="s">
        <v>41</v>
      </c>
      <c r="J268" s="103">
        <v>40</v>
      </c>
      <c r="K268" s="104">
        <v>40000</v>
      </c>
      <c r="L268" s="104">
        <v>1600000</v>
      </c>
      <c r="M268" s="115">
        <v>100</v>
      </c>
      <c r="N268" s="115">
        <f t="shared" si="8"/>
        <v>1600000</v>
      </c>
      <c r="O268" s="57">
        <f t="shared" si="9"/>
        <v>0</v>
      </c>
    </row>
    <row r="269" spans="1:15">
      <c r="A269" s="19">
        <v>2026</v>
      </c>
      <c r="B269" s="111">
        <v>2</v>
      </c>
      <c r="C269" s="20">
        <v>46073</v>
      </c>
      <c r="D269" s="99" t="s">
        <v>1906</v>
      </c>
      <c r="E269" s="102" t="s">
        <v>1797</v>
      </c>
      <c r="F269" s="102" t="s">
        <v>272</v>
      </c>
      <c r="G269" s="99" t="s">
        <v>1775</v>
      </c>
      <c r="H269" s="102" t="s">
        <v>272</v>
      </c>
      <c r="I269" s="102" t="s">
        <v>21</v>
      </c>
      <c r="J269" s="103">
        <v>120</v>
      </c>
      <c r="K269" s="104">
        <v>16300</v>
      </c>
      <c r="L269" s="112">
        <v>1956000</v>
      </c>
      <c r="M269" s="115">
        <v>100</v>
      </c>
      <c r="N269" s="115">
        <f t="shared" si="8"/>
        <v>1956000</v>
      </c>
      <c r="O269" s="57">
        <f t="shared" si="9"/>
        <v>0</v>
      </c>
    </row>
    <row r="270" spans="1:15">
      <c r="A270" s="19">
        <v>2026</v>
      </c>
      <c r="B270" s="111">
        <v>2</v>
      </c>
      <c r="C270" s="20">
        <v>46073</v>
      </c>
      <c r="D270" s="99" t="s">
        <v>1907</v>
      </c>
      <c r="E270" s="102" t="s">
        <v>1797</v>
      </c>
      <c r="F270" s="102" t="s">
        <v>272</v>
      </c>
      <c r="G270" s="99" t="s">
        <v>1775</v>
      </c>
      <c r="H270" s="102" t="s">
        <v>272</v>
      </c>
      <c r="I270" s="102" t="s">
        <v>21</v>
      </c>
      <c r="J270" s="103">
        <v>120</v>
      </c>
      <c r="K270" s="104">
        <v>16300</v>
      </c>
      <c r="L270" s="112">
        <v>1956000</v>
      </c>
      <c r="M270" s="115">
        <v>100</v>
      </c>
      <c r="N270" s="115">
        <f t="shared" si="8"/>
        <v>1956000</v>
      </c>
      <c r="O270" s="57">
        <f t="shared" si="9"/>
        <v>0</v>
      </c>
    </row>
    <row r="271" spans="1:15">
      <c r="A271" s="19">
        <v>2026</v>
      </c>
      <c r="B271" s="111">
        <v>2</v>
      </c>
      <c r="C271" s="20">
        <v>46073</v>
      </c>
      <c r="D271" s="99" t="s">
        <v>1908</v>
      </c>
      <c r="E271" s="102" t="s">
        <v>1319</v>
      </c>
      <c r="F271" s="102" t="s">
        <v>1319</v>
      </c>
      <c r="G271" s="99" t="s">
        <v>1775</v>
      </c>
      <c r="H271" s="102" t="s">
        <v>1319</v>
      </c>
      <c r="I271" s="102" t="s">
        <v>41</v>
      </c>
      <c r="J271" s="103">
        <v>100</v>
      </c>
      <c r="K271" s="104">
        <v>40000</v>
      </c>
      <c r="L271" s="104">
        <v>4000000</v>
      </c>
      <c r="M271" s="115">
        <v>100</v>
      </c>
      <c r="N271" s="115">
        <f t="shared" si="8"/>
        <v>4000000</v>
      </c>
      <c r="O271" s="57">
        <f t="shared" si="9"/>
        <v>0</v>
      </c>
    </row>
    <row r="272" spans="1:15">
      <c r="A272" s="19">
        <v>2026</v>
      </c>
      <c r="B272" s="111">
        <v>2</v>
      </c>
      <c r="C272" s="20">
        <v>46076</v>
      </c>
      <c r="D272" s="99" t="s">
        <v>1909</v>
      </c>
      <c r="E272" s="102" t="s">
        <v>1806</v>
      </c>
      <c r="F272" s="102" t="s">
        <v>1499</v>
      </c>
      <c r="G272" s="99" t="s">
        <v>1775</v>
      </c>
      <c r="H272" s="102" t="s">
        <v>1499</v>
      </c>
      <c r="I272" s="102" t="s">
        <v>41</v>
      </c>
      <c r="J272" s="103">
        <v>220</v>
      </c>
      <c r="K272" s="104">
        <v>40000</v>
      </c>
      <c r="L272" s="104">
        <v>8800000</v>
      </c>
      <c r="M272" s="115">
        <v>100</v>
      </c>
      <c r="N272" s="115">
        <f t="shared" si="8"/>
        <v>8800000</v>
      </c>
      <c r="O272" s="57">
        <f t="shared" si="9"/>
        <v>0</v>
      </c>
    </row>
    <row r="273" spans="1:15">
      <c r="A273" s="19">
        <v>2026</v>
      </c>
      <c r="B273" s="111">
        <v>2</v>
      </c>
      <c r="C273" s="20">
        <v>46076</v>
      </c>
      <c r="D273" s="99" t="s">
        <v>1909</v>
      </c>
      <c r="E273" s="102" t="s">
        <v>1806</v>
      </c>
      <c r="F273" s="102" t="s">
        <v>1499</v>
      </c>
      <c r="G273" s="99" t="s">
        <v>1775</v>
      </c>
      <c r="H273" s="102" t="s">
        <v>1499</v>
      </c>
      <c r="I273" s="102" t="s">
        <v>41</v>
      </c>
      <c r="J273" s="103">
        <v>380</v>
      </c>
      <c r="K273" s="104">
        <v>40000</v>
      </c>
      <c r="L273" s="104">
        <v>15200000</v>
      </c>
      <c r="M273" s="115">
        <v>100</v>
      </c>
      <c r="N273" s="115">
        <f t="shared" si="8"/>
        <v>15200000</v>
      </c>
      <c r="O273" s="57">
        <f t="shared" si="9"/>
        <v>0</v>
      </c>
    </row>
    <row r="274" spans="1:15">
      <c r="A274" s="19">
        <v>2026</v>
      </c>
      <c r="B274" s="111">
        <v>2</v>
      </c>
      <c r="C274" s="20">
        <v>46076</v>
      </c>
      <c r="D274" s="99" t="s">
        <v>1909</v>
      </c>
      <c r="E274" s="102" t="s">
        <v>1806</v>
      </c>
      <c r="F274" s="102" t="s">
        <v>1499</v>
      </c>
      <c r="G274" s="99" t="s">
        <v>1775</v>
      </c>
      <c r="H274" s="102" t="s">
        <v>1499</v>
      </c>
      <c r="I274" s="102" t="s">
        <v>38</v>
      </c>
      <c r="J274" s="103">
        <v>200</v>
      </c>
      <c r="K274" s="104">
        <v>33000</v>
      </c>
      <c r="L274" s="104">
        <v>6600000</v>
      </c>
      <c r="M274" s="115">
        <v>100</v>
      </c>
      <c r="N274" s="115">
        <f t="shared" si="8"/>
        <v>6600000</v>
      </c>
      <c r="O274" s="57">
        <f t="shared" si="9"/>
        <v>0</v>
      </c>
    </row>
    <row r="275" spans="1:15">
      <c r="A275" s="19">
        <v>2026</v>
      </c>
      <c r="B275" s="111">
        <v>2</v>
      </c>
      <c r="C275" s="20">
        <v>46076</v>
      </c>
      <c r="D275" s="99" t="s">
        <v>1910</v>
      </c>
      <c r="E275" s="102" t="s">
        <v>1779</v>
      </c>
      <c r="F275" s="102" t="s">
        <v>1280</v>
      </c>
      <c r="G275" s="99" t="s">
        <v>1775</v>
      </c>
      <c r="H275" s="102" t="s">
        <v>1280</v>
      </c>
      <c r="I275" s="102" t="s">
        <v>46</v>
      </c>
      <c r="J275" s="103">
        <v>200</v>
      </c>
      <c r="K275" s="104">
        <v>31000</v>
      </c>
      <c r="L275" s="104">
        <v>6200000</v>
      </c>
      <c r="M275" s="115">
        <v>100</v>
      </c>
      <c r="N275" s="115">
        <f t="shared" si="8"/>
        <v>6200000</v>
      </c>
      <c r="O275" s="57">
        <f t="shared" si="9"/>
        <v>0</v>
      </c>
    </row>
    <row r="276" spans="1:15">
      <c r="A276" s="19">
        <v>2026</v>
      </c>
      <c r="B276" s="111">
        <v>2</v>
      </c>
      <c r="C276" s="20">
        <v>46076</v>
      </c>
      <c r="D276" s="99" t="s">
        <v>1910</v>
      </c>
      <c r="E276" s="102" t="s">
        <v>1779</v>
      </c>
      <c r="F276" s="102" t="s">
        <v>1280</v>
      </c>
      <c r="G276" s="99" t="s">
        <v>1775</v>
      </c>
      <c r="H276" s="102" t="s">
        <v>1280</v>
      </c>
      <c r="I276" s="102" t="s">
        <v>38</v>
      </c>
      <c r="J276" s="103">
        <v>150</v>
      </c>
      <c r="K276" s="104">
        <v>33000</v>
      </c>
      <c r="L276" s="104">
        <v>4950000</v>
      </c>
      <c r="M276" s="115">
        <v>100</v>
      </c>
      <c r="N276" s="115">
        <f t="shared" si="8"/>
        <v>4950000</v>
      </c>
      <c r="O276" s="57">
        <f t="shared" si="9"/>
        <v>0</v>
      </c>
    </row>
    <row r="277" spans="1:15">
      <c r="A277" s="19">
        <v>2026</v>
      </c>
      <c r="B277" s="111">
        <v>2</v>
      </c>
      <c r="C277" s="20">
        <v>46077</v>
      </c>
      <c r="D277" s="99" t="s">
        <v>1911</v>
      </c>
      <c r="E277" s="102" t="s">
        <v>16</v>
      </c>
      <c r="F277" s="102" t="s">
        <v>281</v>
      </c>
      <c r="G277" s="99" t="s">
        <v>1775</v>
      </c>
      <c r="H277" s="102" t="s">
        <v>281</v>
      </c>
      <c r="I277" s="102" t="s">
        <v>466</v>
      </c>
      <c r="J277" s="103">
        <v>40</v>
      </c>
      <c r="K277" s="104">
        <v>50000</v>
      </c>
      <c r="L277" s="104">
        <v>2000000</v>
      </c>
      <c r="M277" s="115">
        <v>100</v>
      </c>
      <c r="N277" s="115">
        <f t="shared" si="8"/>
        <v>2000000</v>
      </c>
      <c r="O277" s="57">
        <f t="shared" si="9"/>
        <v>0</v>
      </c>
    </row>
    <row r="278" spans="1:15">
      <c r="A278" s="19">
        <v>2026</v>
      </c>
      <c r="B278" s="111">
        <v>2</v>
      </c>
      <c r="C278" s="20">
        <v>46078</v>
      </c>
      <c r="D278" s="99" t="s">
        <v>1912</v>
      </c>
      <c r="E278" s="102" t="s">
        <v>16</v>
      </c>
      <c r="F278" s="102" t="s">
        <v>281</v>
      </c>
      <c r="G278" s="99" t="s">
        <v>1775</v>
      </c>
      <c r="H278" s="102" t="s">
        <v>281</v>
      </c>
      <c r="I278" s="102" t="s">
        <v>21</v>
      </c>
      <c r="J278" s="103">
        <v>200</v>
      </c>
      <c r="K278" s="104">
        <v>16300</v>
      </c>
      <c r="L278" s="112">
        <v>3260000</v>
      </c>
      <c r="M278" s="115">
        <v>100</v>
      </c>
      <c r="N278" s="115">
        <f t="shared" si="8"/>
        <v>3260000</v>
      </c>
      <c r="O278" s="57">
        <f t="shared" si="9"/>
        <v>0</v>
      </c>
    </row>
    <row r="279" spans="1:15">
      <c r="A279" s="19">
        <v>2026</v>
      </c>
      <c r="B279" s="111">
        <v>2</v>
      </c>
      <c r="C279" s="20">
        <v>46078</v>
      </c>
      <c r="D279" s="99" t="s">
        <v>1913</v>
      </c>
      <c r="E279" s="102" t="s">
        <v>1797</v>
      </c>
      <c r="F279" s="102" t="s">
        <v>272</v>
      </c>
      <c r="G279" s="99" t="s">
        <v>1775</v>
      </c>
      <c r="H279" s="102" t="s">
        <v>272</v>
      </c>
      <c r="I279" s="102" t="s">
        <v>41</v>
      </c>
      <c r="J279" s="103">
        <v>50</v>
      </c>
      <c r="K279" s="104">
        <v>40000</v>
      </c>
      <c r="L279" s="104">
        <v>2000000</v>
      </c>
      <c r="M279" s="115">
        <v>100</v>
      </c>
      <c r="N279" s="115">
        <f t="shared" si="8"/>
        <v>2000000</v>
      </c>
      <c r="O279" s="57">
        <f t="shared" si="9"/>
        <v>0</v>
      </c>
    </row>
    <row r="280" spans="1:15">
      <c r="A280" s="19">
        <v>2026</v>
      </c>
      <c r="B280" s="111">
        <v>2</v>
      </c>
      <c r="C280" s="20">
        <v>46078</v>
      </c>
      <c r="D280" s="99" t="s">
        <v>1913</v>
      </c>
      <c r="E280" s="102" t="s">
        <v>1797</v>
      </c>
      <c r="F280" s="102" t="s">
        <v>272</v>
      </c>
      <c r="G280" s="99" t="s">
        <v>1775</v>
      </c>
      <c r="H280" s="102" t="s">
        <v>272</v>
      </c>
      <c r="I280" s="102" t="s">
        <v>466</v>
      </c>
      <c r="J280" s="103">
        <v>50</v>
      </c>
      <c r="K280" s="104">
        <v>50000</v>
      </c>
      <c r="L280" s="104">
        <v>2500000</v>
      </c>
      <c r="M280" s="115">
        <v>100</v>
      </c>
      <c r="N280" s="115">
        <f t="shared" si="8"/>
        <v>2500000</v>
      </c>
      <c r="O280" s="57">
        <f t="shared" si="9"/>
        <v>0</v>
      </c>
    </row>
    <row r="281" spans="1:15">
      <c r="A281" s="19">
        <v>2026</v>
      </c>
      <c r="B281" s="111">
        <v>2</v>
      </c>
      <c r="C281" s="20">
        <v>46078</v>
      </c>
      <c r="D281" s="99" t="s">
        <v>1913</v>
      </c>
      <c r="E281" s="102" t="s">
        <v>1797</v>
      </c>
      <c r="F281" s="102" t="s">
        <v>272</v>
      </c>
      <c r="G281" s="99" t="s">
        <v>1775</v>
      </c>
      <c r="H281" s="102" t="s">
        <v>272</v>
      </c>
      <c r="I281" s="102" t="s">
        <v>21</v>
      </c>
      <c r="J281" s="103">
        <v>120</v>
      </c>
      <c r="K281" s="104">
        <v>16300</v>
      </c>
      <c r="L281" s="112">
        <v>1956000</v>
      </c>
      <c r="M281" s="115">
        <v>100</v>
      </c>
      <c r="N281" s="115">
        <f t="shared" si="8"/>
        <v>1956000</v>
      </c>
      <c r="O281" s="57">
        <f t="shared" si="9"/>
        <v>0</v>
      </c>
    </row>
    <row r="282" spans="1:15">
      <c r="A282" s="19">
        <v>2026</v>
      </c>
      <c r="B282" s="111">
        <v>2</v>
      </c>
      <c r="C282" s="20">
        <v>46079</v>
      </c>
      <c r="D282" s="99" t="s">
        <v>1914</v>
      </c>
      <c r="E282" s="102" t="s">
        <v>1779</v>
      </c>
      <c r="F282" s="102" t="s">
        <v>1280</v>
      </c>
      <c r="G282" s="99" t="s">
        <v>1775</v>
      </c>
      <c r="H282" s="102" t="s">
        <v>1280</v>
      </c>
      <c r="I282" s="102" t="s">
        <v>466</v>
      </c>
      <c r="J282" s="103">
        <v>40</v>
      </c>
      <c r="K282" s="104">
        <v>50000</v>
      </c>
      <c r="L282" s="104">
        <v>2000000</v>
      </c>
      <c r="M282" s="115">
        <v>100</v>
      </c>
      <c r="N282" s="115">
        <f t="shared" si="8"/>
        <v>2000000</v>
      </c>
      <c r="O282" s="57">
        <f t="shared" si="9"/>
        <v>0</v>
      </c>
    </row>
    <row r="283" spans="1:15">
      <c r="A283" s="19">
        <v>2026</v>
      </c>
      <c r="B283" s="111">
        <v>2</v>
      </c>
      <c r="C283" s="20">
        <v>46080</v>
      </c>
      <c r="D283" s="99" t="s">
        <v>1915</v>
      </c>
      <c r="E283" s="102" t="s">
        <v>1808</v>
      </c>
      <c r="F283" s="102" t="s">
        <v>1291</v>
      </c>
      <c r="G283" s="99" t="s">
        <v>1775</v>
      </c>
      <c r="H283" s="102" t="s">
        <v>1291</v>
      </c>
      <c r="I283" s="102" t="s">
        <v>46</v>
      </c>
      <c r="J283" s="103">
        <v>500</v>
      </c>
      <c r="K283" s="104">
        <v>31000</v>
      </c>
      <c r="L283" s="104">
        <v>15500000</v>
      </c>
      <c r="M283" s="115">
        <v>100</v>
      </c>
      <c r="N283" s="115">
        <f t="shared" si="8"/>
        <v>15500000</v>
      </c>
      <c r="O283" s="57">
        <f t="shared" si="9"/>
        <v>0</v>
      </c>
    </row>
    <row r="284" spans="1:15">
      <c r="A284" s="19">
        <v>2026</v>
      </c>
      <c r="B284" s="111">
        <v>2</v>
      </c>
      <c r="C284" s="20">
        <v>46080</v>
      </c>
      <c r="D284" s="99" t="s">
        <v>1915</v>
      </c>
      <c r="E284" s="102" t="s">
        <v>1808</v>
      </c>
      <c r="F284" s="102" t="s">
        <v>1291</v>
      </c>
      <c r="G284" s="99" t="s">
        <v>1775</v>
      </c>
      <c r="H284" s="102" t="s">
        <v>1291</v>
      </c>
      <c r="I284" s="102" t="s">
        <v>41</v>
      </c>
      <c r="J284" s="103">
        <v>200</v>
      </c>
      <c r="K284" s="104">
        <v>40000</v>
      </c>
      <c r="L284" s="104">
        <v>8000000</v>
      </c>
      <c r="M284" s="115">
        <v>100</v>
      </c>
      <c r="N284" s="115">
        <f t="shared" si="8"/>
        <v>8000000</v>
      </c>
      <c r="O284" s="57">
        <f t="shared" si="9"/>
        <v>0</v>
      </c>
    </row>
    <row r="285" spans="1:15">
      <c r="A285" s="19">
        <v>2026</v>
      </c>
      <c r="B285" s="111">
        <v>3</v>
      </c>
      <c r="C285" s="20">
        <v>46083</v>
      </c>
      <c r="D285" s="99" t="s">
        <v>1916</v>
      </c>
      <c r="E285" s="102" t="s">
        <v>16</v>
      </c>
      <c r="F285" s="102" t="s">
        <v>281</v>
      </c>
      <c r="G285" s="99" t="s">
        <v>1775</v>
      </c>
      <c r="H285" s="102" t="s">
        <v>281</v>
      </c>
      <c r="I285" s="102" t="s">
        <v>38</v>
      </c>
      <c r="J285" s="103">
        <v>50</v>
      </c>
      <c r="K285" s="104">
        <v>33000</v>
      </c>
      <c r="L285" s="104">
        <v>1650000</v>
      </c>
      <c r="M285" s="115">
        <v>100</v>
      </c>
      <c r="N285" s="115">
        <f t="shared" si="8"/>
        <v>1650000</v>
      </c>
      <c r="O285" s="57">
        <f t="shared" si="9"/>
        <v>0</v>
      </c>
    </row>
    <row r="286" spans="1:15">
      <c r="A286" s="19">
        <v>2026</v>
      </c>
      <c r="B286" s="111">
        <v>3</v>
      </c>
      <c r="C286" s="20">
        <v>46083</v>
      </c>
      <c r="D286" s="99" t="s">
        <v>1917</v>
      </c>
      <c r="E286" s="102" t="s">
        <v>1797</v>
      </c>
      <c r="F286" s="102" t="s">
        <v>272</v>
      </c>
      <c r="G286" s="99" t="s">
        <v>1775</v>
      </c>
      <c r="H286" s="102" t="s">
        <v>272</v>
      </c>
      <c r="I286" s="102" t="s">
        <v>38</v>
      </c>
      <c r="J286" s="103">
        <v>50</v>
      </c>
      <c r="K286" s="104">
        <v>33000</v>
      </c>
      <c r="L286" s="104">
        <v>1650000</v>
      </c>
      <c r="M286" s="115">
        <v>100</v>
      </c>
      <c r="N286" s="115">
        <f t="shared" si="8"/>
        <v>1650000</v>
      </c>
      <c r="O286" s="57">
        <f t="shared" si="9"/>
        <v>0</v>
      </c>
    </row>
    <row r="287" spans="1:15">
      <c r="A287" s="19">
        <v>2026</v>
      </c>
      <c r="B287" s="111">
        <v>3</v>
      </c>
      <c r="C287" s="20">
        <v>46084</v>
      </c>
      <c r="D287" s="99" t="s">
        <v>1918</v>
      </c>
      <c r="E287" s="102" t="s">
        <v>1797</v>
      </c>
      <c r="F287" s="102" t="s">
        <v>272</v>
      </c>
      <c r="G287" s="99" t="s">
        <v>1775</v>
      </c>
      <c r="H287" s="102" t="s">
        <v>272</v>
      </c>
      <c r="I287" s="102" t="s">
        <v>21</v>
      </c>
      <c r="J287" s="103">
        <v>240</v>
      </c>
      <c r="K287" s="104">
        <v>16300</v>
      </c>
      <c r="L287" s="112">
        <v>3912000</v>
      </c>
      <c r="M287" s="115">
        <v>100</v>
      </c>
      <c r="N287" s="115">
        <f t="shared" si="8"/>
        <v>3912000</v>
      </c>
      <c r="O287" s="57">
        <f t="shared" si="9"/>
        <v>0</v>
      </c>
    </row>
    <row r="288" spans="1:15">
      <c r="A288" s="19">
        <v>2026</v>
      </c>
      <c r="B288" s="111">
        <v>3</v>
      </c>
      <c r="C288" s="20">
        <v>46084</v>
      </c>
      <c r="D288" s="99" t="s">
        <v>1919</v>
      </c>
      <c r="E288" s="102" t="s">
        <v>1806</v>
      </c>
      <c r="F288" s="102" t="s">
        <v>1499</v>
      </c>
      <c r="G288" s="99" t="s">
        <v>1775</v>
      </c>
      <c r="H288" s="102" t="s">
        <v>1499</v>
      </c>
      <c r="I288" s="102" t="s">
        <v>21</v>
      </c>
      <c r="J288" s="103">
        <v>480</v>
      </c>
      <c r="K288" s="104">
        <v>16300</v>
      </c>
      <c r="L288" s="112">
        <v>7824000</v>
      </c>
      <c r="M288" s="115">
        <v>100</v>
      </c>
      <c r="N288" s="115">
        <f t="shared" si="8"/>
        <v>7824000</v>
      </c>
      <c r="O288" s="57">
        <f t="shared" si="9"/>
        <v>0</v>
      </c>
    </row>
    <row r="289" spans="1:15">
      <c r="A289" s="19">
        <v>2026</v>
      </c>
      <c r="B289" s="111">
        <v>3</v>
      </c>
      <c r="C289" s="20">
        <v>46085</v>
      </c>
      <c r="D289" s="99" t="s">
        <v>1920</v>
      </c>
      <c r="E289" s="102" t="s">
        <v>1779</v>
      </c>
      <c r="F289" s="102" t="s">
        <v>1280</v>
      </c>
      <c r="G289" s="99" t="s">
        <v>1775</v>
      </c>
      <c r="H289" s="102" t="s">
        <v>1280</v>
      </c>
      <c r="I289" s="102" t="s">
        <v>46</v>
      </c>
      <c r="J289" s="103">
        <v>100</v>
      </c>
      <c r="K289" s="104">
        <v>31000</v>
      </c>
      <c r="L289" s="104">
        <v>3100000</v>
      </c>
      <c r="M289" s="115">
        <v>100</v>
      </c>
      <c r="N289" s="115">
        <f t="shared" si="8"/>
        <v>3100000</v>
      </c>
      <c r="O289" s="57">
        <f t="shared" si="9"/>
        <v>0</v>
      </c>
    </row>
    <row r="290" spans="1:15">
      <c r="A290" s="19">
        <v>2026</v>
      </c>
      <c r="B290" s="111">
        <v>3</v>
      </c>
      <c r="C290" s="20">
        <v>46086</v>
      </c>
      <c r="D290" s="99" t="s">
        <v>1921</v>
      </c>
      <c r="E290" s="102" t="s">
        <v>16</v>
      </c>
      <c r="F290" s="102" t="s">
        <v>281</v>
      </c>
      <c r="G290" s="99" t="s">
        <v>1775</v>
      </c>
      <c r="H290" s="102" t="s">
        <v>281</v>
      </c>
      <c r="I290" s="102" t="s">
        <v>21</v>
      </c>
      <c r="J290" s="103">
        <v>100</v>
      </c>
      <c r="K290" s="104">
        <v>16300</v>
      </c>
      <c r="L290" s="112">
        <v>1630000</v>
      </c>
      <c r="M290" s="115">
        <v>100</v>
      </c>
      <c r="N290" s="115">
        <f t="shared" si="8"/>
        <v>1630000</v>
      </c>
      <c r="O290" s="57">
        <f t="shared" si="9"/>
        <v>0</v>
      </c>
    </row>
    <row r="291" spans="1:15">
      <c r="A291" s="19">
        <v>2026</v>
      </c>
      <c r="B291" s="111">
        <v>3</v>
      </c>
      <c r="C291" s="20">
        <v>46091</v>
      </c>
      <c r="D291" s="99" t="s">
        <v>1922</v>
      </c>
      <c r="E291" s="102" t="s">
        <v>1779</v>
      </c>
      <c r="F291" s="102" t="s">
        <v>1280</v>
      </c>
      <c r="G291" s="99" t="s">
        <v>1775</v>
      </c>
      <c r="H291" s="102" t="s">
        <v>1280</v>
      </c>
      <c r="I291" s="102" t="s">
        <v>466</v>
      </c>
      <c r="J291" s="103">
        <v>40</v>
      </c>
      <c r="K291" s="104">
        <v>50000</v>
      </c>
      <c r="L291" s="104">
        <v>2000000</v>
      </c>
      <c r="M291" s="115">
        <v>0</v>
      </c>
      <c r="N291" s="115">
        <f t="shared" si="8"/>
        <v>0</v>
      </c>
      <c r="O291" s="57">
        <f t="shared" si="9"/>
        <v>2000000</v>
      </c>
    </row>
    <row r="292" spans="1:15">
      <c r="A292" s="19">
        <v>2026</v>
      </c>
      <c r="B292" s="111">
        <v>3</v>
      </c>
      <c r="C292" s="20">
        <v>46091</v>
      </c>
      <c r="D292" s="99" t="s">
        <v>1923</v>
      </c>
      <c r="E292" s="102" t="s">
        <v>1781</v>
      </c>
      <c r="F292" s="102" t="s">
        <v>875</v>
      </c>
      <c r="G292" s="99" t="s">
        <v>1775</v>
      </c>
      <c r="H292" s="102" t="s">
        <v>875</v>
      </c>
      <c r="I292" s="102" t="s">
        <v>466</v>
      </c>
      <c r="J292" s="103">
        <v>100</v>
      </c>
      <c r="K292" s="104">
        <v>50000</v>
      </c>
      <c r="L292" s="104">
        <v>5000000</v>
      </c>
      <c r="M292" s="115">
        <v>100</v>
      </c>
      <c r="N292" s="115">
        <f t="shared" si="8"/>
        <v>5000000</v>
      </c>
      <c r="O292" s="57">
        <f t="shared" si="9"/>
        <v>0</v>
      </c>
    </row>
    <row r="293" spans="1:15">
      <c r="A293" s="19">
        <v>2026</v>
      </c>
      <c r="B293" s="111">
        <v>3</v>
      </c>
      <c r="C293" s="20">
        <v>46092</v>
      </c>
      <c r="D293" s="99" t="s">
        <v>1925</v>
      </c>
      <c r="E293" s="102" t="s">
        <v>1865</v>
      </c>
      <c r="F293" s="102" t="s">
        <v>1027</v>
      </c>
      <c r="G293" s="99" t="s">
        <v>1775</v>
      </c>
      <c r="H293" s="102" t="s">
        <v>1027</v>
      </c>
      <c r="I293" s="102" t="s">
        <v>41</v>
      </c>
      <c r="J293" s="103">
        <v>100</v>
      </c>
      <c r="K293" s="104">
        <v>40000</v>
      </c>
      <c r="L293" s="104">
        <v>4000000</v>
      </c>
      <c r="M293" s="115">
        <v>100</v>
      </c>
      <c r="N293" s="115">
        <f t="shared" si="8"/>
        <v>4000000</v>
      </c>
      <c r="O293" s="57">
        <f t="shared" si="9"/>
        <v>0</v>
      </c>
    </row>
    <row r="294" spans="1:15">
      <c r="A294" s="19">
        <v>2026</v>
      </c>
      <c r="B294" s="111">
        <v>3</v>
      </c>
      <c r="C294" s="20">
        <v>46092</v>
      </c>
      <c r="D294" s="99" t="s">
        <v>1926</v>
      </c>
      <c r="E294" s="102" t="s">
        <v>1790</v>
      </c>
      <c r="F294" s="102" t="s">
        <v>1359</v>
      </c>
      <c r="G294" s="99" t="s">
        <v>1775</v>
      </c>
      <c r="H294" s="102" t="s">
        <v>1359</v>
      </c>
      <c r="I294" s="102" t="s">
        <v>41</v>
      </c>
      <c r="J294" s="103">
        <v>35</v>
      </c>
      <c r="K294" s="104">
        <v>40000</v>
      </c>
      <c r="L294" s="104">
        <v>1400000</v>
      </c>
      <c r="M294" s="115">
        <v>18</v>
      </c>
      <c r="N294" s="115">
        <f t="shared" si="8"/>
        <v>252000</v>
      </c>
      <c r="O294" s="57">
        <f t="shared" si="9"/>
        <v>1148000</v>
      </c>
    </row>
    <row r="295" spans="1:15">
      <c r="A295" s="19">
        <v>2026</v>
      </c>
      <c r="B295" s="111">
        <v>3</v>
      </c>
      <c r="C295" s="20">
        <v>46092</v>
      </c>
      <c r="D295" s="99" t="s">
        <v>1926</v>
      </c>
      <c r="E295" s="102" t="s">
        <v>1790</v>
      </c>
      <c r="F295" s="102" t="s">
        <v>1359</v>
      </c>
      <c r="G295" s="99" t="s">
        <v>1775</v>
      </c>
      <c r="H295" s="102" t="s">
        <v>1359</v>
      </c>
      <c r="I295" s="102" t="s">
        <v>41</v>
      </c>
      <c r="J295" s="103">
        <v>114</v>
      </c>
      <c r="K295" s="104">
        <v>40000</v>
      </c>
      <c r="L295" s="104">
        <v>4560000</v>
      </c>
      <c r="M295" s="115">
        <v>18</v>
      </c>
      <c r="N295" s="115">
        <f t="shared" si="8"/>
        <v>820800</v>
      </c>
      <c r="O295" s="57">
        <f t="shared" si="9"/>
        <v>3739200</v>
      </c>
    </row>
    <row r="296" spans="1:15">
      <c r="A296" s="19">
        <v>2026</v>
      </c>
      <c r="B296" s="111">
        <v>3</v>
      </c>
      <c r="C296" s="20">
        <v>46092</v>
      </c>
      <c r="D296" s="99" t="s">
        <v>1926</v>
      </c>
      <c r="E296" s="102" t="s">
        <v>1790</v>
      </c>
      <c r="F296" s="102" t="s">
        <v>1359</v>
      </c>
      <c r="G296" s="99" t="s">
        <v>1775</v>
      </c>
      <c r="H296" s="102" t="s">
        <v>1359</v>
      </c>
      <c r="I296" s="102" t="s">
        <v>41</v>
      </c>
      <c r="J296" s="103">
        <v>51</v>
      </c>
      <c r="K296" s="104">
        <v>40000</v>
      </c>
      <c r="L296" s="104">
        <v>2040000</v>
      </c>
      <c r="M296" s="115">
        <v>18</v>
      </c>
      <c r="N296" s="115">
        <f t="shared" si="8"/>
        <v>367200</v>
      </c>
      <c r="O296" s="57">
        <f t="shared" si="9"/>
        <v>1672800</v>
      </c>
    </row>
    <row r="297" spans="1:15">
      <c r="A297" s="19">
        <v>2026</v>
      </c>
      <c r="B297" s="111">
        <v>3</v>
      </c>
      <c r="C297" s="20">
        <v>46092</v>
      </c>
      <c r="D297" s="99" t="s">
        <v>1926</v>
      </c>
      <c r="E297" s="102" t="s">
        <v>1790</v>
      </c>
      <c r="F297" s="102" t="s">
        <v>1359</v>
      </c>
      <c r="G297" s="99" t="s">
        <v>1775</v>
      </c>
      <c r="H297" s="102" t="s">
        <v>1359</v>
      </c>
      <c r="I297" s="102" t="s">
        <v>466</v>
      </c>
      <c r="J297" s="103">
        <v>200</v>
      </c>
      <c r="K297" s="104">
        <v>50000</v>
      </c>
      <c r="L297" s="104">
        <v>10000000</v>
      </c>
      <c r="M297" s="115">
        <v>18</v>
      </c>
      <c r="N297" s="115">
        <f t="shared" si="8"/>
        <v>1800000</v>
      </c>
      <c r="O297" s="57">
        <f t="shared" si="9"/>
        <v>8200000</v>
      </c>
    </row>
    <row r="298" spans="1:15">
      <c r="A298" s="19">
        <v>2026</v>
      </c>
      <c r="B298" s="111">
        <v>3</v>
      </c>
      <c r="C298" s="20">
        <v>46093</v>
      </c>
      <c r="D298" s="99" t="s">
        <v>1927</v>
      </c>
      <c r="E298" s="102" t="s">
        <v>1779</v>
      </c>
      <c r="F298" s="102" t="s">
        <v>1280</v>
      </c>
      <c r="G298" s="99" t="s">
        <v>1775</v>
      </c>
      <c r="H298" s="102" t="s">
        <v>1280</v>
      </c>
      <c r="I298" s="102" t="s">
        <v>46</v>
      </c>
      <c r="J298" s="103">
        <v>120</v>
      </c>
      <c r="K298" s="104">
        <v>31000</v>
      </c>
      <c r="L298" s="104">
        <v>3720000</v>
      </c>
      <c r="M298" s="115">
        <v>0</v>
      </c>
      <c r="N298" s="115">
        <f t="shared" si="8"/>
        <v>0</v>
      </c>
      <c r="O298" s="57">
        <f t="shared" si="9"/>
        <v>3720000</v>
      </c>
    </row>
    <row r="299" spans="1:15">
      <c r="A299" s="19">
        <v>2026</v>
      </c>
      <c r="B299" s="111">
        <v>3</v>
      </c>
      <c r="C299" s="20">
        <v>46093</v>
      </c>
      <c r="D299" s="99" t="s">
        <v>1928</v>
      </c>
      <c r="E299" s="102" t="s">
        <v>1800</v>
      </c>
      <c r="F299" s="102" t="s">
        <v>288</v>
      </c>
      <c r="G299" s="99" t="s">
        <v>1775</v>
      </c>
      <c r="H299" s="102" t="s">
        <v>1801</v>
      </c>
      <c r="I299" s="102" t="s">
        <v>38</v>
      </c>
      <c r="J299" s="103">
        <v>100</v>
      </c>
      <c r="K299" s="104">
        <v>33000</v>
      </c>
      <c r="L299" s="104">
        <v>3300000</v>
      </c>
      <c r="M299" s="115">
        <v>100</v>
      </c>
      <c r="N299" s="115">
        <f t="shared" si="8"/>
        <v>3300000</v>
      </c>
      <c r="O299" s="57">
        <f t="shared" si="9"/>
        <v>0</v>
      </c>
    </row>
    <row r="300" spans="1:15">
      <c r="A300" s="19">
        <v>2026</v>
      </c>
      <c r="B300" s="111">
        <v>3</v>
      </c>
      <c r="C300" s="20">
        <v>46097</v>
      </c>
      <c r="D300" s="99" t="s">
        <v>1929</v>
      </c>
      <c r="E300" s="102" t="s">
        <v>16</v>
      </c>
      <c r="F300" s="102" t="s">
        <v>281</v>
      </c>
      <c r="G300" s="99" t="s">
        <v>1775</v>
      </c>
      <c r="H300" s="102" t="s">
        <v>281</v>
      </c>
      <c r="I300" s="102" t="s">
        <v>466</v>
      </c>
      <c r="J300" s="103">
        <v>40</v>
      </c>
      <c r="K300" s="104">
        <v>50000</v>
      </c>
      <c r="L300" s="104">
        <v>2000000</v>
      </c>
      <c r="M300" s="115">
        <v>100</v>
      </c>
      <c r="N300" s="115">
        <f t="shared" si="8"/>
        <v>2000000</v>
      </c>
      <c r="O300" s="57">
        <f t="shared" si="9"/>
        <v>0</v>
      </c>
    </row>
    <row r="301" spans="1:15">
      <c r="A301" s="19">
        <v>2026</v>
      </c>
      <c r="B301" s="111">
        <v>3</v>
      </c>
      <c r="C301" s="20">
        <v>46098</v>
      </c>
      <c r="D301" s="99" t="s">
        <v>1930</v>
      </c>
      <c r="E301" s="102" t="s">
        <v>1779</v>
      </c>
      <c r="F301" s="102" t="s">
        <v>1280</v>
      </c>
      <c r="G301" s="99" t="s">
        <v>1775</v>
      </c>
      <c r="H301" s="102" t="s">
        <v>1280</v>
      </c>
      <c r="I301" s="102" t="s">
        <v>38</v>
      </c>
      <c r="J301" s="103">
        <v>100</v>
      </c>
      <c r="K301" s="104">
        <v>33000</v>
      </c>
      <c r="L301" s="104">
        <v>3300000</v>
      </c>
      <c r="M301" s="115">
        <v>0</v>
      </c>
      <c r="N301" s="115">
        <f t="shared" si="8"/>
        <v>0</v>
      </c>
      <c r="O301" s="57">
        <f t="shared" si="9"/>
        <v>3300000</v>
      </c>
    </row>
    <row r="302" spans="1:15">
      <c r="A302" s="19">
        <v>2026</v>
      </c>
      <c r="B302" s="111">
        <v>3</v>
      </c>
      <c r="C302" s="20">
        <v>46098</v>
      </c>
      <c r="D302" s="99" t="s">
        <v>1931</v>
      </c>
      <c r="E302" s="102" t="s">
        <v>1797</v>
      </c>
      <c r="F302" s="102" t="s">
        <v>272</v>
      </c>
      <c r="G302" s="99" t="s">
        <v>1775</v>
      </c>
      <c r="H302" s="102" t="s">
        <v>272</v>
      </c>
      <c r="I302" s="102" t="s">
        <v>41</v>
      </c>
      <c r="J302" s="103">
        <v>50</v>
      </c>
      <c r="K302" s="104">
        <v>40000</v>
      </c>
      <c r="L302" s="104">
        <v>2000000</v>
      </c>
      <c r="M302" s="115">
        <v>100</v>
      </c>
      <c r="N302" s="115">
        <f t="shared" si="8"/>
        <v>2000000</v>
      </c>
      <c r="O302" s="57">
        <f t="shared" si="9"/>
        <v>0</v>
      </c>
    </row>
    <row r="303" spans="1:15">
      <c r="A303" s="19">
        <v>2026</v>
      </c>
      <c r="B303" s="111">
        <v>3</v>
      </c>
      <c r="C303" s="20">
        <v>46098</v>
      </c>
      <c r="D303" s="99" t="s">
        <v>1931</v>
      </c>
      <c r="E303" s="102" t="s">
        <v>1797</v>
      </c>
      <c r="F303" s="102" t="s">
        <v>272</v>
      </c>
      <c r="G303" s="99" t="s">
        <v>1775</v>
      </c>
      <c r="H303" s="102" t="s">
        <v>272</v>
      </c>
      <c r="I303" s="102" t="s">
        <v>38</v>
      </c>
      <c r="J303" s="103">
        <v>50</v>
      </c>
      <c r="K303" s="104">
        <v>33000</v>
      </c>
      <c r="L303" s="104">
        <v>1650000</v>
      </c>
      <c r="M303" s="115">
        <v>100</v>
      </c>
      <c r="N303" s="115">
        <f t="shared" si="8"/>
        <v>1650000</v>
      </c>
      <c r="O303" s="57">
        <f t="shared" si="9"/>
        <v>0</v>
      </c>
    </row>
    <row r="304" spans="1:15">
      <c r="A304" s="19">
        <v>2026</v>
      </c>
      <c r="B304" s="111">
        <v>3</v>
      </c>
      <c r="C304" s="20">
        <v>46098</v>
      </c>
      <c r="D304" s="99" t="s">
        <v>1932</v>
      </c>
      <c r="E304" s="102" t="s">
        <v>1815</v>
      </c>
      <c r="F304" s="102" t="s">
        <v>894</v>
      </c>
      <c r="G304" s="99" t="s">
        <v>1775</v>
      </c>
      <c r="H304" s="102" t="s">
        <v>894</v>
      </c>
      <c r="I304" s="102" t="s">
        <v>41</v>
      </c>
      <c r="J304" s="103">
        <v>496</v>
      </c>
      <c r="K304" s="104">
        <v>40000</v>
      </c>
      <c r="L304" s="104">
        <v>19840000</v>
      </c>
      <c r="M304" s="115">
        <v>100</v>
      </c>
      <c r="N304" s="115">
        <f t="shared" si="8"/>
        <v>19840000</v>
      </c>
      <c r="O304" s="57">
        <f t="shared" si="9"/>
        <v>0</v>
      </c>
    </row>
    <row r="305" spans="1:15">
      <c r="A305" s="19">
        <v>2026</v>
      </c>
      <c r="B305" s="111">
        <v>3</v>
      </c>
      <c r="C305" s="20">
        <v>46098</v>
      </c>
      <c r="D305" s="99" t="s">
        <v>1932</v>
      </c>
      <c r="E305" s="102" t="s">
        <v>1815</v>
      </c>
      <c r="F305" s="102" t="s">
        <v>894</v>
      </c>
      <c r="G305" s="99" t="s">
        <v>1775</v>
      </c>
      <c r="H305" s="102" t="s">
        <v>894</v>
      </c>
      <c r="I305" s="102" t="s">
        <v>41</v>
      </c>
      <c r="J305" s="103">
        <v>4</v>
      </c>
      <c r="K305" s="104">
        <v>40000</v>
      </c>
      <c r="L305" s="104">
        <v>160000</v>
      </c>
      <c r="M305" s="115">
        <v>100</v>
      </c>
      <c r="N305" s="115">
        <f t="shared" si="8"/>
        <v>160000</v>
      </c>
      <c r="O305" s="57">
        <f t="shared" si="9"/>
        <v>0</v>
      </c>
    </row>
    <row r="306" spans="1:15">
      <c r="A306" s="19">
        <v>2026</v>
      </c>
      <c r="B306" s="111">
        <v>3</v>
      </c>
      <c r="C306" s="20">
        <v>46098</v>
      </c>
      <c r="D306" s="99" t="s">
        <v>1933</v>
      </c>
      <c r="E306" s="102" t="s">
        <v>1797</v>
      </c>
      <c r="F306" s="102" t="s">
        <v>272</v>
      </c>
      <c r="G306" s="99" t="s">
        <v>1775</v>
      </c>
      <c r="H306" s="102" t="s">
        <v>272</v>
      </c>
      <c r="I306" s="102" t="s">
        <v>41</v>
      </c>
      <c r="J306" s="103">
        <v>50</v>
      </c>
      <c r="K306" s="104">
        <v>40000</v>
      </c>
      <c r="L306" s="104">
        <v>2000000</v>
      </c>
      <c r="M306" s="115">
        <v>100</v>
      </c>
      <c r="N306" s="115">
        <f t="shared" si="8"/>
        <v>2000000</v>
      </c>
      <c r="O306" s="57">
        <f t="shared" si="9"/>
        <v>0</v>
      </c>
    </row>
    <row r="307" spans="1:15">
      <c r="A307" s="19">
        <v>2026</v>
      </c>
      <c r="B307" s="111">
        <v>3</v>
      </c>
      <c r="C307" s="20">
        <v>46098</v>
      </c>
      <c r="D307" s="99" t="s">
        <v>1933</v>
      </c>
      <c r="E307" s="102" t="s">
        <v>1797</v>
      </c>
      <c r="F307" s="102" t="s">
        <v>272</v>
      </c>
      <c r="G307" s="99" t="s">
        <v>1775</v>
      </c>
      <c r="H307" s="102" t="s">
        <v>272</v>
      </c>
      <c r="I307" s="102" t="s">
        <v>21</v>
      </c>
      <c r="J307" s="103">
        <v>120</v>
      </c>
      <c r="K307" s="104">
        <v>16300</v>
      </c>
      <c r="L307" s="112">
        <v>1956000</v>
      </c>
      <c r="M307" s="115">
        <v>100</v>
      </c>
      <c r="N307" s="115">
        <f t="shared" si="8"/>
        <v>1956000</v>
      </c>
      <c r="O307" s="57">
        <f t="shared" si="9"/>
        <v>0</v>
      </c>
    </row>
    <row r="308" spans="1:15">
      <c r="A308" s="19">
        <v>2026</v>
      </c>
      <c r="B308" s="111">
        <v>3</v>
      </c>
      <c r="C308" s="20">
        <v>46099</v>
      </c>
      <c r="D308" s="99" t="s">
        <v>1934</v>
      </c>
      <c r="E308" s="102" t="s">
        <v>1797</v>
      </c>
      <c r="F308" s="102" t="s">
        <v>272</v>
      </c>
      <c r="G308" s="99" t="s">
        <v>1775</v>
      </c>
      <c r="H308" s="102" t="s">
        <v>272</v>
      </c>
      <c r="I308" s="102" t="s">
        <v>21</v>
      </c>
      <c r="J308" s="103">
        <v>120</v>
      </c>
      <c r="K308" s="104">
        <v>16300</v>
      </c>
      <c r="L308" s="112">
        <v>1956000</v>
      </c>
      <c r="M308" s="115">
        <v>100</v>
      </c>
      <c r="N308" s="115">
        <f t="shared" si="8"/>
        <v>1956000</v>
      </c>
      <c r="O308" s="57">
        <f t="shared" si="9"/>
        <v>0</v>
      </c>
    </row>
    <row r="309" spans="1:15">
      <c r="A309" s="19">
        <v>2026</v>
      </c>
      <c r="B309" s="111">
        <v>3</v>
      </c>
      <c r="C309" s="20">
        <v>46105</v>
      </c>
      <c r="D309" s="99" t="s">
        <v>1935</v>
      </c>
      <c r="E309" s="102" t="s">
        <v>1865</v>
      </c>
      <c r="F309" s="102" t="s">
        <v>1027</v>
      </c>
      <c r="G309" s="99" t="s">
        <v>1775</v>
      </c>
      <c r="H309" s="102" t="s">
        <v>1027</v>
      </c>
      <c r="I309" s="102" t="s">
        <v>46</v>
      </c>
      <c r="J309" s="103">
        <v>200</v>
      </c>
      <c r="K309" s="104">
        <v>31000</v>
      </c>
      <c r="L309" s="104">
        <v>6200000</v>
      </c>
      <c r="M309" s="115">
        <v>19</v>
      </c>
      <c r="N309" s="115">
        <f t="shared" si="8"/>
        <v>1178000</v>
      </c>
      <c r="O309" s="57">
        <f t="shared" si="9"/>
        <v>5022000</v>
      </c>
    </row>
    <row r="310" spans="1:15">
      <c r="A310" s="19">
        <v>2026</v>
      </c>
      <c r="B310" s="111">
        <v>3</v>
      </c>
      <c r="C310" s="20">
        <v>46105</v>
      </c>
      <c r="D310" s="99" t="s">
        <v>1936</v>
      </c>
      <c r="E310" s="102" t="s">
        <v>1797</v>
      </c>
      <c r="F310" s="102" t="s">
        <v>272</v>
      </c>
      <c r="G310" s="99" t="s">
        <v>1775</v>
      </c>
      <c r="H310" s="102" t="s">
        <v>272</v>
      </c>
      <c r="I310" s="102" t="s">
        <v>41</v>
      </c>
      <c r="J310" s="103">
        <v>50</v>
      </c>
      <c r="K310" s="104">
        <v>40000</v>
      </c>
      <c r="L310" s="104">
        <v>2000000</v>
      </c>
      <c r="M310" s="115">
        <v>100</v>
      </c>
      <c r="N310" s="115">
        <f t="shared" si="8"/>
        <v>2000000</v>
      </c>
      <c r="O310" s="57">
        <f t="shared" si="9"/>
        <v>0</v>
      </c>
    </row>
    <row r="311" spans="1:15">
      <c r="A311" s="19">
        <v>2026</v>
      </c>
      <c r="B311" s="111">
        <v>3</v>
      </c>
      <c r="C311" s="20">
        <v>46106</v>
      </c>
      <c r="D311" s="99" t="s">
        <v>1937</v>
      </c>
      <c r="E311" s="102" t="s">
        <v>1797</v>
      </c>
      <c r="F311" s="102" t="s">
        <v>272</v>
      </c>
      <c r="G311" s="99" t="s">
        <v>1775</v>
      </c>
      <c r="H311" s="102" t="s">
        <v>272</v>
      </c>
      <c r="I311" s="102" t="s">
        <v>41</v>
      </c>
      <c r="J311" s="103">
        <v>50</v>
      </c>
      <c r="K311" s="104">
        <v>40000</v>
      </c>
      <c r="L311" s="104">
        <v>2000000</v>
      </c>
      <c r="M311" s="115">
        <v>100</v>
      </c>
      <c r="N311" s="115">
        <f t="shared" si="8"/>
        <v>2000000</v>
      </c>
      <c r="O311" s="57">
        <f t="shared" si="9"/>
        <v>0</v>
      </c>
    </row>
    <row r="312" spans="1:15">
      <c r="A312" s="19">
        <v>2026</v>
      </c>
      <c r="B312" s="111">
        <v>3</v>
      </c>
      <c r="C312" s="20">
        <v>46106</v>
      </c>
      <c r="D312" s="99" t="s">
        <v>1937</v>
      </c>
      <c r="E312" s="102" t="s">
        <v>1797</v>
      </c>
      <c r="F312" s="102" t="s">
        <v>272</v>
      </c>
      <c r="G312" s="99" t="s">
        <v>1775</v>
      </c>
      <c r="H312" s="102" t="s">
        <v>272</v>
      </c>
      <c r="I312" s="102" t="s">
        <v>21</v>
      </c>
      <c r="J312" s="103">
        <v>120</v>
      </c>
      <c r="K312" s="104">
        <v>16300</v>
      </c>
      <c r="L312" s="112">
        <v>1956000</v>
      </c>
      <c r="M312" s="115">
        <v>100</v>
      </c>
      <c r="N312" s="115">
        <f t="shared" si="8"/>
        <v>1956000</v>
      </c>
      <c r="O312" s="57">
        <f t="shared" si="9"/>
        <v>0</v>
      </c>
    </row>
    <row r="313" spans="1:15">
      <c r="A313" s="19">
        <v>2026</v>
      </c>
      <c r="B313" s="111">
        <v>3</v>
      </c>
      <c r="C313" s="20">
        <v>46106</v>
      </c>
      <c r="D313" s="99" t="s">
        <v>1938</v>
      </c>
      <c r="E313" s="102" t="s">
        <v>1797</v>
      </c>
      <c r="F313" s="102" t="s">
        <v>272</v>
      </c>
      <c r="G313" s="99" t="s">
        <v>1775</v>
      </c>
      <c r="H313" s="102" t="s">
        <v>272</v>
      </c>
      <c r="I313" s="102" t="s">
        <v>466</v>
      </c>
      <c r="J313" s="103">
        <v>40</v>
      </c>
      <c r="K313" s="104">
        <v>50000</v>
      </c>
      <c r="L313" s="104">
        <v>2000000</v>
      </c>
      <c r="M313" s="115">
        <v>100</v>
      </c>
      <c r="N313" s="115">
        <f t="shared" si="8"/>
        <v>2000000</v>
      </c>
      <c r="O313" s="57">
        <f t="shared" si="9"/>
        <v>0</v>
      </c>
    </row>
    <row r="314" spans="1:15">
      <c r="A314" s="19">
        <v>2026</v>
      </c>
      <c r="B314" s="111">
        <v>3</v>
      </c>
      <c r="C314" s="20">
        <v>46106</v>
      </c>
      <c r="D314" s="99" t="s">
        <v>1939</v>
      </c>
      <c r="E314" s="102" t="s">
        <v>16</v>
      </c>
      <c r="F314" s="102" t="s">
        <v>281</v>
      </c>
      <c r="G314" s="99" t="s">
        <v>1775</v>
      </c>
      <c r="H314" s="102" t="s">
        <v>281</v>
      </c>
      <c r="I314" s="102" t="s">
        <v>21</v>
      </c>
      <c r="J314" s="103">
        <v>110</v>
      </c>
      <c r="K314" s="104">
        <v>16300</v>
      </c>
      <c r="L314" s="112">
        <v>1793000</v>
      </c>
      <c r="M314" s="115">
        <v>100</v>
      </c>
      <c r="N314" s="115">
        <f t="shared" si="8"/>
        <v>1793000</v>
      </c>
      <c r="O314" s="57">
        <f t="shared" si="9"/>
        <v>0</v>
      </c>
    </row>
    <row r="315" spans="1:15">
      <c r="A315" s="19">
        <v>2026</v>
      </c>
      <c r="B315" s="111">
        <v>3</v>
      </c>
      <c r="C315" s="20">
        <v>46107</v>
      </c>
      <c r="D315" s="99" t="s">
        <v>1940</v>
      </c>
      <c r="E315" s="102" t="s">
        <v>1862</v>
      </c>
      <c r="F315" s="102" t="s">
        <v>1264</v>
      </c>
      <c r="G315" s="99" t="s">
        <v>1775</v>
      </c>
      <c r="H315" s="102" t="s">
        <v>1264</v>
      </c>
      <c r="I315" s="102" t="s">
        <v>46</v>
      </c>
      <c r="J315" s="103">
        <v>120</v>
      </c>
      <c r="K315" s="104">
        <v>31000</v>
      </c>
      <c r="L315" s="104">
        <v>3720000</v>
      </c>
      <c r="M315" s="115">
        <v>0</v>
      </c>
      <c r="N315" s="115">
        <f t="shared" si="8"/>
        <v>0</v>
      </c>
      <c r="O315" s="57">
        <f t="shared" si="9"/>
        <v>3720000</v>
      </c>
    </row>
    <row r="316" spans="1:15">
      <c r="A316" s="19">
        <v>2026</v>
      </c>
      <c r="B316" s="111">
        <v>3</v>
      </c>
      <c r="C316" s="20">
        <v>46108</v>
      </c>
      <c r="D316" s="99" t="s">
        <v>1941</v>
      </c>
      <c r="E316" s="102" t="s">
        <v>1797</v>
      </c>
      <c r="F316" s="102" t="s">
        <v>272</v>
      </c>
      <c r="G316" s="99" t="s">
        <v>1775</v>
      </c>
      <c r="H316" s="102" t="s">
        <v>272</v>
      </c>
      <c r="I316" s="102" t="s">
        <v>41</v>
      </c>
      <c r="J316" s="103">
        <v>65</v>
      </c>
      <c r="K316" s="104">
        <v>40000</v>
      </c>
      <c r="L316" s="104">
        <v>2600000</v>
      </c>
      <c r="M316" s="115">
        <v>100</v>
      </c>
      <c r="N316" s="115">
        <f t="shared" si="8"/>
        <v>2600000</v>
      </c>
      <c r="O316" s="57">
        <f t="shared" si="9"/>
        <v>0</v>
      </c>
    </row>
    <row r="317" spans="1:15">
      <c r="A317" s="19">
        <v>2026</v>
      </c>
      <c r="B317" s="111">
        <v>3</v>
      </c>
      <c r="C317" s="20">
        <v>46108</v>
      </c>
      <c r="D317" s="99" t="s">
        <v>1941</v>
      </c>
      <c r="E317" s="102" t="s">
        <v>1797</v>
      </c>
      <c r="F317" s="102" t="s">
        <v>272</v>
      </c>
      <c r="G317" s="99" t="s">
        <v>1775</v>
      </c>
      <c r="H317" s="102" t="s">
        <v>272</v>
      </c>
      <c r="I317" s="102" t="s">
        <v>41</v>
      </c>
      <c r="J317" s="103">
        <v>35</v>
      </c>
      <c r="K317" s="104">
        <v>40000</v>
      </c>
      <c r="L317" s="104">
        <v>1400000</v>
      </c>
      <c r="M317" s="115">
        <v>100</v>
      </c>
      <c r="N317" s="115">
        <f t="shared" si="8"/>
        <v>1400000</v>
      </c>
      <c r="O317" s="57">
        <f t="shared" si="9"/>
        <v>0</v>
      </c>
    </row>
    <row r="318" spans="1:15">
      <c r="A318" s="19">
        <v>2026</v>
      </c>
      <c r="B318" s="111">
        <v>3</v>
      </c>
      <c r="C318" s="20">
        <v>46111</v>
      </c>
      <c r="D318" s="99" t="s">
        <v>1942</v>
      </c>
      <c r="E318" s="102" t="s">
        <v>1779</v>
      </c>
      <c r="F318" s="102" t="s">
        <v>1280</v>
      </c>
      <c r="G318" s="99" t="s">
        <v>1775</v>
      </c>
      <c r="H318" s="102" t="s">
        <v>1280</v>
      </c>
      <c r="I318" s="102" t="s">
        <v>46</v>
      </c>
      <c r="J318" s="103">
        <v>120</v>
      </c>
      <c r="K318" s="104">
        <v>31000</v>
      </c>
      <c r="L318" s="104">
        <v>3720000</v>
      </c>
      <c r="M318" s="115">
        <v>0</v>
      </c>
      <c r="N318" s="115">
        <f t="shared" si="8"/>
        <v>0</v>
      </c>
      <c r="O318" s="57">
        <f t="shared" si="9"/>
        <v>3720000</v>
      </c>
    </row>
    <row r="319" spans="1:15">
      <c r="A319" s="19">
        <v>2026</v>
      </c>
      <c r="B319" s="111">
        <v>3</v>
      </c>
      <c r="C319" s="20">
        <v>46111</v>
      </c>
      <c r="D319" s="99" t="s">
        <v>1943</v>
      </c>
      <c r="E319" s="102" t="s">
        <v>16</v>
      </c>
      <c r="F319" s="102" t="s">
        <v>281</v>
      </c>
      <c r="G319" s="99" t="s">
        <v>1775</v>
      </c>
      <c r="H319" s="102" t="s">
        <v>281</v>
      </c>
      <c r="I319" s="102" t="s">
        <v>38</v>
      </c>
      <c r="J319" s="103">
        <v>50</v>
      </c>
      <c r="K319" s="104">
        <v>33000</v>
      </c>
      <c r="L319" s="104">
        <v>1650000</v>
      </c>
      <c r="M319" s="115">
        <v>0</v>
      </c>
      <c r="N319" s="115">
        <f t="shared" si="8"/>
        <v>0</v>
      </c>
      <c r="O319" s="57">
        <f t="shared" si="9"/>
        <v>1650000</v>
      </c>
    </row>
    <row r="320" spans="1:15">
      <c r="A320" s="19">
        <v>2026</v>
      </c>
      <c r="B320" s="111">
        <v>3</v>
      </c>
      <c r="C320" s="20">
        <v>46112</v>
      </c>
      <c r="D320" s="99" t="s">
        <v>1944</v>
      </c>
      <c r="E320" s="102" t="s">
        <v>1797</v>
      </c>
      <c r="F320" s="102" t="s">
        <v>272</v>
      </c>
      <c r="G320" s="99" t="s">
        <v>1775</v>
      </c>
      <c r="H320" s="102" t="s">
        <v>272</v>
      </c>
      <c r="I320" s="102" t="s">
        <v>466</v>
      </c>
      <c r="J320" s="103">
        <v>40</v>
      </c>
      <c r="K320" s="104">
        <v>50000</v>
      </c>
      <c r="L320" s="104">
        <v>2000000</v>
      </c>
      <c r="M320" s="115">
        <v>0</v>
      </c>
      <c r="N320" s="115">
        <f t="shared" si="8"/>
        <v>0</v>
      </c>
      <c r="O320" s="57">
        <f t="shared" si="9"/>
        <v>2000000</v>
      </c>
    </row>
    <row r="321" spans="1:15">
      <c r="A321" s="19">
        <v>2026</v>
      </c>
      <c r="B321" s="111">
        <v>3</v>
      </c>
      <c r="C321" s="20">
        <v>46112</v>
      </c>
      <c r="D321" s="99" t="s">
        <v>1944</v>
      </c>
      <c r="E321" s="102" t="s">
        <v>1797</v>
      </c>
      <c r="F321" s="102" t="s">
        <v>272</v>
      </c>
      <c r="G321" s="99" t="s">
        <v>1775</v>
      </c>
      <c r="H321" s="102" t="s">
        <v>272</v>
      </c>
      <c r="I321" s="102" t="s">
        <v>38</v>
      </c>
      <c r="J321" s="103">
        <v>40</v>
      </c>
      <c r="K321" s="104">
        <v>33000</v>
      </c>
      <c r="L321" s="104">
        <v>1320000</v>
      </c>
      <c r="M321" s="115">
        <v>0</v>
      </c>
      <c r="N321" s="115">
        <f t="shared" si="8"/>
        <v>0</v>
      </c>
      <c r="O321" s="57">
        <f t="shared" si="9"/>
        <v>1320000</v>
      </c>
    </row>
    <row r="322" spans="1:15">
      <c r="A322" s="19">
        <v>2026</v>
      </c>
      <c r="B322" s="111">
        <v>4</v>
      </c>
      <c r="C322" s="20">
        <v>46114</v>
      </c>
      <c r="D322" s="99" t="s">
        <v>1945</v>
      </c>
      <c r="E322" s="102" t="s">
        <v>1779</v>
      </c>
      <c r="F322" s="102" t="s">
        <v>1280</v>
      </c>
      <c r="G322" s="99" t="s">
        <v>1775</v>
      </c>
      <c r="H322" s="102" t="s">
        <v>1280</v>
      </c>
      <c r="I322" s="102" t="s">
        <v>41</v>
      </c>
      <c r="J322" s="103">
        <v>61</v>
      </c>
      <c r="K322" s="104">
        <v>40000</v>
      </c>
      <c r="L322" s="104">
        <v>2440000</v>
      </c>
      <c r="M322" s="115">
        <v>0</v>
      </c>
      <c r="N322" s="115">
        <f t="shared" si="8"/>
        <v>0</v>
      </c>
      <c r="O322" s="57">
        <f t="shared" si="9"/>
        <v>2440000</v>
      </c>
    </row>
    <row r="323" spans="1:15">
      <c r="A323" s="19">
        <v>2026</v>
      </c>
      <c r="B323" s="111">
        <v>4</v>
      </c>
      <c r="C323" s="20">
        <v>46114</v>
      </c>
      <c r="D323" s="99" t="s">
        <v>1945</v>
      </c>
      <c r="E323" s="102" t="s">
        <v>1779</v>
      </c>
      <c r="F323" s="102" t="s">
        <v>1280</v>
      </c>
      <c r="G323" s="99" t="s">
        <v>1775</v>
      </c>
      <c r="H323" s="102" t="s">
        <v>1280</v>
      </c>
      <c r="I323" s="102" t="s">
        <v>41</v>
      </c>
      <c r="J323" s="103">
        <v>39</v>
      </c>
      <c r="K323" s="104">
        <v>40000</v>
      </c>
      <c r="L323" s="104">
        <v>1560000</v>
      </c>
      <c r="M323" s="115">
        <v>0</v>
      </c>
      <c r="N323" s="115">
        <f t="shared" si="8"/>
        <v>0</v>
      </c>
      <c r="O323" s="57">
        <f t="shared" si="9"/>
        <v>1560000</v>
      </c>
    </row>
    <row r="324" spans="1:15">
      <c r="A324" s="19">
        <v>2026</v>
      </c>
      <c r="B324" s="111">
        <v>4</v>
      </c>
      <c r="C324" s="20">
        <v>46114</v>
      </c>
      <c r="D324" s="99" t="s">
        <v>1946</v>
      </c>
      <c r="E324" s="102" t="s">
        <v>1806</v>
      </c>
      <c r="F324" s="102" t="s">
        <v>1499</v>
      </c>
      <c r="G324" s="99" t="s">
        <v>1775</v>
      </c>
      <c r="H324" s="102" t="s">
        <v>1499</v>
      </c>
      <c r="I324" s="102" t="s">
        <v>41</v>
      </c>
      <c r="J324" s="103">
        <v>200</v>
      </c>
      <c r="K324" s="104">
        <v>40000</v>
      </c>
      <c r="L324" s="104">
        <v>8000000</v>
      </c>
      <c r="M324" s="115">
        <v>0</v>
      </c>
      <c r="N324" s="115">
        <f t="shared" ref="N324:N387" si="10">+L324*M324%</f>
        <v>0</v>
      </c>
      <c r="O324" s="57">
        <f t="shared" ref="O324:O387" si="11">L324-N324</f>
        <v>8000000</v>
      </c>
    </row>
    <row r="325" spans="1:15">
      <c r="A325" s="19">
        <v>2026</v>
      </c>
      <c r="B325" s="111">
        <v>4</v>
      </c>
      <c r="C325" s="20">
        <v>46114</v>
      </c>
      <c r="D325" s="99" t="s">
        <v>1946</v>
      </c>
      <c r="E325" s="102" t="s">
        <v>1806</v>
      </c>
      <c r="F325" s="102" t="s">
        <v>1499</v>
      </c>
      <c r="G325" s="99" t="s">
        <v>1775</v>
      </c>
      <c r="H325" s="102" t="s">
        <v>1499</v>
      </c>
      <c r="I325" s="102" t="s">
        <v>38</v>
      </c>
      <c r="J325" s="103">
        <v>20</v>
      </c>
      <c r="K325" s="104">
        <v>33000</v>
      </c>
      <c r="L325" s="104">
        <v>660000</v>
      </c>
      <c r="M325" s="115">
        <v>0</v>
      </c>
      <c r="N325" s="115">
        <f t="shared" si="10"/>
        <v>0</v>
      </c>
      <c r="O325" s="57">
        <f t="shared" si="11"/>
        <v>660000</v>
      </c>
    </row>
    <row r="326" spans="1:15">
      <c r="A326" s="19">
        <v>2026</v>
      </c>
      <c r="B326" s="111">
        <v>4</v>
      </c>
      <c r="C326" s="20">
        <v>46114</v>
      </c>
      <c r="D326" s="99" t="s">
        <v>1946</v>
      </c>
      <c r="E326" s="102" t="s">
        <v>1806</v>
      </c>
      <c r="F326" s="102" t="s">
        <v>1499</v>
      </c>
      <c r="G326" s="99" t="s">
        <v>1775</v>
      </c>
      <c r="H326" s="102" t="s">
        <v>1499</v>
      </c>
      <c r="I326" s="102" t="s">
        <v>38</v>
      </c>
      <c r="J326" s="103">
        <v>180</v>
      </c>
      <c r="K326" s="104">
        <v>33000</v>
      </c>
      <c r="L326" s="104">
        <v>5940000</v>
      </c>
      <c r="M326" s="115">
        <v>0</v>
      </c>
      <c r="N326" s="115">
        <f t="shared" si="10"/>
        <v>0</v>
      </c>
      <c r="O326" s="57">
        <f t="shared" si="11"/>
        <v>5940000</v>
      </c>
    </row>
    <row r="327" spans="1:15">
      <c r="A327" s="19">
        <v>2026</v>
      </c>
      <c r="B327" s="111">
        <v>4</v>
      </c>
      <c r="C327" s="20">
        <v>46118</v>
      </c>
      <c r="D327" s="99" t="s">
        <v>1947</v>
      </c>
      <c r="E327" s="102" t="s">
        <v>1781</v>
      </c>
      <c r="F327" s="102" t="s">
        <v>875</v>
      </c>
      <c r="G327" s="99" t="s">
        <v>1775</v>
      </c>
      <c r="H327" s="102" t="s">
        <v>875</v>
      </c>
      <c r="I327" s="102" t="s">
        <v>466</v>
      </c>
      <c r="J327" s="103">
        <v>70</v>
      </c>
      <c r="K327" s="104">
        <v>50000</v>
      </c>
      <c r="L327" s="104">
        <v>3500000</v>
      </c>
      <c r="M327" s="115">
        <v>100</v>
      </c>
      <c r="N327" s="115">
        <f t="shared" si="10"/>
        <v>3500000</v>
      </c>
      <c r="O327" s="57">
        <f t="shared" si="11"/>
        <v>0</v>
      </c>
    </row>
    <row r="328" spans="1:15">
      <c r="A328" s="19">
        <v>2026</v>
      </c>
      <c r="B328" s="111">
        <v>4</v>
      </c>
      <c r="C328" s="20">
        <v>46118</v>
      </c>
      <c r="D328" s="99" t="s">
        <v>1947</v>
      </c>
      <c r="E328" s="102" t="s">
        <v>1781</v>
      </c>
      <c r="F328" s="102" t="s">
        <v>875</v>
      </c>
      <c r="G328" s="99" t="s">
        <v>1775</v>
      </c>
      <c r="H328" s="102" t="s">
        <v>875</v>
      </c>
      <c r="I328" s="102" t="s">
        <v>466</v>
      </c>
      <c r="J328" s="103">
        <v>130</v>
      </c>
      <c r="K328" s="104">
        <v>50000</v>
      </c>
      <c r="L328" s="104">
        <v>6500000</v>
      </c>
      <c r="M328" s="115">
        <v>100</v>
      </c>
      <c r="N328" s="115">
        <f t="shared" si="10"/>
        <v>6500000</v>
      </c>
      <c r="O328" s="57">
        <f t="shared" si="11"/>
        <v>0</v>
      </c>
    </row>
    <row r="329" spans="1:15">
      <c r="A329" s="19">
        <v>2026</v>
      </c>
      <c r="B329" s="111">
        <v>4</v>
      </c>
      <c r="C329" s="20">
        <v>46118</v>
      </c>
      <c r="D329" s="99" t="s">
        <v>1947</v>
      </c>
      <c r="E329" s="102" t="s">
        <v>1781</v>
      </c>
      <c r="F329" s="102" t="s">
        <v>875</v>
      </c>
      <c r="G329" s="99" t="s">
        <v>1775</v>
      </c>
      <c r="H329" s="102" t="s">
        <v>875</v>
      </c>
      <c r="I329" s="102" t="s">
        <v>38</v>
      </c>
      <c r="J329" s="103">
        <v>100</v>
      </c>
      <c r="K329" s="104">
        <v>33000</v>
      </c>
      <c r="L329" s="104">
        <v>3300000</v>
      </c>
      <c r="M329" s="115">
        <v>100</v>
      </c>
      <c r="N329" s="115">
        <f t="shared" si="10"/>
        <v>3300000</v>
      </c>
      <c r="O329" s="57">
        <f t="shared" si="11"/>
        <v>0</v>
      </c>
    </row>
    <row r="330" spans="1:15">
      <c r="A330" s="19">
        <v>2026</v>
      </c>
      <c r="B330" s="111">
        <v>4</v>
      </c>
      <c r="C330" s="20">
        <v>46119</v>
      </c>
      <c r="D330" s="99" t="s">
        <v>1948</v>
      </c>
      <c r="E330" s="102" t="s">
        <v>1808</v>
      </c>
      <c r="F330" s="102" t="s">
        <v>1291</v>
      </c>
      <c r="G330" s="99" t="s">
        <v>1775</v>
      </c>
      <c r="H330" s="102" t="s">
        <v>1291</v>
      </c>
      <c r="I330" s="102" t="s">
        <v>41</v>
      </c>
      <c r="J330" s="103">
        <v>5</v>
      </c>
      <c r="K330" s="104">
        <v>40000</v>
      </c>
      <c r="L330" s="104">
        <v>200000</v>
      </c>
      <c r="M330" s="115">
        <v>57</v>
      </c>
      <c r="N330" s="115">
        <f t="shared" si="10"/>
        <v>113999.99999999999</v>
      </c>
      <c r="O330" s="57">
        <f t="shared" si="11"/>
        <v>86000.000000000015</v>
      </c>
    </row>
    <row r="331" spans="1:15">
      <c r="A331" s="19">
        <v>2026</v>
      </c>
      <c r="B331" s="111">
        <v>4</v>
      </c>
      <c r="C331" s="20">
        <v>46119</v>
      </c>
      <c r="D331" s="99" t="s">
        <v>1948</v>
      </c>
      <c r="E331" s="102" t="s">
        <v>1808</v>
      </c>
      <c r="F331" s="102" t="s">
        <v>1291</v>
      </c>
      <c r="G331" s="99" t="s">
        <v>1775</v>
      </c>
      <c r="H331" s="102" t="s">
        <v>1291</v>
      </c>
      <c r="I331" s="102" t="s">
        <v>38</v>
      </c>
      <c r="J331" s="103">
        <v>300</v>
      </c>
      <c r="K331" s="104">
        <v>33000</v>
      </c>
      <c r="L331" s="104">
        <v>9900000</v>
      </c>
      <c r="M331" s="115">
        <v>57</v>
      </c>
      <c r="N331" s="115">
        <f t="shared" si="10"/>
        <v>5642999.9999999991</v>
      </c>
      <c r="O331" s="57">
        <f t="shared" si="11"/>
        <v>4257000.0000000009</v>
      </c>
    </row>
    <row r="332" spans="1:15">
      <c r="A332" s="19">
        <v>2026</v>
      </c>
      <c r="B332" s="111">
        <v>4</v>
      </c>
      <c r="C332" s="20">
        <v>46119</v>
      </c>
      <c r="D332" s="99" t="s">
        <v>1948</v>
      </c>
      <c r="E332" s="102" t="s">
        <v>1808</v>
      </c>
      <c r="F332" s="102" t="s">
        <v>1291</v>
      </c>
      <c r="G332" s="99" t="s">
        <v>1775</v>
      </c>
      <c r="H332" s="102" t="s">
        <v>1291</v>
      </c>
      <c r="I332" s="102" t="s">
        <v>46</v>
      </c>
      <c r="J332" s="103">
        <v>200</v>
      </c>
      <c r="K332" s="104">
        <v>31000</v>
      </c>
      <c r="L332" s="104">
        <v>6200000</v>
      </c>
      <c r="M332" s="115">
        <v>57</v>
      </c>
      <c r="N332" s="115">
        <f t="shared" si="10"/>
        <v>3533999.9999999995</v>
      </c>
      <c r="O332" s="57">
        <f t="shared" si="11"/>
        <v>2666000.0000000005</v>
      </c>
    </row>
    <row r="333" spans="1:15">
      <c r="A333" s="19">
        <v>2026</v>
      </c>
      <c r="B333" s="111">
        <v>4</v>
      </c>
      <c r="C333" s="20">
        <v>46119</v>
      </c>
      <c r="D333" s="99" t="s">
        <v>1948</v>
      </c>
      <c r="E333" s="102" t="s">
        <v>1808</v>
      </c>
      <c r="F333" s="102" t="s">
        <v>1291</v>
      </c>
      <c r="G333" s="99" t="s">
        <v>1775</v>
      </c>
      <c r="H333" s="102" t="s">
        <v>1291</v>
      </c>
      <c r="I333" s="102" t="s">
        <v>46</v>
      </c>
      <c r="J333" s="103">
        <v>100</v>
      </c>
      <c r="K333" s="104">
        <v>31000</v>
      </c>
      <c r="L333" s="104">
        <v>3100000</v>
      </c>
      <c r="M333" s="115">
        <v>57</v>
      </c>
      <c r="N333" s="115">
        <f t="shared" si="10"/>
        <v>1766999.9999999998</v>
      </c>
      <c r="O333" s="57">
        <f t="shared" si="11"/>
        <v>1333000.0000000002</v>
      </c>
    </row>
    <row r="334" spans="1:15">
      <c r="A334" s="19">
        <v>2026</v>
      </c>
      <c r="B334" s="111">
        <v>4</v>
      </c>
      <c r="C334" s="20">
        <v>46119</v>
      </c>
      <c r="D334" s="99" t="s">
        <v>1948</v>
      </c>
      <c r="E334" s="102" t="s">
        <v>1808</v>
      </c>
      <c r="F334" s="102" t="s">
        <v>1291</v>
      </c>
      <c r="G334" s="99" t="s">
        <v>1775</v>
      </c>
      <c r="H334" s="102" t="s">
        <v>1291</v>
      </c>
      <c r="I334" s="102" t="s">
        <v>41</v>
      </c>
      <c r="J334" s="103">
        <v>295</v>
      </c>
      <c r="K334" s="104">
        <v>40000</v>
      </c>
      <c r="L334" s="104">
        <v>11800000</v>
      </c>
      <c r="M334" s="115">
        <v>57</v>
      </c>
      <c r="N334" s="115">
        <f t="shared" si="10"/>
        <v>6725999.9999999991</v>
      </c>
      <c r="O334" s="57">
        <f t="shared" si="11"/>
        <v>5074000.0000000009</v>
      </c>
    </row>
    <row r="335" spans="1:15">
      <c r="A335" s="19">
        <v>2026</v>
      </c>
      <c r="B335" s="111">
        <v>4</v>
      </c>
      <c r="C335" s="20">
        <v>46119</v>
      </c>
      <c r="D335" s="99" t="s">
        <v>1949</v>
      </c>
      <c r="E335" s="102" t="s">
        <v>1815</v>
      </c>
      <c r="F335" s="102" t="s">
        <v>894</v>
      </c>
      <c r="G335" s="99" t="s">
        <v>1775</v>
      </c>
      <c r="H335" s="102" t="s">
        <v>894</v>
      </c>
      <c r="I335" s="102" t="s">
        <v>41</v>
      </c>
      <c r="J335" s="103">
        <v>500</v>
      </c>
      <c r="K335" s="104">
        <v>40000</v>
      </c>
      <c r="L335" s="104">
        <v>20000000</v>
      </c>
      <c r="M335" s="115">
        <v>0</v>
      </c>
      <c r="N335" s="115">
        <f t="shared" si="10"/>
        <v>0</v>
      </c>
      <c r="O335" s="57">
        <f t="shared" si="11"/>
        <v>20000000</v>
      </c>
    </row>
    <row r="336" spans="1:15">
      <c r="A336" s="19">
        <v>2026</v>
      </c>
      <c r="B336" s="111">
        <v>4</v>
      </c>
      <c r="C336" s="20">
        <v>46120</v>
      </c>
      <c r="D336" s="99" t="s">
        <v>1950</v>
      </c>
      <c r="E336" s="102" t="s">
        <v>1797</v>
      </c>
      <c r="F336" s="102" t="s">
        <v>272</v>
      </c>
      <c r="G336" s="99" t="s">
        <v>1775</v>
      </c>
      <c r="H336" s="102" t="s">
        <v>272</v>
      </c>
      <c r="I336" s="102" t="s">
        <v>41</v>
      </c>
      <c r="J336" s="103">
        <v>100</v>
      </c>
      <c r="K336" s="104">
        <v>40000</v>
      </c>
      <c r="L336" s="104">
        <v>4000000</v>
      </c>
      <c r="M336" s="115">
        <v>0</v>
      </c>
      <c r="N336" s="115">
        <f t="shared" si="10"/>
        <v>0</v>
      </c>
      <c r="O336" s="57">
        <f t="shared" si="11"/>
        <v>4000000</v>
      </c>
    </row>
    <row r="337" spans="1:15">
      <c r="A337" s="19">
        <v>2026</v>
      </c>
      <c r="B337" s="111">
        <v>4</v>
      </c>
      <c r="C337" s="20">
        <v>46120</v>
      </c>
      <c r="D337" s="99" t="s">
        <v>1951</v>
      </c>
      <c r="E337" s="102" t="s">
        <v>1779</v>
      </c>
      <c r="F337" s="102" t="s">
        <v>1280</v>
      </c>
      <c r="G337" s="99" t="s">
        <v>1775</v>
      </c>
      <c r="H337" s="102" t="s">
        <v>1280</v>
      </c>
      <c r="I337" s="102" t="s">
        <v>46</v>
      </c>
      <c r="J337" s="103">
        <v>260</v>
      </c>
      <c r="K337" s="104">
        <v>31000</v>
      </c>
      <c r="L337" s="104">
        <v>8060000</v>
      </c>
      <c r="M337" s="115">
        <v>0</v>
      </c>
      <c r="N337" s="115">
        <f t="shared" si="10"/>
        <v>0</v>
      </c>
      <c r="O337" s="57">
        <f t="shared" si="11"/>
        <v>8060000</v>
      </c>
    </row>
    <row r="338" spans="1:15">
      <c r="A338" s="19">
        <v>2026</v>
      </c>
      <c r="B338" s="111">
        <v>4</v>
      </c>
      <c r="C338" s="20">
        <v>46120</v>
      </c>
      <c r="D338" s="99" t="s">
        <v>1951</v>
      </c>
      <c r="E338" s="102" t="s">
        <v>1779</v>
      </c>
      <c r="F338" s="102" t="s">
        <v>1280</v>
      </c>
      <c r="G338" s="99" t="s">
        <v>1775</v>
      </c>
      <c r="H338" s="102" t="s">
        <v>1280</v>
      </c>
      <c r="I338" s="102" t="s">
        <v>46</v>
      </c>
      <c r="J338" s="103">
        <v>140</v>
      </c>
      <c r="K338" s="104">
        <v>31000</v>
      </c>
      <c r="L338" s="104">
        <v>4340000</v>
      </c>
      <c r="M338" s="115">
        <v>0</v>
      </c>
      <c r="N338" s="115">
        <f t="shared" si="10"/>
        <v>0</v>
      </c>
      <c r="O338" s="57">
        <f t="shared" si="11"/>
        <v>4340000</v>
      </c>
    </row>
    <row r="339" spans="1:15">
      <c r="A339" s="19">
        <v>2026</v>
      </c>
      <c r="B339" s="111">
        <v>4</v>
      </c>
      <c r="C339" s="20">
        <v>46120</v>
      </c>
      <c r="D339" s="99" t="s">
        <v>1951</v>
      </c>
      <c r="E339" s="102" t="s">
        <v>1779</v>
      </c>
      <c r="F339" s="102" t="s">
        <v>1280</v>
      </c>
      <c r="G339" s="99" t="s">
        <v>1775</v>
      </c>
      <c r="H339" s="102" t="s">
        <v>1280</v>
      </c>
      <c r="I339" s="102" t="s">
        <v>38</v>
      </c>
      <c r="J339" s="103">
        <v>150</v>
      </c>
      <c r="K339" s="104">
        <v>33000</v>
      </c>
      <c r="L339" s="104">
        <v>4950000</v>
      </c>
      <c r="M339" s="115">
        <v>0</v>
      </c>
      <c r="N339" s="115">
        <f t="shared" si="10"/>
        <v>0</v>
      </c>
      <c r="O339" s="57">
        <f t="shared" si="11"/>
        <v>4950000</v>
      </c>
    </row>
    <row r="340" spans="1:15">
      <c r="A340" s="19">
        <v>2026</v>
      </c>
      <c r="B340" s="111">
        <v>4</v>
      </c>
      <c r="C340" s="20">
        <v>46121</v>
      </c>
      <c r="D340" s="99" t="s">
        <v>1952</v>
      </c>
      <c r="E340" s="102" t="s">
        <v>1779</v>
      </c>
      <c r="F340" s="102" t="s">
        <v>1280</v>
      </c>
      <c r="G340" s="99" t="s">
        <v>1775</v>
      </c>
      <c r="H340" s="102" t="s">
        <v>1280</v>
      </c>
      <c r="I340" s="102" t="s">
        <v>46</v>
      </c>
      <c r="J340" s="103">
        <v>120</v>
      </c>
      <c r="K340" s="104">
        <v>31000</v>
      </c>
      <c r="L340" s="104">
        <v>3720000</v>
      </c>
      <c r="M340" s="115">
        <v>0</v>
      </c>
      <c r="N340" s="115">
        <f t="shared" si="10"/>
        <v>0</v>
      </c>
      <c r="O340" s="57">
        <f t="shared" si="11"/>
        <v>3720000</v>
      </c>
    </row>
    <row r="341" spans="1:15">
      <c r="A341" s="19">
        <v>2026</v>
      </c>
      <c r="B341" s="111">
        <v>4</v>
      </c>
      <c r="C341" s="20">
        <v>46121</v>
      </c>
      <c r="D341" s="99" t="s">
        <v>1953</v>
      </c>
      <c r="E341" s="102" t="s">
        <v>1797</v>
      </c>
      <c r="F341" s="102" t="s">
        <v>272</v>
      </c>
      <c r="G341" s="99" t="s">
        <v>1775</v>
      </c>
      <c r="H341" s="102" t="s">
        <v>272</v>
      </c>
      <c r="I341" s="102" t="s">
        <v>41</v>
      </c>
      <c r="J341" s="103">
        <v>100</v>
      </c>
      <c r="K341" s="104">
        <v>40000</v>
      </c>
      <c r="L341" s="104">
        <v>4000000</v>
      </c>
      <c r="M341" s="115">
        <v>0</v>
      </c>
      <c r="N341" s="115">
        <f t="shared" si="10"/>
        <v>0</v>
      </c>
      <c r="O341" s="57">
        <f t="shared" si="11"/>
        <v>4000000</v>
      </c>
    </row>
    <row r="342" spans="1:15">
      <c r="A342" s="19">
        <v>2026</v>
      </c>
      <c r="B342" s="111">
        <v>4</v>
      </c>
      <c r="C342" s="20">
        <v>46122</v>
      </c>
      <c r="D342" s="99" t="s">
        <v>1954</v>
      </c>
      <c r="E342" s="102" t="s">
        <v>1779</v>
      </c>
      <c r="F342" s="102" t="s">
        <v>1280</v>
      </c>
      <c r="G342" s="99" t="s">
        <v>1775</v>
      </c>
      <c r="H342" s="102" t="s">
        <v>1280</v>
      </c>
      <c r="I342" s="102" t="s">
        <v>466</v>
      </c>
      <c r="J342" s="103">
        <v>40</v>
      </c>
      <c r="K342" s="104">
        <v>50000</v>
      </c>
      <c r="L342" s="104">
        <v>2000000</v>
      </c>
      <c r="M342" s="115">
        <v>0</v>
      </c>
      <c r="N342" s="115">
        <f t="shared" si="10"/>
        <v>0</v>
      </c>
      <c r="O342" s="57">
        <f t="shared" si="11"/>
        <v>2000000</v>
      </c>
    </row>
    <row r="343" spans="1:15">
      <c r="A343" s="19">
        <v>2026</v>
      </c>
      <c r="B343" s="111">
        <v>4</v>
      </c>
      <c r="C343" s="20">
        <v>46122</v>
      </c>
      <c r="D343" s="99" t="s">
        <v>1955</v>
      </c>
      <c r="E343" s="102" t="s">
        <v>1806</v>
      </c>
      <c r="F343" s="102" t="s">
        <v>1499</v>
      </c>
      <c r="G343" s="99" t="s">
        <v>1775</v>
      </c>
      <c r="H343" s="102" t="s">
        <v>1499</v>
      </c>
      <c r="I343" s="102" t="s">
        <v>41</v>
      </c>
      <c r="J343" s="103">
        <v>200</v>
      </c>
      <c r="K343" s="104">
        <v>40000</v>
      </c>
      <c r="L343" s="104">
        <v>8000000</v>
      </c>
      <c r="M343" s="115">
        <v>0</v>
      </c>
      <c r="N343" s="115">
        <f t="shared" si="10"/>
        <v>0</v>
      </c>
      <c r="O343" s="57">
        <f t="shared" si="11"/>
        <v>8000000</v>
      </c>
    </row>
    <row r="344" spans="1:15">
      <c r="A344" s="19">
        <v>2026</v>
      </c>
      <c r="B344" s="111">
        <v>4</v>
      </c>
      <c r="C344" s="20">
        <v>46127</v>
      </c>
      <c r="D344" s="99" t="s">
        <v>1956</v>
      </c>
      <c r="E344" s="102" t="s">
        <v>1862</v>
      </c>
      <c r="F344" s="102" t="s">
        <v>1264</v>
      </c>
      <c r="G344" s="99" t="s">
        <v>1775</v>
      </c>
      <c r="H344" s="102" t="s">
        <v>1264</v>
      </c>
      <c r="I344" s="102" t="s">
        <v>46</v>
      </c>
      <c r="J344" s="103">
        <v>200</v>
      </c>
      <c r="K344" s="104">
        <v>31000</v>
      </c>
      <c r="L344" s="104">
        <v>6200000</v>
      </c>
      <c r="M344" s="115">
        <v>0</v>
      </c>
      <c r="N344" s="115">
        <f t="shared" si="10"/>
        <v>0</v>
      </c>
      <c r="O344" s="57">
        <f t="shared" si="11"/>
        <v>6200000</v>
      </c>
    </row>
    <row r="345" spans="1:15">
      <c r="A345" s="19">
        <v>2026</v>
      </c>
      <c r="B345" s="111">
        <v>4</v>
      </c>
      <c r="C345" s="20">
        <v>46129</v>
      </c>
      <c r="D345" s="99" t="s">
        <v>1957</v>
      </c>
      <c r="E345" s="102" t="s">
        <v>1797</v>
      </c>
      <c r="F345" s="102" t="s">
        <v>272</v>
      </c>
      <c r="G345" s="99" t="s">
        <v>1775</v>
      </c>
      <c r="H345" s="102" t="s">
        <v>272</v>
      </c>
      <c r="I345" s="102" t="s">
        <v>41</v>
      </c>
      <c r="J345" s="103">
        <v>50</v>
      </c>
      <c r="K345" s="104">
        <v>40000</v>
      </c>
      <c r="L345" s="104">
        <v>2000000</v>
      </c>
      <c r="M345" s="115">
        <v>0</v>
      </c>
      <c r="N345" s="115">
        <f t="shared" si="10"/>
        <v>0</v>
      </c>
      <c r="O345" s="57">
        <f t="shared" si="11"/>
        <v>2000000</v>
      </c>
    </row>
    <row r="346" spans="1:15">
      <c r="A346" s="19">
        <v>2026</v>
      </c>
      <c r="B346" s="111">
        <v>4</v>
      </c>
      <c r="C346" s="20">
        <v>46129</v>
      </c>
      <c r="D346" s="99" t="s">
        <v>1958</v>
      </c>
      <c r="E346" s="102" t="s">
        <v>1797</v>
      </c>
      <c r="F346" s="102" t="s">
        <v>272</v>
      </c>
      <c r="G346" s="99" t="s">
        <v>1775</v>
      </c>
      <c r="H346" s="102" t="s">
        <v>272</v>
      </c>
      <c r="I346" s="102" t="s">
        <v>41</v>
      </c>
      <c r="J346" s="103">
        <v>50</v>
      </c>
      <c r="K346" s="104">
        <v>40000</v>
      </c>
      <c r="L346" s="104">
        <v>2000000</v>
      </c>
      <c r="M346" s="115">
        <v>0</v>
      </c>
      <c r="N346" s="115">
        <f t="shared" si="10"/>
        <v>0</v>
      </c>
      <c r="O346" s="57">
        <f t="shared" si="11"/>
        <v>2000000</v>
      </c>
    </row>
    <row r="347" spans="1:15">
      <c r="A347" s="19">
        <v>2026</v>
      </c>
      <c r="B347" s="111">
        <v>4</v>
      </c>
      <c r="C347" s="20">
        <v>46129</v>
      </c>
      <c r="D347" s="99" t="s">
        <v>1959</v>
      </c>
      <c r="E347" s="102" t="s">
        <v>1790</v>
      </c>
      <c r="F347" s="102" t="s">
        <v>1359</v>
      </c>
      <c r="G347" s="99" t="s">
        <v>1775</v>
      </c>
      <c r="H347" s="102" t="s">
        <v>1359</v>
      </c>
      <c r="I347" s="102" t="s">
        <v>41</v>
      </c>
      <c r="J347" s="103">
        <v>100</v>
      </c>
      <c r="K347" s="104">
        <v>40000</v>
      </c>
      <c r="L347" s="104">
        <v>4000000</v>
      </c>
      <c r="M347" s="115">
        <v>0</v>
      </c>
      <c r="N347" s="115">
        <f t="shared" si="10"/>
        <v>0</v>
      </c>
      <c r="O347" s="57">
        <f t="shared" si="11"/>
        <v>4000000</v>
      </c>
    </row>
    <row r="348" spans="1:15">
      <c r="A348" s="19">
        <v>2026</v>
      </c>
      <c r="B348" s="111">
        <v>4</v>
      </c>
      <c r="C348" s="20">
        <v>46129</v>
      </c>
      <c r="D348" s="99" t="s">
        <v>1959</v>
      </c>
      <c r="E348" s="102" t="s">
        <v>1790</v>
      </c>
      <c r="F348" s="102" t="s">
        <v>1359</v>
      </c>
      <c r="G348" s="99" t="s">
        <v>1775</v>
      </c>
      <c r="H348" s="102" t="s">
        <v>1359</v>
      </c>
      <c r="I348" s="102" t="s">
        <v>466</v>
      </c>
      <c r="J348" s="103">
        <v>200</v>
      </c>
      <c r="K348" s="104">
        <v>50000</v>
      </c>
      <c r="L348" s="104">
        <v>10000000</v>
      </c>
      <c r="M348" s="115">
        <v>0</v>
      </c>
      <c r="N348" s="115">
        <f t="shared" si="10"/>
        <v>0</v>
      </c>
      <c r="O348" s="57">
        <f t="shared" si="11"/>
        <v>10000000</v>
      </c>
    </row>
    <row r="349" spans="1:15">
      <c r="A349" s="19">
        <v>2026</v>
      </c>
      <c r="B349" s="111">
        <v>4</v>
      </c>
      <c r="C349" s="20">
        <v>46132</v>
      </c>
      <c r="D349" s="99" t="s">
        <v>1960</v>
      </c>
      <c r="E349" s="102" t="s">
        <v>1800</v>
      </c>
      <c r="F349" s="102" t="s">
        <v>288</v>
      </c>
      <c r="G349" s="99" t="s">
        <v>1775</v>
      </c>
      <c r="H349" s="102" t="s">
        <v>1801</v>
      </c>
      <c r="I349" s="102" t="s">
        <v>38</v>
      </c>
      <c r="J349" s="103">
        <v>100</v>
      </c>
      <c r="K349" s="104">
        <v>33000</v>
      </c>
      <c r="L349" s="104">
        <v>3300000</v>
      </c>
      <c r="M349" s="115">
        <v>0</v>
      </c>
      <c r="N349" s="115">
        <f t="shared" si="10"/>
        <v>0</v>
      </c>
      <c r="O349" s="57">
        <f t="shared" si="11"/>
        <v>3300000</v>
      </c>
    </row>
    <row r="350" spans="1:15">
      <c r="A350" s="19">
        <v>2026</v>
      </c>
      <c r="B350" s="111">
        <v>4</v>
      </c>
      <c r="C350" s="20">
        <v>46132</v>
      </c>
      <c r="D350" s="99" t="s">
        <v>1961</v>
      </c>
      <c r="E350" s="102" t="s">
        <v>1779</v>
      </c>
      <c r="F350" s="102" t="s">
        <v>1280</v>
      </c>
      <c r="G350" s="99" t="s">
        <v>1775</v>
      </c>
      <c r="H350" s="102" t="s">
        <v>1280</v>
      </c>
      <c r="I350" s="102" t="s">
        <v>38</v>
      </c>
      <c r="J350" s="103">
        <v>50</v>
      </c>
      <c r="K350" s="104">
        <v>33000</v>
      </c>
      <c r="L350" s="104">
        <v>1650000</v>
      </c>
      <c r="M350" s="115">
        <v>0</v>
      </c>
      <c r="N350" s="115">
        <f t="shared" si="10"/>
        <v>0</v>
      </c>
      <c r="O350" s="57">
        <f t="shared" si="11"/>
        <v>1650000</v>
      </c>
    </row>
    <row r="351" spans="1:15">
      <c r="A351" s="19">
        <v>2026</v>
      </c>
      <c r="B351" s="111">
        <v>4</v>
      </c>
      <c r="C351" s="20">
        <v>46132</v>
      </c>
      <c r="D351" s="99" t="s">
        <v>1962</v>
      </c>
      <c r="E351" s="102" t="s">
        <v>16</v>
      </c>
      <c r="F351" s="102" t="s">
        <v>281</v>
      </c>
      <c r="G351" s="99" t="s">
        <v>1775</v>
      </c>
      <c r="H351" s="102" t="s">
        <v>281</v>
      </c>
      <c r="I351" s="102" t="s">
        <v>466</v>
      </c>
      <c r="J351" s="103">
        <v>40</v>
      </c>
      <c r="K351" s="104">
        <v>50000</v>
      </c>
      <c r="L351" s="104">
        <v>2000000</v>
      </c>
      <c r="M351" s="115">
        <v>0</v>
      </c>
      <c r="N351" s="115">
        <f t="shared" si="10"/>
        <v>0</v>
      </c>
      <c r="O351" s="57">
        <f t="shared" si="11"/>
        <v>2000000</v>
      </c>
    </row>
    <row r="352" spans="1:15">
      <c r="A352" s="19">
        <v>2026</v>
      </c>
      <c r="B352" s="111">
        <v>4</v>
      </c>
      <c r="C352" s="20">
        <v>46132</v>
      </c>
      <c r="D352" s="99" t="s">
        <v>1963</v>
      </c>
      <c r="E352" s="102" t="s">
        <v>1781</v>
      </c>
      <c r="F352" s="102" t="s">
        <v>875</v>
      </c>
      <c r="G352" s="99" t="s">
        <v>1775</v>
      </c>
      <c r="H352" s="102" t="s">
        <v>875</v>
      </c>
      <c r="I352" s="102" t="s">
        <v>466</v>
      </c>
      <c r="J352" s="103">
        <v>200</v>
      </c>
      <c r="K352" s="104">
        <v>50000</v>
      </c>
      <c r="L352" s="104">
        <v>10000000</v>
      </c>
      <c r="M352" s="115">
        <v>0</v>
      </c>
      <c r="N352" s="115">
        <f t="shared" si="10"/>
        <v>0</v>
      </c>
      <c r="O352" s="57">
        <f t="shared" si="11"/>
        <v>10000000</v>
      </c>
    </row>
    <row r="353" spans="1:15">
      <c r="A353" s="19">
        <v>2026</v>
      </c>
      <c r="B353" s="111">
        <v>4</v>
      </c>
      <c r="C353" s="20">
        <v>46132</v>
      </c>
      <c r="D353" s="99" t="s">
        <v>1964</v>
      </c>
      <c r="E353" s="102" t="s">
        <v>1806</v>
      </c>
      <c r="F353" s="102" t="s">
        <v>1499</v>
      </c>
      <c r="G353" s="99" t="s">
        <v>1775</v>
      </c>
      <c r="H353" s="102" t="s">
        <v>1499</v>
      </c>
      <c r="I353" s="102" t="s">
        <v>41</v>
      </c>
      <c r="J353" s="103">
        <v>340</v>
      </c>
      <c r="K353" s="104">
        <v>40000</v>
      </c>
      <c r="L353" s="104">
        <v>13600000</v>
      </c>
      <c r="M353" s="115">
        <v>0</v>
      </c>
      <c r="N353" s="115">
        <f t="shared" si="10"/>
        <v>0</v>
      </c>
      <c r="O353" s="57">
        <f t="shared" si="11"/>
        <v>13600000</v>
      </c>
    </row>
    <row r="354" spans="1:15">
      <c r="A354" s="19">
        <v>2026</v>
      </c>
      <c r="B354" s="111">
        <v>4</v>
      </c>
      <c r="C354" s="20">
        <v>46132</v>
      </c>
      <c r="D354" s="99" t="s">
        <v>1964</v>
      </c>
      <c r="E354" s="102" t="s">
        <v>1806</v>
      </c>
      <c r="F354" s="102" t="s">
        <v>1499</v>
      </c>
      <c r="G354" s="99" t="s">
        <v>1775</v>
      </c>
      <c r="H354" s="102" t="s">
        <v>1499</v>
      </c>
      <c r="I354" s="102" t="s">
        <v>41</v>
      </c>
      <c r="J354" s="103">
        <v>60</v>
      </c>
      <c r="K354" s="104">
        <v>40000</v>
      </c>
      <c r="L354" s="104">
        <v>2400000</v>
      </c>
      <c r="M354" s="115">
        <v>0</v>
      </c>
      <c r="N354" s="115">
        <f t="shared" si="10"/>
        <v>0</v>
      </c>
      <c r="O354" s="57">
        <f t="shared" si="11"/>
        <v>2400000</v>
      </c>
    </row>
    <row r="355" spans="1:15">
      <c r="A355" s="19">
        <v>2026</v>
      </c>
      <c r="B355" s="111">
        <v>4</v>
      </c>
      <c r="C355" s="20">
        <v>46134</v>
      </c>
      <c r="D355" s="99" t="s">
        <v>1965</v>
      </c>
      <c r="E355" s="102" t="s">
        <v>1779</v>
      </c>
      <c r="F355" s="102" t="s">
        <v>1280</v>
      </c>
      <c r="G355" s="99" t="s">
        <v>1775</v>
      </c>
      <c r="H355" s="102" t="s">
        <v>1280</v>
      </c>
      <c r="I355" s="102" t="s">
        <v>46</v>
      </c>
      <c r="J355" s="103">
        <v>240</v>
      </c>
      <c r="K355" s="104">
        <v>31000</v>
      </c>
      <c r="L355" s="104">
        <v>7440000</v>
      </c>
      <c r="M355" s="115">
        <v>0</v>
      </c>
      <c r="N355" s="115">
        <f t="shared" si="10"/>
        <v>0</v>
      </c>
      <c r="O355" s="57">
        <f t="shared" si="11"/>
        <v>7440000</v>
      </c>
    </row>
    <row r="356" spans="1:15">
      <c r="A356" s="19">
        <v>2026</v>
      </c>
      <c r="B356" s="111">
        <v>4</v>
      </c>
      <c r="C356" s="20">
        <v>46135</v>
      </c>
      <c r="D356" s="99" t="s">
        <v>1966</v>
      </c>
      <c r="E356" s="102" t="s">
        <v>1777</v>
      </c>
      <c r="F356" s="102" t="s">
        <v>864</v>
      </c>
      <c r="G356" s="99" t="s">
        <v>1775</v>
      </c>
      <c r="H356" s="102" t="s">
        <v>864</v>
      </c>
      <c r="I356" s="102" t="s">
        <v>41</v>
      </c>
      <c r="J356" s="103">
        <v>200</v>
      </c>
      <c r="K356" s="104">
        <v>40000</v>
      </c>
      <c r="L356" s="104">
        <v>8000000</v>
      </c>
      <c r="M356" s="115">
        <v>0</v>
      </c>
      <c r="N356" s="115">
        <f t="shared" si="10"/>
        <v>0</v>
      </c>
      <c r="O356" s="57">
        <f t="shared" si="11"/>
        <v>8000000</v>
      </c>
    </row>
    <row r="357" spans="1:15">
      <c r="A357" s="19">
        <v>2026</v>
      </c>
      <c r="B357" s="111">
        <v>4</v>
      </c>
      <c r="C357" s="20">
        <v>46135</v>
      </c>
      <c r="D357" s="99" t="s">
        <v>1966</v>
      </c>
      <c r="E357" s="102" t="s">
        <v>1777</v>
      </c>
      <c r="F357" s="102" t="s">
        <v>864</v>
      </c>
      <c r="G357" s="99" t="s">
        <v>1775</v>
      </c>
      <c r="H357" s="102" t="s">
        <v>864</v>
      </c>
      <c r="I357" s="102" t="s">
        <v>38</v>
      </c>
      <c r="J357" s="103">
        <v>100</v>
      </c>
      <c r="K357" s="104">
        <v>33000</v>
      </c>
      <c r="L357" s="104">
        <v>3300000</v>
      </c>
      <c r="M357" s="115">
        <v>0</v>
      </c>
      <c r="N357" s="115">
        <f t="shared" si="10"/>
        <v>0</v>
      </c>
      <c r="O357" s="57">
        <f t="shared" si="11"/>
        <v>3300000</v>
      </c>
    </row>
    <row r="358" spans="1:15">
      <c r="A358" s="19">
        <v>2026</v>
      </c>
      <c r="B358" s="111">
        <v>4</v>
      </c>
      <c r="C358" s="20">
        <v>46136</v>
      </c>
      <c r="D358" s="99" t="s">
        <v>1967</v>
      </c>
      <c r="E358" s="102" t="s">
        <v>1781</v>
      </c>
      <c r="F358" s="102" t="s">
        <v>875</v>
      </c>
      <c r="G358" s="99" t="s">
        <v>1775</v>
      </c>
      <c r="H358" s="102" t="s">
        <v>875</v>
      </c>
      <c r="I358" s="102" t="s">
        <v>41</v>
      </c>
      <c r="J358" s="103">
        <v>100</v>
      </c>
      <c r="K358" s="104">
        <v>40000</v>
      </c>
      <c r="L358" s="104">
        <v>4000000</v>
      </c>
      <c r="M358" s="115">
        <v>0</v>
      </c>
      <c r="N358" s="115">
        <f t="shared" si="10"/>
        <v>0</v>
      </c>
      <c r="O358" s="57">
        <f t="shared" si="11"/>
        <v>4000000</v>
      </c>
    </row>
    <row r="359" spans="1:15">
      <c r="A359" s="19">
        <v>2026</v>
      </c>
      <c r="B359" s="111">
        <v>4</v>
      </c>
      <c r="C359" s="20">
        <v>46140</v>
      </c>
      <c r="D359" s="99" t="s">
        <v>1968</v>
      </c>
      <c r="E359" s="102" t="s">
        <v>1779</v>
      </c>
      <c r="F359" s="102" t="s">
        <v>1280</v>
      </c>
      <c r="G359" s="99" t="s">
        <v>1775</v>
      </c>
      <c r="H359" s="102" t="s">
        <v>1280</v>
      </c>
      <c r="I359" s="102" t="s">
        <v>38</v>
      </c>
      <c r="J359" s="103">
        <v>50</v>
      </c>
      <c r="K359" s="104">
        <v>33000</v>
      </c>
      <c r="L359" s="104">
        <v>1650000</v>
      </c>
      <c r="M359" s="115">
        <v>0</v>
      </c>
      <c r="N359" s="115">
        <f t="shared" si="10"/>
        <v>0</v>
      </c>
      <c r="O359" s="57">
        <f t="shared" si="11"/>
        <v>1650000</v>
      </c>
    </row>
    <row r="360" spans="1:15">
      <c r="A360" s="19">
        <v>2026</v>
      </c>
      <c r="B360" s="111">
        <v>4</v>
      </c>
      <c r="C360" s="20">
        <v>46140</v>
      </c>
      <c r="D360" s="99" t="s">
        <v>1969</v>
      </c>
      <c r="E360" s="102" t="s">
        <v>1817</v>
      </c>
      <c r="F360" s="102" t="s">
        <v>1101</v>
      </c>
      <c r="G360" s="99" t="s">
        <v>1775</v>
      </c>
      <c r="H360" s="102" t="s">
        <v>1101</v>
      </c>
      <c r="I360" s="102" t="s">
        <v>38</v>
      </c>
      <c r="J360" s="103">
        <v>150</v>
      </c>
      <c r="K360" s="104">
        <v>33000</v>
      </c>
      <c r="L360" s="104">
        <v>4950000</v>
      </c>
      <c r="M360" s="115">
        <v>0</v>
      </c>
      <c r="N360" s="115">
        <f t="shared" si="10"/>
        <v>0</v>
      </c>
      <c r="O360" s="57">
        <f t="shared" si="11"/>
        <v>4950000</v>
      </c>
    </row>
    <row r="361" spans="1:15">
      <c r="A361" s="19">
        <v>2026</v>
      </c>
      <c r="B361" s="111">
        <v>4</v>
      </c>
      <c r="C361" s="20">
        <v>46141</v>
      </c>
      <c r="D361" s="99" t="s">
        <v>1970</v>
      </c>
      <c r="E361" s="102" t="s">
        <v>1783</v>
      </c>
      <c r="F361" s="102" t="s">
        <v>1272</v>
      </c>
      <c r="G361" s="99" t="s">
        <v>1775</v>
      </c>
      <c r="H361" s="102" t="s">
        <v>1272</v>
      </c>
      <c r="I361" s="102" t="s">
        <v>466</v>
      </c>
      <c r="J361" s="103">
        <v>80</v>
      </c>
      <c r="K361" s="104">
        <v>50000</v>
      </c>
      <c r="L361" s="104">
        <v>4000000</v>
      </c>
      <c r="M361" s="115">
        <v>0</v>
      </c>
      <c r="N361" s="115">
        <f t="shared" si="10"/>
        <v>0</v>
      </c>
      <c r="O361" s="57">
        <f t="shared" si="11"/>
        <v>4000000</v>
      </c>
    </row>
    <row r="362" spans="1:15">
      <c r="A362" s="19">
        <v>2026</v>
      </c>
      <c r="B362" s="111">
        <v>4</v>
      </c>
      <c r="C362" s="20">
        <v>46141</v>
      </c>
      <c r="D362" s="99" t="s">
        <v>1971</v>
      </c>
      <c r="E362" s="102" t="s">
        <v>1777</v>
      </c>
      <c r="F362" s="102" t="s">
        <v>864</v>
      </c>
      <c r="G362" s="99" t="s">
        <v>1775</v>
      </c>
      <c r="H362" s="102" t="s">
        <v>864</v>
      </c>
      <c r="I362" s="102" t="s">
        <v>41</v>
      </c>
      <c r="J362" s="103">
        <v>300</v>
      </c>
      <c r="K362" s="104">
        <v>40000</v>
      </c>
      <c r="L362" s="104">
        <v>12000000</v>
      </c>
      <c r="M362" s="115">
        <v>0</v>
      </c>
      <c r="N362" s="115">
        <f t="shared" si="10"/>
        <v>0</v>
      </c>
      <c r="O362" s="57">
        <f t="shared" si="11"/>
        <v>12000000</v>
      </c>
    </row>
    <row r="363" spans="1:15">
      <c r="A363" s="19">
        <v>2026</v>
      </c>
      <c r="B363" s="111">
        <v>4</v>
      </c>
      <c r="C363" s="20">
        <v>46141</v>
      </c>
      <c r="D363" s="99" t="s">
        <v>1972</v>
      </c>
      <c r="E363" s="102" t="s">
        <v>1797</v>
      </c>
      <c r="F363" s="102" t="s">
        <v>272</v>
      </c>
      <c r="G363" s="99" t="s">
        <v>1775</v>
      </c>
      <c r="H363" s="102" t="s">
        <v>272</v>
      </c>
      <c r="I363" s="102" t="s">
        <v>38</v>
      </c>
      <c r="J363" s="103">
        <v>100</v>
      </c>
      <c r="K363" s="104">
        <v>33000</v>
      </c>
      <c r="L363" s="104">
        <v>3300000</v>
      </c>
      <c r="M363" s="115">
        <v>0</v>
      </c>
      <c r="N363" s="115">
        <f t="shared" si="10"/>
        <v>0</v>
      </c>
      <c r="O363" s="57">
        <f t="shared" si="11"/>
        <v>3300000</v>
      </c>
    </row>
    <row r="364" spans="1:15">
      <c r="A364" s="19">
        <v>2026</v>
      </c>
      <c r="B364" s="111">
        <v>4</v>
      </c>
      <c r="C364" s="20">
        <v>46141</v>
      </c>
      <c r="D364" s="99" t="s">
        <v>1973</v>
      </c>
      <c r="E364" s="102" t="s">
        <v>1806</v>
      </c>
      <c r="F364" s="102" t="s">
        <v>1499</v>
      </c>
      <c r="G364" s="99" t="s">
        <v>1775</v>
      </c>
      <c r="H364" s="102" t="s">
        <v>1499</v>
      </c>
      <c r="I364" s="102" t="s">
        <v>41</v>
      </c>
      <c r="J364" s="103">
        <v>400</v>
      </c>
      <c r="K364" s="104">
        <v>40000</v>
      </c>
      <c r="L364" s="104">
        <v>16000000</v>
      </c>
      <c r="M364" s="115">
        <v>0</v>
      </c>
      <c r="N364" s="115">
        <f t="shared" si="10"/>
        <v>0</v>
      </c>
      <c r="O364" s="57">
        <f t="shared" si="11"/>
        <v>16000000</v>
      </c>
    </row>
    <row r="365" spans="1:15">
      <c r="A365" s="19">
        <v>2026</v>
      </c>
      <c r="B365" s="111">
        <v>4</v>
      </c>
      <c r="C365" s="20">
        <v>46141</v>
      </c>
      <c r="D365" s="99" t="s">
        <v>1973</v>
      </c>
      <c r="E365" s="102" t="s">
        <v>1806</v>
      </c>
      <c r="F365" s="102" t="s">
        <v>1499</v>
      </c>
      <c r="G365" s="99" t="s">
        <v>1775</v>
      </c>
      <c r="H365" s="102" t="s">
        <v>1499</v>
      </c>
      <c r="I365" s="102" t="s">
        <v>38</v>
      </c>
      <c r="J365" s="103">
        <v>10</v>
      </c>
      <c r="K365" s="104">
        <v>33000</v>
      </c>
      <c r="L365" s="104">
        <v>330000</v>
      </c>
      <c r="M365" s="115">
        <v>0</v>
      </c>
      <c r="N365" s="115">
        <f t="shared" si="10"/>
        <v>0</v>
      </c>
      <c r="O365" s="57">
        <f t="shared" si="11"/>
        <v>330000</v>
      </c>
    </row>
    <row r="366" spans="1:15">
      <c r="A366" s="19">
        <v>2026</v>
      </c>
      <c r="B366" s="111">
        <v>4</v>
      </c>
      <c r="C366" s="20">
        <v>46141</v>
      </c>
      <c r="D366" s="99" t="s">
        <v>1973</v>
      </c>
      <c r="E366" s="102" t="s">
        <v>1806</v>
      </c>
      <c r="F366" s="102" t="s">
        <v>1499</v>
      </c>
      <c r="G366" s="99" t="s">
        <v>1775</v>
      </c>
      <c r="H366" s="102" t="s">
        <v>1499</v>
      </c>
      <c r="I366" s="102" t="s">
        <v>38</v>
      </c>
      <c r="J366" s="103">
        <v>390</v>
      </c>
      <c r="K366" s="104">
        <v>33000</v>
      </c>
      <c r="L366" s="104">
        <v>12870000</v>
      </c>
      <c r="M366" s="115">
        <v>0</v>
      </c>
      <c r="N366" s="115">
        <f t="shared" si="10"/>
        <v>0</v>
      </c>
      <c r="O366" s="57">
        <f t="shared" si="11"/>
        <v>12870000</v>
      </c>
    </row>
    <row r="367" spans="1:15">
      <c r="A367" s="19">
        <v>2026</v>
      </c>
      <c r="B367" s="111">
        <v>5</v>
      </c>
      <c r="C367" s="20">
        <v>46148</v>
      </c>
      <c r="D367" s="99" t="s">
        <v>1974</v>
      </c>
      <c r="E367" s="102" t="s">
        <v>1808</v>
      </c>
      <c r="F367" s="102" t="s">
        <v>1291</v>
      </c>
      <c r="G367" s="99" t="s">
        <v>1775</v>
      </c>
      <c r="H367" s="102" t="s">
        <v>1291</v>
      </c>
      <c r="I367" s="102" t="s">
        <v>41</v>
      </c>
      <c r="J367" s="103">
        <v>200</v>
      </c>
      <c r="K367" s="104">
        <v>40000</v>
      </c>
      <c r="L367" s="104">
        <v>8000000</v>
      </c>
      <c r="M367" s="115">
        <v>100</v>
      </c>
      <c r="N367" s="115">
        <f t="shared" si="10"/>
        <v>8000000</v>
      </c>
      <c r="O367" s="57">
        <f t="shared" si="11"/>
        <v>0</v>
      </c>
    </row>
    <row r="368" spans="1:15">
      <c r="A368" s="19">
        <v>2026</v>
      </c>
      <c r="B368" s="111">
        <v>5</v>
      </c>
      <c r="C368" s="20">
        <v>46148</v>
      </c>
      <c r="D368" s="99" t="s">
        <v>1974</v>
      </c>
      <c r="E368" s="102" t="s">
        <v>1808</v>
      </c>
      <c r="F368" s="102" t="s">
        <v>1291</v>
      </c>
      <c r="G368" s="99" t="s">
        <v>1775</v>
      </c>
      <c r="H368" s="102" t="s">
        <v>1291</v>
      </c>
      <c r="I368" s="102" t="s">
        <v>41</v>
      </c>
      <c r="J368" s="103">
        <v>310</v>
      </c>
      <c r="K368" s="104">
        <v>40000</v>
      </c>
      <c r="L368" s="104">
        <v>12400000</v>
      </c>
      <c r="M368" s="115">
        <v>100</v>
      </c>
      <c r="N368" s="115">
        <f t="shared" si="10"/>
        <v>12400000</v>
      </c>
      <c r="O368" s="57">
        <f t="shared" si="11"/>
        <v>0</v>
      </c>
    </row>
    <row r="369" spans="1:15">
      <c r="A369" s="19">
        <v>2026</v>
      </c>
      <c r="B369" s="111">
        <v>5</v>
      </c>
      <c r="C369" s="20">
        <v>46148</v>
      </c>
      <c r="D369" s="99" t="s">
        <v>1974</v>
      </c>
      <c r="E369" s="102" t="s">
        <v>1808</v>
      </c>
      <c r="F369" s="102" t="s">
        <v>1291</v>
      </c>
      <c r="G369" s="99" t="s">
        <v>1775</v>
      </c>
      <c r="H369" s="102" t="s">
        <v>1291</v>
      </c>
      <c r="I369" s="102" t="s">
        <v>41</v>
      </c>
      <c r="J369" s="103">
        <v>90</v>
      </c>
      <c r="K369" s="104">
        <v>40000</v>
      </c>
      <c r="L369" s="104">
        <v>3600000</v>
      </c>
      <c r="M369" s="115">
        <v>100</v>
      </c>
      <c r="N369" s="115">
        <f t="shared" si="10"/>
        <v>3600000</v>
      </c>
      <c r="O369" s="57">
        <f t="shared" si="11"/>
        <v>0</v>
      </c>
    </row>
    <row r="370" spans="1:15">
      <c r="A370" s="19">
        <v>2026</v>
      </c>
      <c r="B370" s="111">
        <v>5</v>
      </c>
      <c r="C370" s="20">
        <v>46149</v>
      </c>
      <c r="D370" s="99" t="s">
        <v>1975</v>
      </c>
      <c r="E370" s="102" t="s">
        <v>1779</v>
      </c>
      <c r="F370" s="102" t="s">
        <v>1280</v>
      </c>
      <c r="G370" s="99" t="s">
        <v>1775</v>
      </c>
      <c r="H370" s="102" t="s">
        <v>1280</v>
      </c>
      <c r="I370" s="102" t="s">
        <v>46</v>
      </c>
      <c r="J370" s="103">
        <v>120</v>
      </c>
      <c r="K370" s="104">
        <v>31000</v>
      </c>
      <c r="L370" s="104">
        <v>3720000</v>
      </c>
      <c r="M370" s="115">
        <v>100</v>
      </c>
      <c r="N370" s="115">
        <f t="shared" si="10"/>
        <v>3720000</v>
      </c>
      <c r="O370" s="57">
        <f t="shared" si="11"/>
        <v>0</v>
      </c>
    </row>
    <row r="371" spans="1:15">
      <c r="A371" s="19">
        <v>2026</v>
      </c>
      <c r="B371" s="111">
        <v>5</v>
      </c>
      <c r="C371" s="20">
        <v>46149</v>
      </c>
      <c r="D371" s="99" t="s">
        <v>1975</v>
      </c>
      <c r="E371" s="102" t="s">
        <v>1779</v>
      </c>
      <c r="F371" s="102" t="s">
        <v>1280</v>
      </c>
      <c r="G371" s="99" t="s">
        <v>1775</v>
      </c>
      <c r="H371" s="102" t="s">
        <v>1280</v>
      </c>
      <c r="I371" s="102" t="s">
        <v>466</v>
      </c>
      <c r="J371" s="103">
        <v>80</v>
      </c>
      <c r="K371" s="104">
        <v>50000</v>
      </c>
      <c r="L371" s="104">
        <v>4000000</v>
      </c>
      <c r="M371" s="115">
        <v>100</v>
      </c>
      <c r="N371" s="115">
        <f t="shared" si="10"/>
        <v>4000000</v>
      </c>
      <c r="O371" s="57">
        <f t="shared" si="11"/>
        <v>0</v>
      </c>
    </row>
    <row r="372" spans="1:15">
      <c r="A372" s="19">
        <v>2026</v>
      </c>
      <c r="B372" s="111">
        <v>5</v>
      </c>
      <c r="C372" s="20">
        <v>46149</v>
      </c>
      <c r="D372" s="99" t="s">
        <v>1975</v>
      </c>
      <c r="E372" s="102" t="s">
        <v>1779</v>
      </c>
      <c r="F372" s="102" t="s">
        <v>1280</v>
      </c>
      <c r="G372" s="99" t="s">
        <v>1775</v>
      </c>
      <c r="H372" s="102" t="s">
        <v>1280</v>
      </c>
      <c r="I372" s="102" t="s">
        <v>38</v>
      </c>
      <c r="J372" s="103">
        <v>200</v>
      </c>
      <c r="K372" s="104">
        <v>33000</v>
      </c>
      <c r="L372" s="104">
        <v>6600000</v>
      </c>
      <c r="M372" s="115">
        <v>100</v>
      </c>
      <c r="N372" s="115">
        <f t="shared" si="10"/>
        <v>6600000</v>
      </c>
      <c r="O372" s="57">
        <f t="shared" si="11"/>
        <v>0</v>
      </c>
    </row>
    <row r="373" spans="1:15">
      <c r="A373" s="19">
        <v>2026</v>
      </c>
      <c r="B373" s="111">
        <v>5</v>
      </c>
      <c r="C373" s="20">
        <v>46149</v>
      </c>
      <c r="D373" s="99" t="s">
        <v>1976</v>
      </c>
      <c r="E373" s="102" t="s">
        <v>1781</v>
      </c>
      <c r="F373" s="102" t="s">
        <v>875</v>
      </c>
      <c r="G373" s="99" t="s">
        <v>1775</v>
      </c>
      <c r="H373" s="102" t="s">
        <v>875</v>
      </c>
      <c r="I373" s="102" t="s">
        <v>41</v>
      </c>
      <c r="J373" s="103">
        <v>100</v>
      </c>
      <c r="K373" s="104">
        <v>40000</v>
      </c>
      <c r="L373" s="104">
        <v>4000000</v>
      </c>
      <c r="M373" s="115">
        <v>100</v>
      </c>
      <c r="N373" s="115">
        <f t="shared" si="10"/>
        <v>4000000</v>
      </c>
      <c r="O373" s="57">
        <f t="shared" si="11"/>
        <v>0</v>
      </c>
    </row>
    <row r="374" spans="1:15">
      <c r="A374" s="19">
        <v>2026</v>
      </c>
      <c r="B374" s="111">
        <v>5</v>
      </c>
      <c r="C374" s="20">
        <v>46149</v>
      </c>
      <c r="D374" s="99" t="s">
        <v>1976</v>
      </c>
      <c r="E374" s="102" t="s">
        <v>1781</v>
      </c>
      <c r="F374" s="102" t="s">
        <v>875</v>
      </c>
      <c r="G374" s="99" t="s">
        <v>1775</v>
      </c>
      <c r="H374" s="102" t="s">
        <v>875</v>
      </c>
      <c r="I374" s="102" t="s">
        <v>38</v>
      </c>
      <c r="J374" s="103">
        <v>100</v>
      </c>
      <c r="K374" s="104">
        <v>33000</v>
      </c>
      <c r="L374" s="104">
        <v>3300000</v>
      </c>
      <c r="M374" s="115">
        <v>100</v>
      </c>
      <c r="N374" s="115">
        <f t="shared" si="10"/>
        <v>3300000</v>
      </c>
      <c r="O374" s="57">
        <f t="shared" si="11"/>
        <v>0</v>
      </c>
    </row>
    <row r="375" spans="1:15">
      <c r="A375" s="19">
        <v>2026</v>
      </c>
      <c r="B375" s="111">
        <v>5</v>
      </c>
      <c r="C375" s="20">
        <v>46150</v>
      </c>
      <c r="D375" s="99" t="s">
        <v>1977</v>
      </c>
      <c r="E375" s="102" t="s">
        <v>1777</v>
      </c>
      <c r="F375" s="102" t="s">
        <v>864</v>
      </c>
      <c r="G375" s="99" t="s">
        <v>1775</v>
      </c>
      <c r="H375" s="102" t="s">
        <v>864</v>
      </c>
      <c r="I375" s="102" t="s">
        <v>41</v>
      </c>
      <c r="J375" s="103">
        <v>200</v>
      </c>
      <c r="K375" s="104">
        <v>40000</v>
      </c>
      <c r="L375" s="104">
        <v>8000000</v>
      </c>
      <c r="M375" s="115">
        <v>46</v>
      </c>
      <c r="N375" s="115">
        <f t="shared" si="10"/>
        <v>3680000</v>
      </c>
      <c r="O375" s="57">
        <f t="shared" si="11"/>
        <v>4320000</v>
      </c>
    </row>
    <row r="376" spans="1:15">
      <c r="A376" s="19">
        <v>2026</v>
      </c>
      <c r="B376" s="111">
        <v>5</v>
      </c>
      <c r="C376" s="20">
        <v>46154</v>
      </c>
      <c r="D376" s="99" t="s">
        <v>1978</v>
      </c>
      <c r="E376" s="102" t="s">
        <v>1779</v>
      </c>
      <c r="F376" s="102" t="s">
        <v>1280</v>
      </c>
      <c r="G376" s="99" t="s">
        <v>1775</v>
      </c>
      <c r="H376" s="102" t="s">
        <v>1280</v>
      </c>
      <c r="I376" s="102" t="s">
        <v>46</v>
      </c>
      <c r="J376" s="103">
        <v>120</v>
      </c>
      <c r="K376" s="104">
        <v>31000</v>
      </c>
      <c r="L376" s="104">
        <v>3720000</v>
      </c>
      <c r="M376" s="115">
        <v>100</v>
      </c>
      <c r="N376" s="115">
        <f t="shared" si="10"/>
        <v>3720000</v>
      </c>
      <c r="O376" s="57">
        <f t="shared" si="11"/>
        <v>0</v>
      </c>
    </row>
    <row r="377" spans="1:15">
      <c r="A377" s="19">
        <v>2026</v>
      </c>
      <c r="B377" s="111">
        <v>5</v>
      </c>
      <c r="C377" s="20">
        <v>46154</v>
      </c>
      <c r="D377" s="99" t="s">
        <v>1979</v>
      </c>
      <c r="E377" s="102" t="s">
        <v>1781</v>
      </c>
      <c r="F377" s="102" t="s">
        <v>875</v>
      </c>
      <c r="G377" s="99" t="s">
        <v>1775</v>
      </c>
      <c r="H377" s="102" t="s">
        <v>875</v>
      </c>
      <c r="I377" s="102" t="s">
        <v>466</v>
      </c>
      <c r="J377" s="103">
        <v>200</v>
      </c>
      <c r="K377" s="104">
        <v>50000</v>
      </c>
      <c r="L377" s="104">
        <v>10000000</v>
      </c>
      <c r="M377" s="115">
        <v>0</v>
      </c>
      <c r="N377" s="115">
        <f t="shared" si="10"/>
        <v>0</v>
      </c>
      <c r="O377" s="57">
        <f t="shared" si="11"/>
        <v>10000000</v>
      </c>
    </row>
    <row r="378" spans="1:15">
      <c r="A378" s="19">
        <v>2026</v>
      </c>
      <c r="B378" s="111">
        <v>5</v>
      </c>
      <c r="C378" s="20">
        <v>46155</v>
      </c>
      <c r="D378" s="99" t="s">
        <v>1980</v>
      </c>
      <c r="E378" s="102" t="s">
        <v>1779</v>
      </c>
      <c r="F378" s="102" t="s">
        <v>1280</v>
      </c>
      <c r="G378" s="99" t="s">
        <v>1775</v>
      </c>
      <c r="H378" s="102" t="s">
        <v>1280</v>
      </c>
      <c r="I378" s="102" t="s">
        <v>46</v>
      </c>
      <c r="J378" s="103">
        <v>140</v>
      </c>
      <c r="K378" s="104">
        <v>31000</v>
      </c>
      <c r="L378" s="104">
        <v>4340000</v>
      </c>
      <c r="M378" s="115">
        <v>100</v>
      </c>
      <c r="N378" s="115">
        <f t="shared" si="10"/>
        <v>4340000</v>
      </c>
      <c r="O378" s="57">
        <f t="shared" si="11"/>
        <v>0</v>
      </c>
    </row>
    <row r="379" spans="1:15">
      <c r="A379" s="19">
        <v>2026</v>
      </c>
      <c r="B379" s="111">
        <v>5</v>
      </c>
      <c r="C379" s="20">
        <v>46155</v>
      </c>
      <c r="D379" s="99" t="s">
        <v>1980</v>
      </c>
      <c r="E379" s="102" t="s">
        <v>1779</v>
      </c>
      <c r="F379" s="102" t="s">
        <v>1280</v>
      </c>
      <c r="G379" s="99" t="s">
        <v>1775</v>
      </c>
      <c r="H379" s="102" t="s">
        <v>1280</v>
      </c>
      <c r="I379" s="102" t="s">
        <v>46</v>
      </c>
      <c r="J379" s="103">
        <v>260</v>
      </c>
      <c r="K379" s="104">
        <v>31000</v>
      </c>
      <c r="L379" s="104">
        <v>8060000</v>
      </c>
      <c r="M379" s="115">
        <v>100</v>
      </c>
      <c r="N379" s="115">
        <f t="shared" si="10"/>
        <v>8060000</v>
      </c>
      <c r="O379" s="57">
        <f t="shared" si="11"/>
        <v>0</v>
      </c>
    </row>
    <row r="380" spans="1:15">
      <c r="A380" s="19">
        <v>2026</v>
      </c>
      <c r="B380" s="111">
        <v>5</v>
      </c>
      <c r="C380" s="20">
        <v>46155</v>
      </c>
      <c r="D380" s="99" t="s">
        <v>1981</v>
      </c>
      <c r="E380" s="102" t="s">
        <v>1781</v>
      </c>
      <c r="F380" s="102" t="s">
        <v>875</v>
      </c>
      <c r="G380" s="99" t="s">
        <v>1775</v>
      </c>
      <c r="H380" s="102" t="s">
        <v>875</v>
      </c>
      <c r="I380" s="102" t="s">
        <v>466</v>
      </c>
      <c r="J380" s="103">
        <v>80</v>
      </c>
      <c r="K380" s="104">
        <v>50000</v>
      </c>
      <c r="L380" s="104">
        <v>4000000</v>
      </c>
      <c r="M380" s="115">
        <v>0</v>
      </c>
      <c r="N380" s="115">
        <f t="shared" si="10"/>
        <v>0</v>
      </c>
      <c r="O380" s="57">
        <f t="shared" si="11"/>
        <v>4000000</v>
      </c>
    </row>
    <row r="381" spans="1:15">
      <c r="A381" s="19">
        <v>2026</v>
      </c>
      <c r="B381" s="111">
        <v>5</v>
      </c>
      <c r="C381" s="20">
        <v>46155</v>
      </c>
      <c r="D381" s="99" t="s">
        <v>1982</v>
      </c>
      <c r="E381" s="102" t="s">
        <v>16</v>
      </c>
      <c r="F381" s="102" t="s">
        <v>281</v>
      </c>
      <c r="G381" s="99" t="s">
        <v>1775</v>
      </c>
      <c r="H381" s="102" t="s">
        <v>281</v>
      </c>
      <c r="I381" s="102" t="s">
        <v>21</v>
      </c>
      <c r="J381" s="103">
        <v>8</v>
      </c>
      <c r="K381" s="104">
        <v>16300</v>
      </c>
      <c r="L381" s="112">
        <v>130400</v>
      </c>
      <c r="M381" s="115">
        <v>0</v>
      </c>
      <c r="N381" s="115">
        <f t="shared" si="10"/>
        <v>0</v>
      </c>
      <c r="O381" s="57">
        <f t="shared" si="11"/>
        <v>130400</v>
      </c>
    </row>
    <row r="382" spans="1:15">
      <c r="A382" s="19">
        <v>2026</v>
      </c>
      <c r="B382" s="111">
        <v>5</v>
      </c>
      <c r="C382" s="20">
        <v>46156</v>
      </c>
      <c r="D382" s="99" t="s">
        <v>1784</v>
      </c>
      <c r="E382" s="102" t="s">
        <v>1797</v>
      </c>
      <c r="F382" s="102" t="s">
        <v>272</v>
      </c>
      <c r="G382" s="99" t="s">
        <v>1775</v>
      </c>
      <c r="H382" s="102" t="s">
        <v>272</v>
      </c>
      <c r="I382" s="102" t="s">
        <v>41</v>
      </c>
      <c r="J382" s="103">
        <v>150</v>
      </c>
      <c r="K382" s="104">
        <v>40000</v>
      </c>
      <c r="L382" s="104">
        <v>6000000</v>
      </c>
      <c r="M382" s="115">
        <v>100</v>
      </c>
      <c r="N382" s="115">
        <f t="shared" si="10"/>
        <v>6000000</v>
      </c>
      <c r="O382" s="57">
        <f t="shared" si="11"/>
        <v>0</v>
      </c>
    </row>
    <row r="383" spans="1:15">
      <c r="A383" s="19">
        <v>2026</v>
      </c>
      <c r="B383" s="111">
        <v>5</v>
      </c>
      <c r="C383" s="20">
        <v>46156</v>
      </c>
      <c r="D383" s="99" t="s">
        <v>1785</v>
      </c>
      <c r="E383" s="102" t="s">
        <v>1777</v>
      </c>
      <c r="F383" s="102" t="s">
        <v>864</v>
      </c>
      <c r="G383" s="99" t="s">
        <v>1775</v>
      </c>
      <c r="H383" s="102" t="s">
        <v>864</v>
      </c>
      <c r="I383" s="102" t="s">
        <v>466</v>
      </c>
      <c r="J383" s="103">
        <v>50</v>
      </c>
      <c r="K383" s="104">
        <v>50000</v>
      </c>
      <c r="L383" s="104">
        <v>2500000</v>
      </c>
      <c r="M383" s="115">
        <v>0</v>
      </c>
      <c r="N383" s="115">
        <f t="shared" si="10"/>
        <v>0</v>
      </c>
      <c r="O383" s="57">
        <f t="shared" si="11"/>
        <v>2500000</v>
      </c>
    </row>
    <row r="384" spans="1:15">
      <c r="A384" s="19">
        <v>2026</v>
      </c>
      <c r="B384" s="111">
        <v>5</v>
      </c>
      <c r="C384" s="20">
        <v>46156</v>
      </c>
      <c r="D384" s="99" t="s">
        <v>1785</v>
      </c>
      <c r="E384" s="102" t="s">
        <v>1777</v>
      </c>
      <c r="F384" s="102" t="s">
        <v>864</v>
      </c>
      <c r="G384" s="99" t="s">
        <v>1775</v>
      </c>
      <c r="H384" s="102" t="s">
        <v>864</v>
      </c>
      <c r="I384" s="102" t="s">
        <v>38</v>
      </c>
      <c r="J384" s="103">
        <v>50</v>
      </c>
      <c r="K384" s="104">
        <v>33000</v>
      </c>
      <c r="L384" s="104">
        <v>1650000</v>
      </c>
      <c r="M384" s="115">
        <v>0</v>
      </c>
      <c r="N384" s="115">
        <f t="shared" si="10"/>
        <v>0</v>
      </c>
      <c r="O384" s="57">
        <f t="shared" si="11"/>
        <v>1650000</v>
      </c>
    </row>
    <row r="385" spans="1:15">
      <c r="A385" s="19">
        <v>2026</v>
      </c>
      <c r="B385" s="111">
        <v>5</v>
      </c>
      <c r="C385" s="20">
        <v>46157</v>
      </c>
      <c r="D385" s="99" t="s">
        <v>1983</v>
      </c>
      <c r="E385" s="102" t="s">
        <v>1808</v>
      </c>
      <c r="F385" s="102" t="s">
        <v>1291</v>
      </c>
      <c r="G385" s="99" t="s">
        <v>1775</v>
      </c>
      <c r="H385" s="102" t="s">
        <v>1291</v>
      </c>
      <c r="I385" s="102" t="s">
        <v>41</v>
      </c>
      <c r="J385" s="103">
        <v>800</v>
      </c>
      <c r="K385" s="104">
        <v>40000</v>
      </c>
      <c r="L385" s="104">
        <v>32000000</v>
      </c>
      <c r="M385" s="115">
        <v>0</v>
      </c>
      <c r="N385" s="115">
        <f t="shared" si="10"/>
        <v>0</v>
      </c>
      <c r="O385" s="57">
        <f t="shared" si="11"/>
        <v>32000000</v>
      </c>
    </row>
    <row r="386" spans="1:15">
      <c r="A386" s="19">
        <v>2026</v>
      </c>
      <c r="B386" s="111">
        <v>5</v>
      </c>
      <c r="C386" s="20">
        <v>46157</v>
      </c>
      <c r="D386" s="99" t="s">
        <v>1983</v>
      </c>
      <c r="E386" s="102" t="s">
        <v>1808</v>
      </c>
      <c r="F386" s="102" t="s">
        <v>1291</v>
      </c>
      <c r="G386" s="99" t="s">
        <v>1775</v>
      </c>
      <c r="H386" s="102" t="s">
        <v>1291</v>
      </c>
      <c r="I386" s="102" t="s">
        <v>41</v>
      </c>
      <c r="J386" s="103">
        <v>200</v>
      </c>
      <c r="K386" s="104">
        <v>40000</v>
      </c>
      <c r="L386" s="104">
        <v>8000000</v>
      </c>
      <c r="M386" s="115">
        <v>0</v>
      </c>
      <c r="N386" s="115">
        <f t="shared" si="10"/>
        <v>0</v>
      </c>
      <c r="O386" s="57">
        <f t="shared" si="11"/>
        <v>8000000</v>
      </c>
    </row>
    <row r="387" spans="1:15">
      <c r="A387" s="19">
        <v>2026</v>
      </c>
      <c r="B387" s="111">
        <v>5</v>
      </c>
      <c r="C387" s="20">
        <v>46157</v>
      </c>
      <c r="D387" s="99" t="s">
        <v>1786</v>
      </c>
      <c r="E387" s="102" t="s">
        <v>16</v>
      </c>
      <c r="F387" s="102" t="s">
        <v>281</v>
      </c>
      <c r="G387" s="99" t="s">
        <v>1775</v>
      </c>
      <c r="H387" s="102" t="s">
        <v>281</v>
      </c>
      <c r="I387" s="102" t="s">
        <v>466</v>
      </c>
      <c r="J387" s="103">
        <v>40</v>
      </c>
      <c r="K387" s="104">
        <v>50000</v>
      </c>
      <c r="L387" s="104">
        <v>2000000</v>
      </c>
      <c r="M387" s="115">
        <v>0</v>
      </c>
      <c r="N387" s="115">
        <f t="shared" si="10"/>
        <v>0</v>
      </c>
      <c r="O387" s="57">
        <f t="shared" si="11"/>
        <v>2000000</v>
      </c>
    </row>
    <row r="388" spans="1:15">
      <c r="A388" s="19">
        <v>2026</v>
      </c>
      <c r="B388" s="111">
        <v>5</v>
      </c>
      <c r="C388" s="20">
        <v>46157</v>
      </c>
      <c r="D388" s="99" t="s">
        <v>1786</v>
      </c>
      <c r="E388" s="102" t="s">
        <v>16</v>
      </c>
      <c r="F388" s="102" t="s">
        <v>281</v>
      </c>
      <c r="G388" s="99" t="s">
        <v>1775</v>
      </c>
      <c r="H388" s="102" t="s">
        <v>281</v>
      </c>
      <c r="I388" s="102" t="s">
        <v>38</v>
      </c>
      <c r="J388" s="103">
        <v>50</v>
      </c>
      <c r="K388" s="104">
        <v>33000</v>
      </c>
      <c r="L388" s="104">
        <v>1650000</v>
      </c>
      <c r="M388" s="115">
        <v>0</v>
      </c>
      <c r="N388" s="115">
        <f t="shared" ref="N388" si="12">+L388*M388%</f>
        <v>0</v>
      </c>
      <c r="O388" s="57">
        <f t="shared" ref="O388" si="13">L388-N388</f>
        <v>1650000</v>
      </c>
    </row>
  </sheetData>
  <autoFilter ref="A2:N388" xr:uid="{5BCFB5AA-B9CB-7A40-8DF4-8F5A4514CD54}"/>
  <conditionalFormatting sqref="K3:L388">
    <cfRule type="containsBlanks" dxfId="4" priority="3">
      <formula>LEN(TRIM(K3))=0</formula>
    </cfRule>
  </conditionalFormatting>
  <conditionalFormatting sqref="L1:O1">
    <cfRule type="containsBlanks" dxfId="3" priority="2">
      <formula>LEN(TRIM(L1))=0</formula>
    </cfRule>
  </conditionalFormatting>
  <conditionalFormatting sqref="M375 M377 M380:M381 M383:M386">
    <cfRule type="containsBlanks" dxfId="2" priority="1">
      <formula>LEN(TRIM(M375))=0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06CF-C62E-4F4E-BC1D-27A85D0B49C9}">
  <dimension ref="A1:S1348"/>
  <sheetViews>
    <sheetView topLeftCell="F1" workbookViewId="0">
      <selection activeCell="Q1" sqref="Q1"/>
    </sheetView>
  </sheetViews>
  <sheetFormatPr baseColWidth="10" defaultRowHeight="16"/>
  <cols>
    <col min="1" max="1" width="5.33203125" bestFit="1" customWidth="1"/>
    <col min="2" max="2" width="6.5" bestFit="1" customWidth="1"/>
    <col min="3" max="3" width="8.6640625" bestFit="1" customWidth="1"/>
    <col min="4" max="4" width="8.6640625" customWidth="1"/>
    <col min="5" max="5" width="12.83203125" bestFit="1" customWidth="1"/>
    <col min="6" max="6" width="19.6640625" bestFit="1" customWidth="1"/>
    <col min="7" max="7" width="25.6640625" customWidth="1"/>
    <col min="8" max="8" width="10.33203125" bestFit="1" customWidth="1"/>
    <col min="9" max="9" width="38.5" customWidth="1"/>
    <col min="10" max="10" width="29.5" customWidth="1"/>
    <col min="11" max="11" width="11.6640625" customWidth="1"/>
    <col min="12" max="12" width="7.6640625" bestFit="1" customWidth="1"/>
    <col min="13" max="14" width="14.33203125" bestFit="1" customWidth="1"/>
    <col min="15" max="15" width="13" bestFit="1" customWidth="1"/>
    <col min="16" max="16" width="18.6640625" bestFit="1" customWidth="1"/>
    <col min="17" max="17" width="14.33203125" customWidth="1"/>
    <col min="18" max="18" width="21.6640625" customWidth="1"/>
    <col min="19" max="19" width="12.6640625" bestFit="1" customWidth="1"/>
  </cols>
  <sheetData>
    <row r="1" spans="1:19">
      <c r="A1" s="39"/>
      <c r="B1" s="39"/>
      <c r="C1" s="39"/>
      <c r="D1" s="39"/>
      <c r="E1" s="105"/>
      <c r="F1" s="39"/>
      <c r="G1" s="39"/>
      <c r="H1" s="105"/>
      <c r="I1" s="39"/>
      <c r="J1" s="39"/>
      <c r="K1" s="106">
        <f>SUBTOTAL(9,K3:K1048576)</f>
        <v>62762</v>
      </c>
      <c r="L1" s="39"/>
      <c r="M1" s="106">
        <f>SUBTOTAL(9,M3:M1048576)</f>
        <v>3892810292.0000005</v>
      </c>
      <c r="N1" s="106">
        <f>SUBTOTAL(9,N3:N1048576)</f>
        <v>1263082000</v>
      </c>
      <c r="O1" s="109">
        <v>0.18</v>
      </c>
      <c r="P1" s="106">
        <f>SUBTOTAL(9,P3:P1048576)</f>
        <v>1709557195.1800003</v>
      </c>
      <c r="Q1" s="106"/>
      <c r="R1" s="106">
        <f>SUBTOTAL(9,R3:R1048576)</f>
        <v>3487559845.1700001</v>
      </c>
      <c r="S1" s="106">
        <f>SUBTOTAL(9,S3:S1048576)</f>
        <v>405250446.82999998</v>
      </c>
    </row>
    <row r="2" spans="1:19" ht="28">
      <c r="A2" s="97" t="s">
        <v>0</v>
      </c>
      <c r="B2" s="97" t="s">
        <v>1</v>
      </c>
      <c r="C2" s="97" t="s">
        <v>2</v>
      </c>
      <c r="D2" s="97"/>
      <c r="E2" s="97" t="s">
        <v>3</v>
      </c>
      <c r="F2" s="97" t="s">
        <v>4</v>
      </c>
      <c r="G2" s="97" t="s">
        <v>5</v>
      </c>
      <c r="H2" s="97" t="s">
        <v>7</v>
      </c>
      <c r="I2" s="97" t="s">
        <v>8</v>
      </c>
      <c r="J2" s="97" t="s">
        <v>9</v>
      </c>
      <c r="K2" s="97" t="s">
        <v>10</v>
      </c>
      <c r="L2" s="97" t="s">
        <v>11</v>
      </c>
      <c r="M2" s="97" t="s">
        <v>12</v>
      </c>
      <c r="N2" s="97" t="s">
        <v>2181</v>
      </c>
      <c r="O2" s="97" t="s">
        <v>2201</v>
      </c>
      <c r="P2" s="97" t="s">
        <v>2183</v>
      </c>
      <c r="Q2" s="97" t="s">
        <v>2196</v>
      </c>
      <c r="R2" s="97" t="s">
        <v>2202</v>
      </c>
      <c r="S2" s="121" t="s">
        <v>2203</v>
      </c>
    </row>
    <row r="3" spans="1:19">
      <c r="A3" s="99">
        <v>2025</v>
      </c>
      <c r="B3" s="100">
        <v>3</v>
      </c>
      <c r="C3" s="101">
        <v>45730</v>
      </c>
      <c r="D3" s="101" t="str">
        <f>+E3&amp;G3</f>
        <v>PPS00002118Сурхондарьё_Сарвар ака</v>
      </c>
      <c r="E3" s="99" t="s">
        <v>251</v>
      </c>
      <c r="F3" s="102" t="s">
        <v>252</v>
      </c>
      <c r="G3" s="102" t="s">
        <v>253</v>
      </c>
      <c r="H3" s="99" t="s">
        <v>255</v>
      </c>
      <c r="I3" s="102" t="s">
        <v>256</v>
      </c>
      <c r="J3" s="102" t="s">
        <v>21</v>
      </c>
      <c r="K3" s="103">
        <v>40</v>
      </c>
      <c r="L3" s="104">
        <v>36955.08</v>
      </c>
      <c r="M3" s="104">
        <v>1478203.2</v>
      </c>
      <c r="N3" s="39">
        <f>+K3*15000</f>
        <v>600000</v>
      </c>
      <c r="O3" s="107">
        <f>+M3*$O$1</f>
        <v>266076.576</v>
      </c>
      <c r="P3" s="108">
        <f>+N3+O3</f>
        <v>866076.576</v>
      </c>
      <c r="Q3" s="39">
        <v>100</v>
      </c>
      <c r="R3" s="39">
        <f>+M3*Q3%</f>
        <v>1478203.2</v>
      </c>
      <c r="S3" s="42">
        <f>M3-R3</f>
        <v>0</v>
      </c>
    </row>
    <row r="4" spans="1:19">
      <c r="A4" s="99">
        <v>2025</v>
      </c>
      <c r="B4" s="100">
        <v>3</v>
      </c>
      <c r="C4" s="101">
        <v>45743</v>
      </c>
      <c r="D4" s="101" t="str">
        <f t="shared" ref="D4:D67" si="0">+E4&amp;G4</f>
        <v>PPS00002496Бухоро_Рустам ака</v>
      </c>
      <c r="E4" s="99" t="s">
        <v>257</v>
      </c>
      <c r="F4" s="102" t="s">
        <v>258</v>
      </c>
      <c r="G4" s="102" t="s">
        <v>259</v>
      </c>
      <c r="H4" s="99" t="s">
        <v>255</v>
      </c>
      <c r="I4" s="102" t="s">
        <v>261</v>
      </c>
      <c r="J4" s="102" t="s">
        <v>21</v>
      </c>
      <c r="K4" s="103">
        <v>120</v>
      </c>
      <c r="L4" s="104">
        <v>36955.08</v>
      </c>
      <c r="M4" s="104">
        <v>4434609.5999999996</v>
      </c>
      <c r="N4" s="39">
        <f t="shared" ref="N4:N67" si="1">+K4*15000</f>
        <v>1800000</v>
      </c>
      <c r="O4" s="107">
        <f>+M4*$O$1</f>
        <v>798229.72799999989</v>
      </c>
      <c r="P4" s="108">
        <f>+N4+O4</f>
        <v>2598229.7280000001</v>
      </c>
      <c r="Q4" s="39">
        <v>100</v>
      </c>
      <c r="R4" s="39">
        <f t="shared" ref="R4:R67" si="2">+M4*Q4%</f>
        <v>4434609.5999999996</v>
      </c>
      <c r="S4" s="42">
        <f t="shared" ref="S4:S67" si="3">M4-R4</f>
        <v>0</v>
      </c>
    </row>
    <row r="5" spans="1:19">
      <c r="A5" s="99">
        <v>2025</v>
      </c>
      <c r="B5" s="100">
        <v>4</v>
      </c>
      <c r="C5" s="101">
        <v>45750</v>
      </c>
      <c r="D5" s="101" t="str">
        <f t="shared" si="0"/>
        <v>PPS00002647Бухоро_Рустам ака</v>
      </c>
      <c r="E5" s="99" t="s">
        <v>262</v>
      </c>
      <c r="F5" s="102" t="s">
        <v>258</v>
      </c>
      <c r="G5" s="102" t="s">
        <v>259</v>
      </c>
      <c r="H5" s="99" t="s">
        <v>255</v>
      </c>
      <c r="I5" s="102" t="s">
        <v>263</v>
      </c>
      <c r="J5" s="102" t="s">
        <v>21</v>
      </c>
      <c r="K5" s="103">
        <v>30</v>
      </c>
      <c r="L5" s="104">
        <v>36955.08</v>
      </c>
      <c r="M5" s="104">
        <v>1108652.3999999999</v>
      </c>
      <c r="N5" s="39">
        <f t="shared" si="1"/>
        <v>450000</v>
      </c>
      <c r="O5" s="107">
        <f>+M5*$O$1</f>
        <v>199557.43199999997</v>
      </c>
      <c r="P5" s="108">
        <f>+N5+O5</f>
        <v>649557.43200000003</v>
      </c>
      <c r="Q5" s="39">
        <v>100</v>
      </c>
      <c r="R5" s="39">
        <f t="shared" si="2"/>
        <v>1108652.3999999999</v>
      </c>
      <c r="S5" s="42">
        <f t="shared" si="3"/>
        <v>0</v>
      </c>
    </row>
    <row r="6" spans="1:19">
      <c r="A6" s="99">
        <v>2025</v>
      </c>
      <c r="B6" s="100">
        <v>4</v>
      </c>
      <c r="C6" s="101">
        <v>45751</v>
      </c>
      <c r="D6" s="101" t="str">
        <f t="shared" si="0"/>
        <v>PPS00002691Таш,Обл_Рустам ака</v>
      </c>
      <c r="E6" s="99" t="s">
        <v>264</v>
      </c>
      <c r="F6" s="102" t="s">
        <v>265</v>
      </c>
      <c r="G6" s="102" t="s">
        <v>266</v>
      </c>
      <c r="H6" s="99" t="s">
        <v>255</v>
      </c>
      <c r="I6" s="102" t="s">
        <v>267</v>
      </c>
      <c r="J6" s="102" t="s">
        <v>21</v>
      </c>
      <c r="K6" s="103">
        <v>20</v>
      </c>
      <c r="L6" s="104">
        <v>36955.08</v>
      </c>
      <c r="M6" s="104">
        <v>739101.6</v>
      </c>
      <c r="N6" s="39">
        <f t="shared" si="1"/>
        <v>300000</v>
      </c>
      <c r="O6" s="107">
        <f>+M6*$O$1</f>
        <v>133038.288</v>
      </c>
      <c r="P6" s="108">
        <f>+N6+O6</f>
        <v>433038.288</v>
      </c>
      <c r="Q6" s="39">
        <v>100</v>
      </c>
      <c r="R6" s="39">
        <f t="shared" si="2"/>
        <v>739101.6</v>
      </c>
      <c r="S6" s="42">
        <f t="shared" si="3"/>
        <v>0</v>
      </c>
    </row>
    <row r="7" spans="1:19">
      <c r="A7" s="99">
        <v>2025</v>
      </c>
      <c r="B7" s="100">
        <v>4</v>
      </c>
      <c r="C7" s="101">
        <v>45772</v>
      </c>
      <c r="D7" s="101" t="str">
        <f t="shared" si="0"/>
        <v>PPS00003424Сурхондарьё_Сарвар ака</v>
      </c>
      <c r="E7" s="99" t="s">
        <v>268</v>
      </c>
      <c r="F7" s="102" t="s">
        <v>252</v>
      </c>
      <c r="G7" s="102" t="s">
        <v>253</v>
      </c>
      <c r="H7" s="99" t="s">
        <v>255</v>
      </c>
      <c r="I7" s="102" t="s">
        <v>269</v>
      </c>
      <c r="J7" s="102" t="s">
        <v>21</v>
      </c>
      <c r="K7" s="103">
        <v>20</v>
      </c>
      <c r="L7" s="104">
        <v>36955.08</v>
      </c>
      <c r="M7" s="104">
        <v>739101.6</v>
      </c>
      <c r="N7" s="39">
        <f t="shared" si="1"/>
        <v>300000</v>
      </c>
      <c r="O7" s="107">
        <f>+M7*$O$1</f>
        <v>133038.288</v>
      </c>
      <c r="P7" s="108">
        <f>+N7+O7</f>
        <v>433038.288</v>
      </c>
      <c r="Q7" s="39">
        <v>100</v>
      </c>
      <c r="R7" s="39">
        <f t="shared" si="2"/>
        <v>739101.6</v>
      </c>
      <c r="S7" s="42">
        <f t="shared" si="3"/>
        <v>0</v>
      </c>
    </row>
    <row r="8" spans="1:19">
      <c r="A8" s="99">
        <v>2025</v>
      </c>
      <c r="B8" s="100">
        <v>4</v>
      </c>
      <c r="C8" s="101">
        <v>45776</v>
      </c>
      <c r="D8" s="101" t="str">
        <f t="shared" si="0"/>
        <v>PPS00003544Самарканд_Хуршед ака</v>
      </c>
      <c r="E8" s="99" t="s">
        <v>270</v>
      </c>
      <c r="F8" s="102" t="s">
        <v>271</v>
      </c>
      <c r="G8" s="102" t="s">
        <v>272</v>
      </c>
      <c r="H8" s="99" t="s">
        <v>255</v>
      </c>
      <c r="I8" s="102" t="s">
        <v>274</v>
      </c>
      <c r="J8" s="102" t="s">
        <v>21</v>
      </c>
      <c r="K8" s="103">
        <v>100</v>
      </c>
      <c r="L8" s="104">
        <v>36955.08</v>
      </c>
      <c r="M8" s="104">
        <v>3695508</v>
      </c>
      <c r="N8" s="39">
        <f t="shared" si="1"/>
        <v>1500000</v>
      </c>
      <c r="O8" s="107">
        <f>+M8*$O$1</f>
        <v>665191.43999999994</v>
      </c>
      <c r="P8" s="108">
        <f>+N8+O8</f>
        <v>2165191.44</v>
      </c>
      <c r="Q8" s="39">
        <v>100</v>
      </c>
      <c r="R8" s="39">
        <f t="shared" si="2"/>
        <v>3695508</v>
      </c>
      <c r="S8" s="42">
        <f t="shared" si="3"/>
        <v>0</v>
      </c>
    </row>
    <row r="9" spans="1:19">
      <c r="A9" s="99">
        <v>2025</v>
      </c>
      <c r="B9" s="100">
        <v>4</v>
      </c>
      <c r="C9" s="101">
        <v>45776</v>
      </c>
      <c r="D9" s="101" t="str">
        <f t="shared" si="0"/>
        <v>PPS00003551Сурхондарьё_Сарвар ака</v>
      </c>
      <c r="E9" s="99" t="s">
        <v>275</v>
      </c>
      <c r="F9" s="102" t="s">
        <v>252</v>
      </c>
      <c r="G9" s="102" t="s">
        <v>253</v>
      </c>
      <c r="H9" s="99" t="s">
        <v>255</v>
      </c>
      <c r="I9" s="102" t="s">
        <v>256</v>
      </c>
      <c r="J9" s="102" t="s">
        <v>21</v>
      </c>
      <c r="K9" s="103">
        <v>50</v>
      </c>
      <c r="L9" s="104">
        <v>36955.08</v>
      </c>
      <c r="M9" s="104">
        <v>1847754</v>
      </c>
      <c r="N9" s="39">
        <f t="shared" si="1"/>
        <v>750000</v>
      </c>
      <c r="O9" s="107">
        <f>+M9*$O$1</f>
        <v>332595.71999999997</v>
      </c>
      <c r="P9" s="108">
        <f>+N9+O9</f>
        <v>1082595.72</v>
      </c>
      <c r="Q9" s="39">
        <v>100</v>
      </c>
      <c r="R9" s="39">
        <f t="shared" si="2"/>
        <v>1847754</v>
      </c>
      <c r="S9" s="42">
        <f t="shared" si="3"/>
        <v>0</v>
      </c>
    </row>
    <row r="10" spans="1:19">
      <c r="A10" s="99">
        <v>2025</v>
      </c>
      <c r="B10" s="100">
        <v>5</v>
      </c>
      <c r="C10" s="101">
        <v>45779</v>
      </c>
      <c r="D10" s="101" t="str">
        <f t="shared" si="0"/>
        <v>PPS00003627Таш,Обл_Рустам ака</v>
      </c>
      <c r="E10" s="99" t="s">
        <v>276</v>
      </c>
      <c r="F10" s="102" t="s">
        <v>265</v>
      </c>
      <c r="G10" s="102" t="s">
        <v>266</v>
      </c>
      <c r="H10" s="99" t="s">
        <v>255</v>
      </c>
      <c r="I10" s="102" t="s">
        <v>267</v>
      </c>
      <c r="J10" s="102" t="s">
        <v>21</v>
      </c>
      <c r="K10" s="103">
        <v>42</v>
      </c>
      <c r="L10" s="104">
        <v>36955.08</v>
      </c>
      <c r="M10" s="104">
        <v>1552113.36</v>
      </c>
      <c r="N10" s="39">
        <f t="shared" si="1"/>
        <v>630000</v>
      </c>
      <c r="O10" s="107">
        <f>+M10*$O$1</f>
        <v>279380.40480000002</v>
      </c>
      <c r="P10" s="108">
        <f>+N10+O10</f>
        <v>909380.40480000002</v>
      </c>
      <c r="Q10" s="39">
        <v>100</v>
      </c>
      <c r="R10" s="39">
        <f t="shared" si="2"/>
        <v>1552113.36</v>
      </c>
      <c r="S10" s="42">
        <f t="shared" si="3"/>
        <v>0</v>
      </c>
    </row>
    <row r="11" spans="1:19">
      <c r="A11" s="99">
        <v>2025</v>
      </c>
      <c r="B11" s="100">
        <v>5</v>
      </c>
      <c r="C11" s="101">
        <v>45783</v>
      </c>
      <c r="D11" s="101" t="str">
        <f t="shared" si="0"/>
        <v>PPS00003759Бухоро_Рустам ака</v>
      </c>
      <c r="E11" s="99" t="s">
        <v>277</v>
      </c>
      <c r="F11" s="102" t="s">
        <v>258</v>
      </c>
      <c r="G11" s="102" t="s">
        <v>259</v>
      </c>
      <c r="H11" s="99" t="s">
        <v>255</v>
      </c>
      <c r="I11" s="102" t="s">
        <v>278</v>
      </c>
      <c r="J11" s="102" t="s">
        <v>21</v>
      </c>
      <c r="K11" s="104">
        <v>1500</v>
      </c>
      <c r="L11" s="104">
        <v>36955.08</v>
      </c>
      <c r="M11" s="104">
        <v>55432620</v>
      </c>
      <c r="N11" s="39">
        <f t="shared" si="1"/>
        <v>22500000</v>
      </c>
      <c r="O11" s="107">
        <f>+M11*$O$1</f>
        <v>9977871.5999999996</v>
      </c>
      <c r="P11" s="108">
        <f>+N11+O11</f>
        <v>32477871.600000001</v>
      </c>
      <c r="Q11" s="39">
        <v>100</v>
      </c>
      <c r="R11" s="39">
        <f t="shared" si="2"/>
        <v>55432620</v>
      </c>
      <c r="S11" s="42">
        <f t="shared" si="3"/>
        <v>0</v>
      </c>
    </row>
    <row r="12" spans="1:19">
      <c r="A12" s="99">
        <v>2025</v>
      </c>
      <c r="B12" s="100">
        <v>5</v>
      </c>
      <c r="C12" s="101">
        <v>45783</v>
      </c>
      <c r="D12" s="101" t="str">
        <f t="shared" si="0"/>
        <v>PPS00003759Бухоро_Рустам ака</v>
      </c>
      <c r="E12" s="99" t="s">
        <v>277</v>
      </c>
      <c r="F12" s="102" t="s">
        <v>258</v>
      </c>
      <c r="G12" s="102" t="s">
        <v>259</v>
      </c>
      <c r="H12" s="99" t="s">
        <v>255</v>
      </c>
      <c r="I12" s="102" t="s">
        <v>278</v>
      </c>
      <c r="J12" s="102" t="s">
        <v>21</v>
      </c>
      <c r="K12" s="104">
        <v>1500</v>
      </c>
      <c r="L12" s="104">
        <v>36955.08</v>
      </c>
      <c r="M12" s="104">
        <v>55432620</v>
      </c>
      <c r="N12" s="39">
        <f t="shared" si="1"/>
        <v>22500000</v>
      </c>
      <c r="O12" s="107">
        <f>+M12*$O$1</f>
        <v>9977871.5999999996</v>
      </c>
      <c r="P12" s="108">
        <f>+N12+O12</f>
        <v>32477871.600000001</v>
      </c>
      <c r="Q12" s="39">
        <v>100</v>
      </c>
      <c r="R12" s="39">
        <f t="shared" si="2"/>
        <v>55432620</v>
      </c>
      <c r="S12" s="42">
        <f t="shared" si="3"/>
        <v>0</v>
      </c>
    </row>
    <row r="13" spans="1:19">
      <c r="A13" s="99">
        <v>2025</v>
      </c>
      <c r="B13" s="100">
        <v>5</v>
      </c>
      <c r="C13" s="101">
        <v>45805</v>
      </c>
      <c r="D13" s="101" t="str">
        <f t="shared" si="0"/>
        <v>PPS00004467Сирдарё_Фотима опа</v>
      </c>
      <c r="E13" s="99" t="s">
        <v>279</v>
      </c>
      <c r="F13" s="102" t="s">
        <v>280</v>
      </c>
      <c r="G13" s="102" t="s">
        <v>281</v>
      </c>
      <c r="H13" s="99" t="s">
        <v>255</v>
      </c>
      <c r="I13" s="102" t="s">
        <v>282</v>
      </c>
      <c r="J13" s="102" t="s">
        <v>21</v>
      </c>
      <c r="K13" s="103">
        <v>40</v>
      </c>
      <c r="L13" s="104">
        <v>36955.08</v>
      </c>
      <c r="M13" s="104">
        <v>1478203.2</v>
      </c>
      <c r="N13" s="39">
        <f t="shared" si="1"/>
        <v>600000</v>
      </c>
      <c r="O13" s="107">
        <f>+M13*$O$1</f>
        <v>266076.576</v>
      </c>
      <c r="P13" s="108">
        <f>+N13+O13</f>
        <v>866076.576</v>
      </c>
      <c r="Q13" s="39">
        <v>100</v>
      </c>
      <c r="R13" s="39">
        <f t="shared" si="2"/>
        <v>1478203.2</v>
      </c>
      <c r="S13" s="42">
        <f t="shared" si="3"/>
        <v>0</v>
      </c>
    </row>
    <row r="14" spans="1:19">
      <c r="A14" s="99">
        <v>2025</v>
      </c>
      <c r="B14" s="100">
        <v>6</v>
      </c>
      <c r="C14" s="101">
        <v>45812</v>
      </c>
      <c r="D14" s="101" t="str">
        <f t="shared" si="0"/>
        <v>PPS00004665Сирдарё_Фотима опа</v>
      </c>
      <c r="E14" s="99" t="s">
        <v>283</v>
      </c>
      <c r="F14" s="102" t="s">
        <v>284</v>
      </c>
      <c r="G14" s="102" t="s">
        <v>281</v>
      </c>
      <c r="H14" s="99" t="s">
        <v>255</v>
      </c>
      <c r="I14" s="102" t="s">
        <v>285</v>
      </c>
      <c r="J14" s="102" t="s">
        <v>21</v>
      </c>
      <c r="K14" s="103">
        <v>500</v>
      </c>
      <c r="L14" s="104">
        <v>36955.08</v>
      </c>
      <c r="M14" s="104">
        <v>18477540</v>
      </c>
      <c r="N14" s="39">
        <f t="shared" si="1"/>
        <v>7500000</v>
      </c>
      <c r="O14" s="107">
        <f>+M14*$O$1</f>
        <v>3325957.1999999997</v>
      </c>
      <c r="P14" s="108">
        <f>+N14+O14</f>
        <v>10825957.199999999</v>
      </c>
      <c r="Q14" s="39">
        <v>100</v>
      </c>
      <c r="R14" s="39">
        <f t="shared" si="2"/>
        <v>18477540</v>
      </c>
      <c r="S14" s="42">
        <f t="shared" si="3"/>
        <v>0</v>
      </c>
    </row>
    <row r="15" spans="1:19">
      <c r="A15" s="99">
        <v>2025</v>
      </c>
      <c r="B15" s="100">
        <v>6</v>
      </c>
      <c r="C15" s="101">
        <v>45813</v>
      </c>
      <c r="D15" s="101" t="str">
        <f t="shared" si="0"/>
        <v>PPS00004667Навоий_Гулшода опа</v>
      </c>
      <c r="E15" s="99" t="s">
        <v>286</v>
      </c>
      <c r="F15" s="102" t="s">
        <v>287</v>
      </c>
      <c r="G15" s="102" t="s">
        <v>288</v>
      </c>
      <c r="H15" s="99" t="s">
        <v>255</v>
      </c>
      <c r="I15" s="102" t="s">
        <v>289</v>
      </c>
      <c r="J15" s="102" t="s">
        <v>21</v>
      </c>
      <c r="K15" s="103">
        <v>30</v>
      </c>
      <c r="L15" s="104">
        <v>36955.08</v>
      </c>
      <c r="M15" s="104">
        <v>1108652.3999999999</v>
      </c>
      <c r="N15" s="39">
        <f t="shared" si="1"/>
        <v>450000</v>
      </c>
      <c r="O15" s="107">
        <f>+M15*$O$1</f>
        <v>199557.43199999997</v>
      </c>
      <c r="P15" s="108">
        <f>+N15+O15</f>
        <v>649557.43200000003</v>
      </c>
      <c r="Q15" s="39">
        <v>100</v>
      </c>
      <c r="R15" s="39">
        <f t="shared" si="2"/>
        <v>1108652.3999999999</v>
      </c>
      <c r="S15" s="42">
        <f t="shared" si="3"/>
        <v>0</v>
      </c>
    </row>
    <row r="16" spans="1:19">
      <c r="A16" s="99">
        <v>2025</v>
      </c>
      <c r="B16" s="100">
        <v>6</v>
      </c>
      <c r="C16" s="101">
        <v>45813</v>
      </c>
      <c r="D16" s="101" t="str">
        <f t="shared" si="0"/>
        <v>PPS00004687Бухоро_Рустам ака</v>
      </c>
      <c r="E16" s="99" t="s">
        <v>290</v>
      </c>
      <c r="F16" s="102" t="s">
        <v>258</v>
      </c>
      <c r="G16" s="102" t="s">
        <v>259</v>
      </c>
      <c r="H16" s="99" t="s">
        <v>255</v>
      </c>
      <c r="I16" s="102" t="s">
        <v>261</v>
      </c>
      <c r="J16" s="102" t="s">
        <v>21</v>
      </c>
      <c r="K16" s="103">
        <v>120</v>
      </c>
      <c r="L16" s="104">
        <v>36955.08</v>
      </c>
      <c r="M16" s="104">
        <v>4434609.5999999996</v>
      </c>
      <c r="N16" s="39">
        <f t="shared" si="1"/>
        <v>1800000</v>
      </c>
      <c r="O16" s="107">
        <f>+M16*$O$1</f>
        <v>798229.72799999989</v>
      </c>
      <c r="P16" s="108">
        <f>+N16+O16</f>
        <v>2598229.7280000001</v>
      </c>
      <c r="Q16" s="39">
        <v>100</v>
      </c>
      <c r="R16" s="39">
        <f t="shared" si="2"/>
        <v>4434609.5999999996</v>
      </c>
      <c r="S16" s="42">
        <f t="shared" si="3"/>
        <v>0</v>
      </c>
    </row>
    <row r="17" spans="1:19">
      <c r="A17" s="99">
        <v>2025</v>
      </c>
      <c r="B17" s="100">
        <v>6</v>
      </c>
      <c r="C17" s="101">
        <v>45818</v>
      </c>
      <c r="D17" s="101" t="str">
        <f t="shared" si="0"/>
        <v>PPS00004788Сирдарё_Фотима опа</v>
      </c>
      <c r="E17" s="99" t="s">
        <v>291</v>
      </c>
      <c r="F17" s="102" t="s">
        <v>284</v>
      </c>
      <c r="G17" s="102" t="s">
        <v>281</v>
      </c>
      <c r="H17" s="99" t="s">
        <v>255</v>
      </c>
      <c r="I17" s="102" t="s">
        <v>292</v>
      </c>
      <c r="J17" s="102" t="s">
        <v>21</v>
      </c>
      <c r="K17" s="103">
        <v>30</v>
      </c>
      <c r="L17" s="104">
        <v>36955.08</v>
      </c>
      <c r="M17" s="104">
        <v>1108652.3999999999</v>
      </c>
      <c r="N17" s="39">
        <f t="shared" si="1"/>
        <v>450000</v>
      </c>
      <c r="O17" s="107">
        <f>+M17*$O$1</f>
        <v>199557.43199999997</v>
      </c>
      <c r="P17" s="108">
        <f>+N17+O17</f>
        <v>649557.43200000003</v>
      </c>
      <c r="Q17" s="39">
        <v>100</v>
      </c>
      <c r="R17" s="39">
        <f t="shared" si="2"/>
        <v>1108652.3999999999</v>
      </c>
      <c r="S17" s="42">
        <f t="shared" si="3"/>
        <v>0</v>
      </c>
    </row>
    <row r="18" spans="1:19">
      <c r="A18" s="99">
        <v>2025</v>
      </c>
      <c r="B18" s="100">
        <v>6</v>
      </c>
      <c r="C18" s="101">
        <v>45818</v>
      </c>
      <c r="D18" s="101" t="str">
        <f t="shared" si="0"/>
        <v>PPS00004789Сирдарё_Фотима опа</v>
      </c>
      <c r="E18" s="99" t="s">
        <v>293</v>
      </c>
      <c r="F18" s="102" t="s">
        <v>284</v>
      </c>
      <c r="G18" s="102" t="s">
        <v>281</v>
      </c>
      <c r="H18" s="99" t="s">
        <v>255</v>
      </c>
      <c r="I18" s="102" t="s">
        <v>294</v>
      </c>
      <c r="J18" s="102" t="s">
        <v>21</v>
      </c>
      <c r="K18" s="103">
        <v>30</v>
      </c>
      <c r="L18" s="104">
        <v>36955.08</v>
      </c>
      <c r="M18" s="104">
        <v>1108652.3999999999</v>
      </c>
      <c r="N18" s="39">
        <f t="shared" si="1"/>
        <v>450000</v>
      </c>
      <c r="O18" s="107">
        <f>+M18*$O$1</f>
        <v>199557.43199999997</v>
      </c>
      <c r="P18" s="108">
        <f>+N18+O18</f>
        <v>649557.43200000003</v>
      </c>
      <c r="Q18" s="39">
        <v>100</v>
      </c>
      <c r="R18" s="39">
        <f t="shared" si="2"/>
        <v>1108652.3999999999</v>
      </c>
      <c r="S18" s="42">
        <f t="shared" si="3"/>
        <v>0</v>
      </c>
    </row>
    <row r="19" spans="1:19">
      <c r="A19" s="99">
        <v>2025</v>
      </c>
      <c r="B19" s="100">
        <v>6</v>
      </c>
      <c r="C19" s="101">
        <v>45831</v>
      </c>
      <c r="D19" s="101" t="str">
        <f t="shared" si="0"/>
        <v>PPS00005233Бухоро_Рустам ака</v>
      </c>
      <c r="E19" s="99" t="s">
        <v>295</v>
      </c>
      <c r="F19" s="102" t="s">
        <v>258</v>
      </c>
      <c r="G19" s="102" t="s">
        <v>259</v>
      </c>
      <c r="H19" s="99" t="s">
        <v>255</v>
      </c>
      <c r="I19" s="102" t="s">
        <v>296</v>
      </c>
      <c r="J19" s="102" t="s">
        <v>21</v>
      </c>
      <c r="K19" s="103">
        <v>20</v>
      </c>
      <c r="L19" s="104">
        <v>36955.08</v>
      </c>
      <c r="M19" s="104">
        <v>739101.6</v>
      </c>
      <c r="N19" s="39">
        <f t="shared" si="1"/>
        <v>300000</v>
      </c>
      <c r="O19" s="107">
        <f>+M19*$O$1</f>
        <v>133038.288</v>
      </c>
      <c r="P19" s="108">
        <f>+N19+O19</f>
        <v>433038.288</v>
      </c>
      <c r="Q19" s="39">
        <v>100</v>
      </c>
      <c r="R19" s="39">
        <f t="shared" si="2"/>
        <v>739101.6</v>
      </c>
      <c r="S19" s="42">
        <f t="shared" si="3"/>
        <v>0</v>
      </c>
    </row>
    <row r="20" spans="1:19">
      <c r="A20" s="99">
        <v>2025</v>
      </c>
      <c r="B20" s="100">
        <v>6</v>
      </c>
      <c r="C20" s="101">
        <v>45832</v>
      </c>
      <c r="D20" s="101" t="str">
        <f t="shared" si="0"/>
        <v>PPS00005306Сурхондарьё_Сарвар ака</v>
      </c>
      <c r="E20" s="99" t="s">
        <v>297</v>
      </c>
      <c r="F20" s="102" t="s">
        <v>298</v>
      </c>
      <c r="G20" s="102" t="s">
        <v>253</v>
      </c>
      <c r="H20" s="99" t="s">
        <v>255</v>
      </c>
      <c r="I20" s="102" t="s">
        <v>256</v>
      </c>
      <c r="J20" s="102" t="s">
        <v>21</v>
      </c>
      <c r="K20" s="103">
        <v>200</v>
      </c>
      <c r="L20" s="104">
        <v>36955.08</v>
      </c>
      <c r="M20" s="104">
        <v>7391016</v>
      </c>
      <c r="N20" s="39">
        <f t="shared" si="1"/>
        <v>3000000</v>
      </c>
      <c r="O20" s="107">
        <f>+M20*$O$1</f>
        <v>1330382.8799999999</v>
      </c>
      <c r="P20" s="108">
        <f>+N20+O20</f>
        <v>4330382.88</v>
      </c>
      <c r="Q20" s="39">
        <v>100</v>
      </c>
      <c r="R20" s="39">
        <f t="shared" si="2"/>
        <v>7391016</v>
      </c>
      <c r="S20" s="42">
        <f t="shared" si="3"/>
        <v>0</v>
      </c>
    </row>
    <row r="21" spans="1:19">
      <c r="A21" s="99">
        <v>2025</v>
      </c>
      <c r="B21" s="100">
        <v>6</v>
      </c>
      <c r="C21" s="101">
        <v>45835</v>
      </c>
      <c r="D21" s="101" t="str">
        <f t="shared" si="0"/>
        <v>PPS00005436Кашкадарьё_Нилуфар опа</v>
      </c>
      <c r="E21" s="99" t="s">
        <v>299</v>
      </c>
      <c r="F21" s="102" t="s">
        <v>300</v>
      </c>
      <c r="G21" s="102" t="s">
        <v>301</v>
      </c>
      <c r="H21" s="99" t="s">
        <v>255</v>
      </c>
      <c r="I21" s="102" t="s">
        <v>302</v>
      </c>
      <c r="J21" s="102" t="s">
        <v>21</v>
      </c>
      <c r="K21" s="103">
        <v>70</v>
      </c>
      <c r="L21" s="104">
        <v>36955.08</v>
      </c>
      <c r="M21" s="104">
        <v>2586855.6</v>
      </c>
      <c r="N21" s="39">
        <f t="shared" si="1"/>
        <v>1050000</v>
      </c>
      <c r="O21" s="107">
        <f>+M21*$O$1</f>
        <v>465634.00799999997</v>
      </c>
      <c r="P21" s="108">
        <f>+N21+O21</f>
        <v>1515634.0079999999</v>
      </c>
      <c r="Q21" s="39">
        <v>100</v>
      </c>
      <c r="R21" s="39">
        <f t="shared" si="2"/>
        <v>2586855.6</v>
      </c>
      <c r="S21" s="42">
        <f t="shared" si="3"/>
        <v>0</v>
      </c>
    </row>
    <row r="22" spans="1:19">
      <c r="A22" s="99">
        <v>2025</v>
      </c>
      <c r="B22" s="100">
        <v>6</v>
      </c>
      <c r="C22" s="101">
        <v>45838</v>
      </c>
      <c r="D22" s="101" t="str">
        <f t="shared" si="0"/>
        <v>PPS00005469Тошкент_Мохира опа</v>
      </c>
      <c r="E22" s="99" t="s">
        <v>303</v>
      </c>
      <c r="F22" s="102" t="s">
        <v>304</v>
      </c>
      <c r="G22" s="102" t="s">
        <v>305</v>
      </c>
      <c r="H22" s="99" t="s">
        <v>255</v>
      </c>
      <c r="I22" s="102" t="s">
        <v>307</v>
      </c>
      <c r="J22" s="102" t="s">
        <v>21</v>
      </c>
      <c r="K22" s="103">
        <v>50</v>
      </c>
      <c r="L22" s="104">
        <v>36955.08</v>
      </c>
      <c r="M22" s="104">
        <v>1847754</v>
      </c>
      <c r="N22" s="39">
        <f t="shared" si="1"/>
        <v>750000</v>
      </c>
      <c r="O22" s="107">
        <f>+M22*$O$1</f>
        <v>332595.71999999997</v>
      </c>
      <c r="P22" s="108">
        <f>+N22+O22</f>
        <v>1082595.72</v>
      </c>
      <c r="Q22" s="39">
        <v>100</v>
      </c>
      <c r="R22" s="39">
        <f t="shared" si="2"/>
        <v>1847754</v>
      </c>
      <c r="S22" s="42">
        <f t="shared" si="3"/>
        <v>0</v>
      </c>
    </row>
    <row r="23" spans="1:19">
      <c r="A23" s="99">
        <v>2025</v>
      </c>
      <c r="B23" s="100">
        <v>6</v>
      </c>
      <c r="C23" s="101">
        <v>45838</v>
      </c>
      <c r="D23" s="101" t="str">
        <f t="shared" si="0"/>
        <v>PPS00005485Сирдарё_Фотима опа</v>
      </c>
      <c r="E23" s="99" t="s">
        <v>308</v>
      </c>
      <c r="F23" s="102" t="s">
        <v>280</v>
      </c>
      <c r="G23" s="102" t="s">
        <v>281</v>
      </c>
      <c r="H23" s="99" t="s">
        <v>255</v>
      </c>
      <c r="I23" s="102" t="s">
        <v>309</v>
      </c>
      <c r="J23" s="102" t="s">
        <v>21</v>
      </c>
      <c r="K23" s="103">
        <v>20</v>
      </c>
      <c r="L23" s="104">
        <v>36955.08</v>
      </c>
      <c r="M23" s="104">
        <v>739101.6</v>
      </c>
      <c r="N23" s="39">
        <f t="shared" si="1"/>
        <v>300000</v>
      </c>
      <c r="O23" s="107">
        <f>+M23*$O$1</f>
        <v>133038.288</v>
      </c>
      <c r="P23" s="108">
        <f>+N23+O23</f>
        <v>433038.288</v>
      </c>
      <c r="Q23" s="39">
        <v>100</v>
      </c>
      <c r="R23" s="39">
        <f t="shared" si="2"/>
        <v>739101.6</v>
      </c>
      <c r="S23" s="42">
        <f t="shared" si="3"/>
        <v>0</v>
      </c>
    </row>
    <row r="24" spans="1:19">
      <c r="A24" s="99">
        <v>2025</v>
      </c>
      <c r="B24" s="100">
        <v>7</v>
      </c>
      <c r="C24" s="101">
        <v>45841</v>
      </c>
      <c r="D24" s="101" t="str">
        <f t="shared" si="0"/>
        <v>PPS00005544Тошкент_Мохира опа</v>
      </c>
      <c r="E24" s="99" t="s">
        <v>310</v>
      </c>
      <c r="F24" s="102" t="s">
        <v>311</v>
      </c>
      <c r="G24" s="102" t="s">
        <v>305</v>
      </c>
      <c r="H24" s="99" t="s">
        <v>255</v>
      </c>
      <c r="I24" s="102" t="s">
        <v>312</v>
      </c>
      <c r="J24" s="102" t="s">
        <v>21</v>
      </c>
      <c r="K24" s="103">
        <v>50</v>
      </c>
      <c r="L24" s="104">
        <v>36955.08</v>
      </c>
      <c r="M24" s="104">
        <v>1847754</v>
      </c>
      <c r="N24" s="39">
        <f t="shared" si="1"/>
        <v>750000</v>
      </c>
      <c r="O24" s="107">
        <f>+M24*$O$1</f>
        <v>332595.71999999997</v>
      </c>
      <c r="P24" s="108">
        <f>+N24+O24</f>
        <v>1082595.72</v>
      </c>
      <c r="Q24" s="39">
        <v>100</v>
      </c>
      <c r="R24" s="39">
        <f t="shared" si="2"/>
        <v>1847754</v>
      </c>
      <c r="S24" s="42">
        <f t="shared" si="3"/>
        <v>0</v>
      </c>
    </row>
    <row r="25" spans="1:19">
      <c r="A25" s="99">
        <v>2025</v>
      </c>
      <c r="B25" s="100">
        <v>7</v>
      </c>
      <c r="C25" s="101">
        <v>45849</v>
      </c>
      <c r="D25" s="101" t="str">
        <f t="shared" si="0"/>
        <v>PPS00005853Сирдарё_Фотима опа</v>
      </c>
      <c r="E25" s="99" t="s">
        <v>313</v>
      </c>
      <c r="F25" s="102" t="s">
        <v>280</v>
      </c>
      <c r="G25" s="102" t="s">
        <v>281</v>
      </c>
      <c r="H25" s="99" t="s">
        <v>255</v>
      </c>
      <c r="I25" s="102" t="s">
        <v>314</v>
      </c>
      <c r="J25" s="102" t="s">
        <v>21</v>
      </c>
      <c r="K25" s="103">
        <v>30</v>
      </c>
      <c r="L25" s="104">
        <v>36955.08</v>
      </c>
      <c r="M25" s="104">
        <v>1108652.3999999999</v>
      </c>
      <c r="N25" s="39">
        <f t="shared" si="1"/>
        <v>450000</v>
      </c>
      <c r="O25" s="107">
        <f>+M25*$O$1</f>
        <v>199557.43199999997</v>
      </c>
      <c r="P25" s="108">
        <f>+N25+O25</f>
        <v>649557.43200000003</v>
      </c>
      <c r="Q25" s="39">
        <v>100</v>
      </c>
      <c r="R25" s="39">
        <f t="shared" si="2"/>
        <v>1108652.3999999999</v>
      </c>
      <c r="S25" s="42">
        <f t="shared" si="3"/>
        <v>0</v>
      </c>
    </row>
    <row r="26" spans="1:19">
      <c r="A26" s="99">
        <v>2025</v>
      </c>
      <c r="B26" s="100">
        <v>7</v>
      </c>
      <c r="C26" s="101">
        <v>45852</v>
      </c>
      <c r="D26" s="101" t="str">
        <f t="shared" si="0"/>
        <v>PPS00005883Сирдарё_Фотима опа</v>
      </c>
      <c r="E26" s="99" t="s">
        <v>315</v>
      </c>
      <c r="F26" s="102" t="s">
        <v>280</v>
      </c>
      <c r="G26" s="102" t="s">
        <v>281</v>
      </c>
      <c r="H26" s="99" t="s">
        <v>255</v>
      </c>
      <c r="I26" s="102" t="s">
        <v>25</v>
      </c>
      <c r="J26" s="102" t="s">
        <v>21</v>
      </c>
      <c r="K26" s="103">
        <v>50</v>
      </c>
      <c r="L26" s="104">
        <v>36955.08</v>
      </c>
      <c r="M26" s="104">
        <v>1847754</v>
      </c>
      <c r="N26" s="39">
        <f t="shared" si="1"/>
        <v>750000</v>
      </c>
      <c r="O26" s="107">
        <f>+M26*$O$1</f>
        <v>332595.71999999997</v>
      </c>
      <c r="P26" s="108">
        <f>+N26+O26</f>
        <v>1082595.72</v>
      </c>
      <c r="Q26" s="39">
        <v>100</v>
      </c>
      <c r="R26" s="39">
        <f t="shared" si="2"/>
        <v>1847754</v>
      </c>
      <c r="S26" s="42">
        <f t="shared" si="3"/>
        <v>0</v>
      </c>
    </row>
    <row r="27" spans="1:19">
      <c r="A27" s="99">
        <v>2025</v>
      </c>
      <c r="B27" s="100">
        <v>7</v>
      </c>
      <c r="C27" s="101">
        <v>45852</v>
      </c>
      <c r="D27" s="101" t="str">
        <f t="shared" si="0"/>
        <v>PPS00005925Сирдарё_Фотима опа</v>
      </c>
      <c r="E27" s="99" t="s">
        <v>316</v>
      </c>
      <c r="F27" s="102" t="s">
        <v>280</v>
      </c>
      <c r="G27" s="102" t="s">
        <v>281</v>
      </c>
      <c r="H27" s="99" t="s">
        <v>255</v>
      </c>
      <c r="I27" s="102" t="s">
        <v>317</v>
      </c>
      <c r="J27" s="102" t="s">
        <v>21</v>
      </c>
      <c r="K27" s="103">
        <v>50</v>
      </c>
      <c r="L27" s="104">
        <v>36955.08</v>
      </c>
      <c r="M27" s="104">
        <v>1847754</v>
      </c>
      <c r="N27" s="39">
        <f t="shared" si="1"/>
        <v>750000</v>
      </c>
      <c r="O27" s="107">
        <f>+M27*$O$1</f>
        <v>332595.71999999997</v>
      </c>
      <c r="P27" s="108">
        <f>+N27+O27</f>
        <v>1082595.72</v>
      </c>
      <c r="Q27" s="39">
        <v>100</v>
      </c>
      <c r="R27" s="39">
        <f t="shared" si="2"/>
        <v>1847754</v>
      </c>
      <c r="S27" s="42">
        <f t="shared" si="3"/>
        <v>0</v>
      </c>
    </row>
    <row r="28" spans="1:19">
      <c r="A28" s="99">
        <v>2025</v>
      </c>
      <c r="B28" s="100">
        <v>7</v>
      </c>
      <c r="C28" s="101">
        <v>45854</v>
      </c>
      <c r="D28" s="101" t="str">
        <f t="shared" si="0"/>
        <v>PPS00005985Сирдарё_Фотима опа</v>
      </c>
      <c r="E28" s="99" t="s">
        <v>318</v>
      </c>
      <c r="F28" s="102" t="s">
        <v>280</v>
      </c>
      <c r="G28" s="102" t="s">
        <v>281</v>
      </c>
      <c r="H28" s="99" t="s">
        <v>255</v>
      </c>
      <c r="I28" s="102" t="s">
        <v>292</v>
      </c>
      <c r="J28" s="102" t="s">
        <v>21</v>
      </c>
      <c r="K28" s="103">
        <v>30</v>
      </c>
      <c r="L28" s="104">
        <v>36955.08</v>
      </c>
      <c r="M28" s="104">
        <v>1108652.3999999999</v>
      </c>
      <c r="N28" s="39">
        <f t="shared" si="1"/>
        <v>450000</v>
      </c>
      <c r="O28" s="107">
        <f>+M28*$O$1</f>
        <v>199557.43199999997</v>
      </c>
      <c r="P28" s="108">
        <f>+N28+O28</f>
        <v>649557.43200000003</v>
      </c>
      <c r="Q28" s="39">
        <v>100</v>
      </c>
      <c r="R28" s="39">
        <f t="shared" si="2"/>
        <v>1108652.3999999999</v>
      </c>
      <c r="S28" s="42">
        <f t="shared" si="3"/>
        <v>0</v>
      </c>
    </row>
    <row r="29" spans="1:19">
      <c r="A29" s="99">
        <v>2025</v>
      </c>
      <c r="B29" s="100">
        <v>7</v>
      </c>
      <c r="C29" s="101">
        <v>45855</v>
      </c>
      <c r="D29" s="101" t="str">
        <f t="shared" si="0"/>
        <v>PPS00006042Сирдарё_Фотима опа</v>
      </c>
      <c r="E29" s="99" t="s">
        <v>319</v>
      </c>
      <c r="F29" s="102" t="s">
        <v>280</v>
      </c>
      <c r="G29" s="102" t="s">
        <v>281</v>
      </c>
      <c r="H29" s="99" t="s">
        <v>255</v>
      </c>
      <c r="I29" s="102" t="s">
        <v>320</v>
      </c>
      <c r="J29" s="102" t="s">
        <v>21</v>
      </c>
      <c r="K29" s="103">
        <v>50</v>
      </c>
      <c r="L29" s="104">
        <v>36955.08</v>
      </c>
      <c r="M29" s="104">
        <v>1847754</v>
      </c>
      <c r="N29" s="39">
        <f t="shared" si="1"/>
        <v>750000</v>
      </c>
      <c r="O29" s="107">
        <f>+M29*$O$1</f>
        <v>332595.71999999997</v>
      </c>
      <c r="P29" s="108">
        <f>+N29+O29</f>
        <v>1082595.72</v>
      </c>
      <c r="Q29" s="39">
        <v>100</v>
      </c>
      <c r="R29" s="39">
        <f t="shared" si="2"/>
        <v>1847754</v>
      </c>
      <c r="S29" s="42">
        <f t="shared" si="3"/>
        <v>0</v>
      </c>
    </row>
    <row r="30" spans="1:19">
      <c r="A30" s="99">
        <v>2025</v>
      </c>
      <c r="B30" s="100">
        <v>7</v>
      </c>
      <c r="C30" s="101">
        <v>45859</v>
      </c>
      <c r="D30" s="101" t="str">
        <f t="shared" si="0"/>
        <v>PPS00006103Сурхондарьё_Сарвар ака</v>
      </c>
      <c r="E30" s="99" t="s">
        <v>321</v>
      </c>
      <c r="F30" s="102" t="s">
        <v>298</v>
      </c>
      <c r="G30" s="102" t="s">
        <v>253</v>
      </c>
      <c r="H30" s="99" t="s">
        <v>255</v>
      </c>
      <c r="I30" s="102" t="s">
        <v>322</v>
      </c>
      <c r="J30" s="102" t="s">
        <v>21</v>
      </c>
      <c r="K30" s="103">
        <v>100</v>
      </c>
      <c r="L30" s="104">
        <v>36955.08</v>
      </c>
      <c r="M30" s="104">
        <v>3695508</v>
      </c>
      <c r="N30" s="39">
        <f t="shared" si="1"/>
        <v>1500000</v>
      </c>
      <c r="O30" s="107">
        <f>+M30*$O$1</f>
        <v>665191.43999999994</v>
      </c>
      <c r="P30" s="108">
        <f>+N30+O30</f>
        <v>2165191.44</v>
      </c>
      <c r="Q30" s="39">
        <v>100</v>
      </c>
      <c r="R30" s="39">
        <f t="shared" si="2"/>
        <v>3695508</v>
      </c>
      <c r="S30" s="42">
        <f t="shared" si="3"/>
        <v>0</v>
      </c>
    </row>
    <row r="31" spans="1:19">
      <c r="A31" s="99">
        <v>2025</v>
      </c>
      <c r="B31" s="100">
        <v>7</v>
      </c>
      <c r="C31" s="101">
        <v>45862</v>
      </c>
      <c r="D31" s="101" t="str">
        <f t="shared" si="0"/>
        <v>PPS00006244Бухоро_Рустам ака</v>
      </c>
      <c r="E31" s="99" t="s">
        <v>323</v>
      </c>
      <c r="F31" s="102" t="s">
        <v>258</v>
      </c>
      <c r="G31" s="102" t="s">
        <v>259</v>
      </c>
      <c r="H31" s="99" t="s">
        <v>255</v>
      </c>
      <c r="I31" s="102" t="s">
        <v>324</v>
      </c>
      <c r="J31" s="102" t="s">
        <v>21</v>
      </c>
      <c r="K31" s="103">
        <v>120</v>
      </c>
      <c r="L31" s="104">
        <v>36955.08</v>
      </c>
      <c r="M31" s="104">
        <v>4434609.5999999996</v>
      </c>
      <c r="N31" s="39">
        <f t="shared" si="1"/>
        <v>1800000</v>
      </c>
      <c r="O31" s="107">
        <f>+M31*$O$1</f>
        <v>798229.72799999989</v>
      </c>
      <c r="P31" s="108">
        <f>+N31+O31</f>
        <v>2598229.7280000001</v>
      </c>
      <c r="Q31" s="39">
        <v>100</v>
      </c>
      <c r="R31" s="39">
        <f t="shared" si="2"/>
        <v>4434609.5999999996</v>
      </c>
      <c r="S31" s="42">
        <f t="shared" si="3"/>
        <v>0</v>
      </c>
    </row>
    <row r="32" spans="1:19">
      <c r="A32" s="99">
        <v>2025</v>
      </c>
      <c r="B32" s="100">
        <v>7</v>
      </c>
      <c r="C32" s="101">
        <v>45868</v>
      </c>
      <c r="D32" s="101" t="str">
        <f t="shared" si="0"/>
        <v>PPS00006401Сирдарё_Фотима опа</v>
      </c>
      <c r="E32" s="99" t="s">
        <v>325</v>
      </c>
      <c r="F32" s="102" t="s">
        <v>280</v>
      </c>
      <c r="G32" s="102" t="s">
        <v>281</v>
      </c>
      <c r="H32" s="99" t="s">
        <v>255</v>
      </c>
      <c r="I32" s="102" t="s">
        <v>320</v>
      </c>
      <c r="J32" s="102" t="s">
        <v>21</v>
      </c>
      <c r="K32" s="103">
        <v>50</v>
      </c>
      <c r="L32" s="104">
        <v>36955.08</v>
      </c>
      <c r="M32" s="104">
        <v>1847754</v>
      </c>
      <c r="N32" s="39">
        <f t="shared" si="1"/>
        <v>750000</v>
      </c>
      <c r="O32" s="107">
        <f>+M32*$O$1</f>
        <v>332595.71999999997</v>
      </c>
      <c r="P32" s="108">
        <f>+N32+O32</f>
        <v>1082595.72</v>
      </c>
      <c r="Q32" s="39">
        <v>100</v>
      </c>
      <c r="R32" s="39">
        <f t="shared" si="2"/>
        <v>1847754</v>
      </c>
      <c r="S32" s="42">
        <f t="shared" si="3"/>
        <v>0</v>
      </c>
    </row>
    <row r="33" spans="1:19">
      <c r="A33" s="99">
        <v>2025</v>
      </c>
      <c r="B33" s="100">
        <v>7</v>
      </c>
      <c r="C33" s="101">
        <v>45868</v>
      </c>
      <c r="D33" s="101" t="str">
        <f t="shared" si="0"/>
        <v>PPS00006407Сирдарё_Фотима опа</v>
      </c>
      <c r="E33" s="99" t="s">
        <v>326</v>
      </c>
      <c r="F33" s="102" t="s">
        <v>280</v>
      </c>
      <c r="G33" s="102" t="s">
        <v>281</v>
      </c>
      <c r="H33" s="99" t="s">
        <v>255</v>
      </c>
      <c r="I33" s="102" t="s">
        <v>327</v>
      </c>
      <c r="J33" s="102" t="s">
        <v>21</v>
      </c>
      <c r="K33" s="103">
        <v>30</v>
      </c>
      <c r="L33" s="104">
        <v>36955.08</v>
      </c>
      <c r="M33" s="104">
        <v>1108652.3999999999</v>
      </c>
      <c r="N33" s="39">
        <f t="shared" si="1"/>
        <v>450000</v>
      </c>
      <c r="O33" s="107">
        <f>+M33*$O$1</f>
        <v>199557.43199999997</v>
      </c>
      <c r="P33" s="108">
        <f>+N33+O33</f>
        <v>649557.43200000003</v>
      </c>
      <c r="Q33" s="39">
        <v>100</v>
      </c>
      <c r="R33" s="39">
        <f t="shared" si="2"/>
        <v>1108652.3999999999</v>
      </c>
      <c r="S33" s="42">
        <f t="shared" si="3"/>
        <v>0</v>
      </c>
    </row>
    <row r="34" spans="1:19">
      <c r="A34" s="99">
        <v>2025</v>
      </c>
      <c r="B34" s="100">
        <v>7</v>
      </c>
      <c r="C34" s="101">
        <v>45869</v>
      </c>
      <c r="D34" s="101" t="str">
        <f t="shared" si="0"/>
        <v>PPS00006440Сирдарё_Фотима опа</v>
      </c>
      <c r="E34" s="99" t="s">
        <v>328</v>
      </c>
      <c r="F34" s="102" t="s">
        <v>280</v>
      </c>
      <c r="G34" s="102" t="s">
        <v>281</v>
      </c>
      <c r="H34" s="99" t="s">
        <v>255</v>
      </c>
      <c r="I34" s="102" t="s">
        <v>320</v>
      </c>
      <c r="J34" s="102" t="s">
        <v>21</v>
      </c>
      <c r="K34" s="103">
        <v>100</v>
      </c>
      <c r="L34" s="104">
        <v>36955.08</v>
      </c>
      <c r="M34" s="104">
        <v>3695508</v>
      </c>
      <c r="N34" s="39">
        <f t="shared" si="1"/>
        <v>1500000</v>
      </c>
      <c r="O34" s="107">
        <f>+M34*$O$1</f>
        <v>665191.43999999994</v>
      </c>
      <c r="P34" s="108">
        <f>+N34+O34</f>
        <v>2165191.44</v>
      </c>
      <c r="Q34" s="39">
        <v>100</v>
      </c>
      <c r="R34" s="39">
        <f t="shared" si="2"/>
        <v>3695508</v>
      </c>
      <c r="S34" s="42">
        <f t="shared" si="3"/>
        <v>0</v>
      </c>
    </row>
    <row r="35" spans="1:19">
      <c r="A35" s="99">
        <v>2025</v>
      </c>
      <c r="B35" s="100">
        <v>7</v>
      </c>
      <c r="C35" s="101">
        <v>45869</v>
      </c>
      <c r="D35" s="101" t="str">
        <f t="shared" si="0"/>
        <v>PPS00006456Тошкент_Мохира опа</v>
      </c>
      <c r="E35" s="99" t="s">
        <v>329</v>
      </c>
      <c r="F35" s="102" t="s">
        <v>311</v>
      </c>
      <c r="G35" s="102" t="s">
        <v>305</v>
      </c>
      <c r="H35" s="99" t="s">
        <v>255</v>
      </c>
      <c r="I35" s="102" t="s">
        <v>330</v>
      </c>
      <c r="J35" s="102" t="s">
        <v>21</v>
      </c>
      <c r="K35" s="103">
        <v>50</v>
      </c>
      <c r="L35" s="104">
        <v>36955.08</v>
      </c>
      <c r="M35" s="104">
        <v>1847754</v>
      </c>
      <c r="N35" s="39">
        <f t="shared" si="1"/>
        <v>750000</v>
      </c>
      <c r="O35" s="107">
        <f>+M35*$O$1</f>
        <v>332595.71999999997</v>
      </c>
      <c r="P35" s="108">
        <f>+N35+O35</f>
        <v>1082595.72</v>
      </c>
      <c r="Q35" s="39">
        <v>100</v>
      </c>
      <c r="R35" s="39">
        <f t="shared" si="2"/>
        <v>1847754</v>
      </c>
      <c r="S35" s="42">
        <f t="shared" si="3"/>
        <v>0</v>
      </c>
    </row>
    <row r="36" spans="1:19">
      <c r="A36" s="99">
        <v>2025</v>
      </c>
      <c r="B36" s="100">
        <v>8</v>
      </c>
      <c r="C36" s="101">
        <v>45876</v>
      </c>
      <c r="D36" s="101" t="str">
        <f t="shared" si="0"/>
        <v>PPS00006592Навоий_Дильноза опа</v>
      </c>
      <c r="E36" s="99" t="s">
        <v>331</v>
      </c>
      <c r="F36" s="102" t="s">
        <v>332</v>
      </c>
      <c r="G36" s="102" t="s">
        <v>333</v>
      </c>
      <c r="H36" s="99" t="s">
        <v>255</v>
      </c>
      <c r="I36" s="102" t="s">
        <v>334</v>
      </c>
      <c r="J36" s="102" t="s">
        <v>21</v>
      </c>
      <c r="K36" s="103">
        <v>50</v>
      </c>
      <c r="L36" s="104">
        <v>36955.08</v>
      </c>
      <c r="M36" s="104">
        <v>1847754</v>
      </c>
      <c r="N36" s="39">
        <f t="shared" si="1"/>
        <v>750000</v>
      </c>
      <c r="O36" s="107">
        <f>+M36*$O$1</f>
        <v>332595.71999999997</v>
      </c>
      <c r="P36" s="108">
        <f>+N36+O36</f>
        <v>1082595.72</v>
      </c>
      <c r="Q36" s="39">
        <v>100</v>
      </c>
      <c r="R36" s="39">
        <f t="shared" si="2"/>
        <v>1847754</v>
      </c>
      <c r="S36" s="42">
        <f t="shared" si="3"/>
        <v>0</v>
      </c>
    </row>
    <row r="37" spans="1:19">
      <c r="A37" s="99">
        <v>2025</v>
      </c>
      <c r="B37" s="100">
        <v>8</v>
      </c>
      <c r="C37" s="101">
        <v>45876</v>
      </c>
      <c r="D37" s="101" t="str">
        <f t="shared" si="0"/>
        <v>PPS00006619Жиззах_Саодат опа</v>
      </c>
      <c r="E37" s="99" t="s">
        <v>335</v>
      </c>
      <c r="F37" s="102" t="s">
        <v>336</v>
      </c>
      <c r="G37" s="102" t="s">
        <v>337</v>
      </c>
      <c r="H37" s="99" t="s">
        <v>255</v>
      </c>
      <c r="I37" s="102" t="s">
        <v>338</v>
      </c>
      <c r="J37" s="102" t="s">
        <v>21</v>
      </c>
      <c r="K37" s="103">
        <v>15</v>
      </c>
      <c r="L37" s="104">
        <v>36955.08</v>
      </c>
      <c r="M37" s="104">
        <v>554326.19999999995</v>
      </c>
      <c r="N37" s="39">
        <f t="shared" si="1"/>
        <v>225000</v>
      </c>
      <c r="O37" s="107">
        <f>+M37*$O$1</f>
        <v>99778.715999999986</v>
      </c>
      <c r="P37" s="108">
        <f>+N37+O37</f>
        <v>324778.71600000001</v>
      </c>
      <c r="Q37" s="39">
        <v>100</v>
      </c>
      <c r="R37" s="39">
        <f t="shared" si="2"/>
        <v>554326.19999999995</v>
      </c>
      <c r="S37" s="42">
        <f t="shared" si="3"/>
        <v>0</v>
      </c>
    </row>
    <row r="38" spans="1:19">
      <c r="A38" s="99">
        <v>2025</v>
      </c>
      <c r="B38" s="100">
        <v>8</v>
      </c>
      <c r="C38" s="101">
        <v>45877</v>
      </c>
      <c r="D38" s="101" t="str">
        <f t="shared" si="0"/>
        <v>PPS00006629Жиззах_Саодат опа</v>
      </c>
      <c r="E38" s="99" t="s">
        <v>339</v>
      </c>
      <c r="F38" s="102" t="s">
        <v>336</v>
      </c>
      <c r="G38" s="102" t="s">
        <v>337</v>
      </c>
      <c r="H38" s="99" t="s">
        <v>255</v>
      </c>
      <c r="I38" s="102" t="s">
        <v>340</v>
      </c>
      <c r="J38" s="102" t="s">
        <v>21</v>
      </c>
      <c r="K38" s="103">
        <v>50</v>
      </c>
      <c r="L38" s="104">
        <v>36955.08</v>
      </c>
      <c r="M38" s="104">
        <v>1847754</v>
      </c>
      <c r="N38" s="39">
        <f t="shared" si="1"/>
        <v>750000</v>
      </c>
      <c r="O38" s="107">
        <f>+M38*$O$1</f>
        <v>332595.71999999997</v>
      </c>
      <c r="P38" s="108">
        <f>+N38+O38</f>
        <v>1082595.72</v>
      </c>
      <c r="Q38" s="39">
        <v>100</v>
      </c>
      <c r="R38" s="39">
        <f t="shared" si="2"/>
        <v>1847754</v>
      </c>
      <c r="S38" s="42">
        <f t="shared" si="3"/>
        <v>0</v>
      </c>
    </row>
    <row r="39" spans="1:19">
      <c r="A39" s="99">
        <v>2025</v>
      </c>
      <c r="B39" s="100">
        <v>8</v>
      </c>
      <c r="C39" s="101">
        <v>45880</v>
      </c>
      <c r="D39" s="101" t="str">
        <f t="shared" si="0"/>
        <v>PPS00006681Бухоро_Рустам ака</v>
      </c>
      <c r="E39" s="99" t="s">
        <v>341</v>
      </c>
      <c r="F39" s="102" t="s">
        <v>258</v>
      </c>
      <c r="G39" s="102" t="s">
        <v>259</v>
      </c>
      <c r="H39" s="99" t="s">
        <v>255</v>
      </c>
      <c r="I39" s="102" t="s">
        <v>342</v>
      </c>
      <c r="J39" s="102" t="s">
        <v>21</v>
      </c>
      <c r="K39" s="103">
        <v>30</v>
      </c>
      <c r="L39" s="104">
        <v>36955.08</v>
      </c>
      <c r="M39" s="104">
        <v>1108652.3999999999</v>
      </c>
      <c r="N39" s="39">
        <f t="shared" si="1"/>
        <v>450000</v>
      </c>
      <c r="O39" s="107">
        <f>+M39*$O$1</f>
        <v>199557.43199999997</v>
      </c>
      <c r="P39" s="108">
        <f>+N39+O39</f>
        <v>649557.43200000003</v>
      </c>
      <c r="Q39" s="39">
        <v>100</v>
      </c>
      <c r="R39" s="39">
        <f t="shared" si="2"/>
        <v>1108652.3999999999</v>
      </c>
      <c r="S39" s="42">
        <f t="shared" si="3"/>
        <v>0</v>
      </c>
    </row>
    <row r="40" spans="1:19">
      <c r="A40" s="99">
        <v>2025</v>
      </c>
      <c r="B40" s="100">
        <v>8</v>
      </c>
      <c r="C40" s="101">
        <v>45880</v>
      </c>
      <c r="D40" s="101" t="str">
        <f t="shared" si="0"/>
        <v>PPS00006687Жиззах_Саодат опа</v>
      </c>
      <c r="E40" s="99" t="s">
        <v>343</v>
      </c>
      <c r="F40" s="102" t="s">
        <v>336</v>
      </c>
      <c r="G40" s="102" t="s">
        <v>337</v>
      </c>
      <c r="H40" s="99" t="s">
        <v>255</v>
      </c>
      <c r="I40" s="102" t="s">
        <v>344</v>
      </c>
      <c r="J40" s="102" t="s">
        <v>21</v>
      </c>
      <c r="K40" s="103">
        <v>10</v>
      </c>
      <c r="L40" s="104">
        <v>36955.08</v>
      </c>
      <c r="M40" s="104">
        <v>369550.8</v>
      </c>
      <c r="N40" s="39">
        <f t="shared" si="1"/>
        <v>150000</v>
      </c>
      <c r="O40" s="107">
        <f>+M40*$O$1</f>
        <v>66519.144</v>
      </c>
      <c r="P40" s="108">
        <f>+N40+O40</f>
        <v>216519.144</v>
      </c>
      <c r="Q40" s="39">
        <v>100</v>
      </c>
      <c r="R40" s="39">
        <f t="shared" si="2"/>
        <v>369550.8</v>
      </c>
      <c r="S40" s="42">
        <f t="shared" si="3"/>
        <v>0</v>
      </c>
    </row>
    <row r="41" spans="1:19">
      <c r="A41" s="99">
        <v>2025</v>
      </c>
      <c r="B41" s="100">
        <v>8</v>
      </c>
      <c r="C41" s="101">
        <v>45880</v>
      </c>
      <c r="D41" s="101" t="str">
        <f t="shared" si="0"/>
        <v>PPS00006689Жиззах_Саодат опа</v>
      </c>
      <c r="E41" s="99" t="s">
        <v>345</v>
      </c>
      <c r="F41" s="102" t="s">
        <v>336</v>
      </c>
      <c r="G41" s="102" t="s">
        <v>337</v>
      </c>
      <c r="H41" s="99" t="s">
        <v>255</v>
      </c>
      <c r="I41" s="102" t="s">
        <v>346</v>
      </c>
      <c r="J41" s="102" t="s">
        <v>21</v>
      </c>
      <c r="K41" s="103">
        <v>40</v>
      </c>
      <c r="L41" s="104">
        <v>36955.08</v>
      </c>
      <c r="M41" s="104">
        <v>1478203.2</v>
      </c>
      <c r="N41" s="39">
        <f t="shared" si="1"/>
        <v>600000</v>
      </c>
      <c r="O41" s="107">
        <f>+M41*$O$1</f>
        <v>266076.576</v>
      </c>
      <c r="P41" s="108">
        <f>+N41+O41</f>
        <v>866076.576</v>
      </c>
      <c r="Q41" s="39">
        <v>100</v>
      </c>
      <c r="R41" s="39">
        <f t="shared" si="2"/>
        <v>1478203.2</v>
      </c>
      <c r="S41" s="42">
        <f t="shared" si="3"/>
        <v>0</v>
      </c>
    </row>
    <row r="42" spans="1:19">
      <c r="A42" s="99">
        <v>2025</v>
      </c>
      <c r="B42" s="100">
        <v>8</v>
      </c>
      <c r="C42" s="101">
        <v>45880</v>
      </c>
      <c r="D42" s="101" t="str">
        <f t="shared" si="0"/>
        <v>PPS00006712Навоий_Дильноза опа</v>
      </c>
      <c r="E42" s="99" t="s">
        <v>347</v>
      </c>
      <c r="F42" s="102" t="s">
        <v>332</v>
      </c>
      <c r="G42" s="102" t="s">
        <v>333</v>
      </c>
      <c r="H42" s="99" t="s">
        <v>255</v>
      </c>
      <c r="I42" s="102" t="s">
        <v>348</v>
      </c>
      <c r="J42" s="102" t="s">
        <v>21</v>
      </c>
      <c r="K42" s="103">
        <v>50</v>
      </c>
      <c r="L42" s="104">
        <v>36955.08</v>
      </c>
      <c r="M42" s="104">
        <v>1847754</v>
      </c>
      <c r="N42" s="39">
        <f t="shared" si="1"/>
        <v>750000</v>
      </c>
      <c r="O42" s="107">
        <f>+M42*$O$1</f>
        <v>332595.71999999997</v>
      </c>
      <c r="P42" s="108">
        <f>+N42+O42</f>
        <v>1082595.72</v>
      </c>
      <c r="Q42" s="39">
        <v>100</v>
      </c>
      <c r="R42" s="39">
        <f t="shared" si="2"/>
        <v>1847754</v>
      </c>
      <c r="S42" s="42">
        <f t="shared" si="3"/>
        <v>0</v>
      </c>
    </row>
    <row r="43" spans="1:19">
      <c r="A43" s="99">
        <v>2025</v>
      </c>
      <c r="B43" s="100">
        <v>8</v>
      </c>
      <c r="C43" s="101">
        <v>45880</v>
      </c>
      <c r="D43" s="101" t="str">
        <f t="shared" si="0"/>
        <v>PPS00006732Навоий_Дильноза опа</v>
      </c>
      <c r="E43" s="99" t="s">
        <v>349</v>
      </c>
      <c r="F43" s="102" t="s">
        <v>332</v>
      </c>
      <c r="G43" s="102" t="s">
        <v>333</v>
      </c>
      <c r="H43" s="99" t="s">
        <v>255</v>
      </c>
      <c r="I43" s="102" t="s">
        <v>350</v>
      </c>
      <c r="J43" s="102" t="s">
        <v>21</v>
      </c>
      <c r="K43" s="103">
        <v>20</v>
      </c>
      <c r="L43" s="104">
        <v>36955.08</v>
      </c>
      <c r="M43" s="104">
        <v>739101.6</v>
      </c>
      <c r="N43" s="39">
        <f t="shared" si="1"/>
        <v>300000</v>
      </c>
      <c r="O43" s="107">
        <f>+M43*$O$1</f>
        <v>133038.288</v>
      </c>
      <c r="P43" s="108">
        <f>+N43+O43</f>
        <v>433038.288</v>
      </c>
      <c r="Q43" s="39">
        <v>100</v>
      </c>
      <c r="R43" s="39">
        <f t="shared" si="2"/>
        <v>739101.6</v>
      </c>
      <c r="S43" s="42">
        <f t="shared" si="3"/>
        <v>0</v>
      </c>
    </row>
    <row r="44" spans="1:19">
      <c r="A44" s="99">
        <v>2025</v>
      </c>
      <c r="B44" s="100">
        <v>8</v>
      </c>
      <c r="C44" s="101">
        <v>45880</v>
      </c>
      <c r="D44" s="101" t="str">
        <f t="shared" si="0"/>
        <v>PPS00006734Навоий_Дильноза опа</v>
      </c>
      <c r="E44" s="99" t="s">
        <v>351</v>
      </c>
      <c r="F44" s="102" t="s">
        <v>332</v>
      </c>
      <c r="G44" s="102" t="s">
        <v>333</v>
      </c>
      <c r="H44" s="99" t="s">
        <v>255</v>
      </c>
      <c r="I44" s="102" t="s">
        <v>352</v>
      </c>
      <c r="J44" s="102" t="s">
        <v>21</v>
      </c>
      <c r="K44" s="103">
        <v>10</v>
      </c>
      <c r="L44" s="104">
        <v>36955.08</v>
      </c>
      <c r="M44" s="104">
        <v>369550.8</v>
      </c>
      <c r="N44" s="39">
        <f t="shared" si="1"/>
        <v>150000</v>
      </c>
      <c r="O44" s="107">
        <f>+M44*$O$1</f>
        <v>66519.144</v>
      </c>
      <c r="P44" s="108">
        <f>+N44+O44</f>
        <v>216519.144</v>
      </c>
      <c r="Q44" s="39">
        <v>100</v>
      </c>
      <c r="R44" s="39">
        <f t="shared" si="2"/>
        <v>369550.8</v>
      </c>
      <c r="S44" s="42">
        <f t="shared" si="3"/>
        <v>0</v>
      </c>
    </row>
    <row r="45" spans="1:19">
      <c r="A45" s="99">
        <v>2025</v>
      </c>
      <c r="B45" s="100">
        <v>8</v>
      </c>
      <c r="C45" s="101">
        <v>45882</v>
      </c>
      <c r="D45" s="101" t="str">
        <f t="shared" si="0"/>
        <v>PPS00006789Сурхондарьё_Людмила опа</v>
      </c>
      <c r="E45" s="99" t="s">
        <v>353</v>
      </c>
      <c r="F45" s="102" t="s">
        <v>354</v>
      </c>
      <c r="G45" s="102" t="s">
        <v>355</v>
      </c>
      <c r="H45" s="99" t="s">
        <v>255</v>
      </c>
      <c r="I45" s="102" t="s">
        <v>356</v>
      </c>
      <c r="J45" s="102" t="s">
        <v>21</v>
      </c>
      <c r="K45" s="103">
        <v>45</v>
      </c>
      <c r="L45" s="104">
        <v>36955.08</v>
      </c>
      <c r="M45" s="104">
        <v>1662978.6</v>
      </c>
      <c r="N45" s="39">
        <f t="shared" si="1"/>
        <v>675000</v>
      </c>
      <c r="O45" s="107">
        <f>+M45*$O$1</f>
        <v>299336.14799999999</v>
      </c>
      <c r="P45" s="108">
        <f>+N45+O45</f>
        <v>974336.14800000004</v>
      </c>
      <c r="Q45" s="39">
        <v>100</v>
      </c>
      <c r="R45" s="39">
        <f t="shared" si="2"/>
        <v>1662978.6</v>
      </c>
      <c r="S45" s="42">
        <f t="shared" si="3"/>
        <v>0</v>
      </c>
    </row>
    <row r="46" spans="1:19">
      <c r="A46" s="99">
        <v>2025</v>
      </c>
      <c r="B46" s="100">
        <v>8</v>
      </c>
      <c r="C46" s="101">
        <v>45882</v>
      </c>
      <c r="D46" s="101" t="str">
        <f t="shared" si="0"/>
        <v>PPS00006791Навоий_Дильноза опа</v>
      </c>
      <c r="E46" s="99" t="s">
        <v>357</v>
      </c>
      <c r="F46" s="102" t="s">
        <v>332</v>
      </c>
      <c r="G46" s="102" t="s">
        <v>333</v>
      </c>
      <c r="H46" s="99" t="s">
        <v>255</v>
      </c>
      <c r="I46" s="102" t="s">
        <v>358</v>
      </c>
      <c r="J46" s="102" t="s">
        <v>21</v>
      </c>
      <c r="K46" s="103">
        <v>10</v>
      </c>
      <c r="L46" s="104">
        <v>36955.08</v>
      </c>
      <c r="M46" s="104">
        <v>369550.8</v>
      </c>
      <c r="N46" s="39">
        <f t="shared" si="1"/>
        <v>150000</v>
      </c>
      <c r="O46" s="107">
        <f>+M46*$O$1</f>
        <v>66519.144</v>
      </c>
      <c r="P46" s="108">
        <f>+N46+O46</f>
        <v>216519.144</v>
      </c>
      <c r="Q46" s="39">
        <v>100</v>
      </c>
      <c r="R46" s="39">
        <f t="shared" si="2"/>
        <v>369550.8</v>
      </c>
      <c r="S46" s="42">
        <f t="shared" si="3"/>
        <v>0</v>
      </c>
    </row>
    <row r="47" spans="1:19">
      <c r="A47" s="99">
        <v>2025</v>
      </c>
      <c r="B47" s="100">
        <v>8</v>
      </c>
      <c r="C47" s="101">
        <v>45882</v>
      </c>
      <c r="D47" s="101" t="str">
        <f t="shared" si="0"/>
        <v>PPS00006800Сирдарё_Фотима опа</v>
      </c>
      <c r="E47" s="99" t="s">
        <v>359</v>
      </c>
      <c r="F47" s="102" t="s">
        <v>280</v>
      </c>
      <c r="G47" s="102" t="s">
        <v>281</v>
      </c>
      <c r="H47" s="99" t="s">
        <v>255</v>
      </c>
      <c r="I47" s="102" t="s">
        <v>292</v>
      </c>
      <c r="J47" s="102" t="s">
        <v>21</v>
      </c>
      <c r="K47" s="103">
        <v>20</v>
      </c>
      <c r="L47" s="104">
        <v>36955.08</v>
      </c>
      <c r="M47" s="104">
        <v>739101.6</v>
      </c>
      <c r="N47" s="39">
        <f t="shared" si="1"/>
        <v>300000</v>
      </c>
      <c r="O47" s="107">
        <f>+M47*$O$1</f>
        <v>133038.288</v>
      </c>
      <c r="P47" s="108">
        <f>+N47+O47</f>
        <v>433038.288</v>
      </c>
      <c r="Q47" s="39">
        <v>100</v>
      </c>
      <c r="R47" s="39">
        <f t="shared" si="2"/>
        <v>739101.6</v>
      </c>
      <c r="S47" s="42">
        <f t="shared" si="3"/>
        <v>0</v>
      </c>
    </row>
    <row r="48" spans="1:19">
      <c r="A48" s="99">
        <v>2025</v>
      </c>
      <c r="B48" s="100">
        <v>8</v>
      </c>
      <c r="C48" s="101">
        <v>45882</v>
      </c>
      <c r="D48" s="101" t="str">
        <f t="shared" si="0"/>
        <v>PPS00006805Навоий_Дильноза опа</v>
      </c>
      <c r="E48" s="99" t="s">
        <v>360</v>
      </c>
      <c r="F48" s="102" t="s">
        <v>332</v>
      </c>
      <c r="G48" s="102" t="s">
        <v>333</v>
      </c>
      <c r="H48" s="99" t="s">
        <v>255</v>
      </c>
      <c r="I48" s="102" t="s">
        <v>361</v>
      </c>
      <c r="J48" s="102" t="s">
        <v>21</v>
      </c>
      <c r="K48" s="103">
        <v>40</v>
      </c>
      <c r="L48" s="104">
        <v>36955.08</v>
      </c>
      <c r="M48" s="104">
        <v>1478203.2</v>
      </c>
      <c r="N48" s="39">
        <f t="shared" si="1"/>
        <v>600000</v>
      </c>
      <c r="O48" s="107">
        <f>+M48*$O$1</f>
        <v>266076.576</v>
      </c>
      <c r="P48" s="108">
        <f>+N48+O48</f>
        <v>866076.576</v>
      </c>
      <c r="Q48" s="39">
        <v>100</v>
      </c>
      <c r="R48" s="39">
        <f t="shared" si="2"/>
        <v>1478203.2</v>
      </c>
      <c r="S48" s="42">
        <f t="shared" si="3"/>
        <v>0</v>
      </c>
    </row>
    <row r="49" spans="1:19">
      <c r="A49" s="99">
        <v>2025</v>
      </c>
      <c r="B49" s="100">
        <v>8</v>
      </c>
      <c r="C49" s="101">
        <v>45883</v>
      </c>
      <c r="D49" s="101" t="str">
        <f t="shared" si="0"/>
        <v>PPS00006838Сирдарё_Фотима опа</v>
      </c>
      <c r="E49" s="99" t="s">
        <v>362</v>
      </c>
      <c r="F49" s="102" t="s">
        <v>280</v>
      </c>
      <c r="G49" s="102" t="s">
        <v>281</v>
      </c>
      <c r="H49" s="99" t="s">
        <v>255</v>
      </c>
      <c r="I49" s="102" t="s">
        <v>314</v>
      </c>
      <c r="J49" s="102" t="s">
        <v>21</v>
      </c>
      <c r="K49" s="103">
        <v>30</v>
      </c>
      <c r="L49" s="104">
        <v>36955.08</v>
      </c>
      <c r="M49" s="104">
        <v>1108652.3999999999</v>
      </c>
      <c r="N49" s="39">
        <f t="shared" si="1"/>
        <v>450000</v>
      </c>
      <c r="O49" s="107">
        <f>+M49*$O$1</f>
        <v>199557.43199999997</v>
      </c>
      <c r="P49" s="108">
        <f>+N49+O49</f>
        <v>649557.43200000003</v>
      </c>
      <c r="Q49" s="39">
        <v>100</v>
      </c>
      <c r="R49" s="39">
        <f t="shared" si="2"/>
        <v>1108652.3999999999</v>
      </c>
      <c r="S49" s="42">
        <f t="shared" si="3"/>
        <v>0</v>
      </c>
    </row>
    <row r="50" spans="1:19">
      <c r="A50" s="99">
        <v>2025</v>
      </c>
      <c r="B50" s="100">
        <v>8</v>
      </c>
      <c r="C50" s="101">
        <v>45883</v>
      </c>
      <c r="D50" s="101" t="str">
        <f t="shared" si="0"/>
        <v>PPS00006864Жиззах_Саодат опа</v>
      </c>
      <c r="E50" s="99" t="s">
        <v>363</v>
      </c>
      <c r="F50" s="102" t="s">
        <v>336</v>
      </c>
      <c r="G50" s="102" t="s">
        <v>337</v>
      </c>
      <c r="H50" s="99" t="s">
        <v>255</v>
      </c>
      <c r="I50" s="102" t="s">
        <v>364</v>
      </c>
      <c r="J50" s="102" t="s">
        <v>21</v>
      </c>
      <c r="K50" s="103">
        <v>10</v>
      </c>
      <c r="L50" s="104">
        <v>36955.08</v>
      </c>
      <c r="M50" s="104">
        <v>369550.8</v>
      </c>
      <c r="N50" s="39">
        <f t="shared" si="1"/>
        <v>150000</v>
      </c>
      <c r="O50" s="107">
        <f>+M50*$O$1</f>
        <v>66519.144</v>
      </c>
      <c r="P50" s="108">
        <f>+N50+O50</f>
        <v>216519.144</v>
      </c>
      <c r="Q50" s="39">
        <v>100</v>
      </c>
      <c r="R50" s="39">
        <f t="shared" si="2"/>
        <v>369550.8</v>
      </c>
      <c r="S50" s="42">
        <f t="shared" si="3"/>
        <v>0</v>
      </c>
    </row>
    <row r="51" spans="1:19">
      <c r="A51" s="99">
        <v>2025</v>
      </c>
      <c r="B51" s="100">
        <v>8</v>
      </c>
      <c r="C51" s="101">
        <v>45884</v>
      </c>
      <c r="D51" s="101" t="str">
        <f t="shared" si="0"/>
        <v>PPS00006887Жиззах_Саодат опа</v>
      </c>
      <c r="E51" s="99" t="s">
        <v>365</v>
      </c>
      <c r="F51" s="102" t="s">
        <v>336</v>
      </c>
      <c r="G51" s="102" t="s">
        <v>337</v>
      </c>
      <c r="H51" s="99" t="s">
        <v>255</v>
      </c>
      <c r="I51" s="102" t="s">
        <v>366</v>
      </c>
      <c r="J51" s="102" t="s">
        <v>21</v>
      </c>
      <c r="K51" s="103">
        <v>48</v>
      </c>
      <c r="L51" s="104">
        <v>36955.08</v>
      </c>
      <c r="M51" s="104">
        <v>1773843.84</v>
      </c>
      <c r="N51" s="39">
        <f t="shared" si="1"/>
        <v>720000</v>
      </c>
      <c r="O51" s="107">
        <f>+M51*$O$1</f>
        <v>319291.89120000001</v>
      </c>
      <c r="P51" s="108">
        <f>+N51+O51</f>
        <v>1039291.8912</v>
      </c>
      <c r="Q51" s="39">
        <v>100</v>
      </c>
      <c r="R51" s="39">
        <f t="shared" si="2"/>
        <v>1773843.84</v>
      </c>
      <c r="S51" s="42">
        <f t="shared" si="3"/>
        <v>0</v>
      </c>
    </row>
    <row r="52" spans="1:19">
      <c r="A52" s="99">
        <v>2025</v>
      </c>
      <c r="B52" s="100">
        <v>8</v>
      </c>
      <c r="C52" s="101">
        <v>45887</v>
      </c>
      <c r="D52" s="101" t="str">
        <f t="shared" si="0"/>
        <v>PPS00006907Бухоро_Рустам ака</v>
      </c>
      <c r="E52" s="99" t="s">
        <v>367</v>
      </c>
      <c r="F52" s="102" t="s">
        <v>258</v>
      </c>
      <c r="G52" s="102" t="s">
        <v>259</v>
      </c>
      <c r="H52" s="99" t="s">
        <v>255</v>
      </c>
      <c r="I52" s="102" t="s">
        <v>368</v>
      </c>
      <c r="J52" s="102" t="s">
        <v>21</v>
      </c>
      <c r="K52" s="103">
        <v>50</v>
      </c>
      <c r="L52" s="104">
        <v>36955.08</v>
      </c>
      <c r="M52" s="104">
        <v>1847754</v>
      </c>
      <c r="N52" s="39">
        <f t="shared" si="1"/>
        <v>750000</v>
      </c>
      <c r="O52" s="107">
        <f>+M52*$O$1</f>
        <v>332595.71999999997</v>
      </c>
      <c r="P52" s="108">
        <f>+N52+O52</f>
        <v>1082595.72</v>
      </c>
      <c r="Q52" s="39">
        <v>100</v>
      </c>
      <c r="R52" s="39">
        <f t="shared" si="2"/>
        <v>1847754</v>
      </c>
      <c r="S52" s="42">
        <f t="shared" si="3"/>
        <v>0</v>
      </c>
    </row>
    <row r="53" spans="1:19">
      <c r="A53" s="99">
        <v>2025</v>
      </c>
      <c r="B53" s="100">
        <v>8</v>
      </c>
      <c r="C53" s="101">
        <v>45887</v>
      </c>
      <c r="D53" s="101" t="str">
        <f t="shared" si="0"/>
        <v>PPS00006917Сирдарё_Фотима опа</v>
      </c>
      <c r="E53" s="99" t="s">
        <v>369</v>
      </c>
      <c r="F53" s="102" t="s">
        <v>280</v>
      </c>
      <c r="G53" s="102" t="s">
        <v>281</v>
      </c>
      <c r="H53" s="99" t="s">
        <v>255</v>
      </c>
      <c r="I53" s="102" t="s">
        <v>294</v>
      </c>
      <c r="J53" s="102" t="s">
        <v>21</v>
      </c>
      <c r="K53" s="103">
        <v>20</v>
      </c>
      <c r="L53" s="104">
        <v>36955.08</v>
      </c>
      <c r="M53" s="104">
        <v>739101.6</v>
      </c>
      <c r="N53" s="39">
        <f t="shared" si="1"/>
        <v>300000</v>
      </c>
      <c r="O53" s="107">
        <f>+M53*$O$1</f>
        <v>133038.288</v>
      </c>
      <c r="P53" s="108">
        <f>+N53+O53</f>
        <v>433038.288</v>
      </c>
      <c r="Q53" s="39">
        <v>100</v>
      </c>
      <c r="R53" s="39">
        <f t="shared" si="2"/>
        <v>739101.6</v>
      </c>
      <c r="S53" s="42">
        <f t="shared" si="3"/>
        <v>0</v>
      </c>
    </row>
    <row r="54" spans="1:19">
      <c r="A54" s="99">
        <v>2025</v>
      </c>
      <c r="B54" s="100">
        <v>8</v>
      </c>
      <c r="C54" s="101">
        <v>45889</v>
      </c>
      <c r="D54" s="101" t="str">
        <f t="shared" si="0"/>
        <v>PPS00007032Сирдарё_Фотима опа</v>
      </c>
      <c r="E54" s="99" t="s">
        <v>370</v>
      </c>
      <c r="F54" s="102" t="s">
        <v>280</v>
      </c>
      <c r="G54" s="102" t="s">
        <v>281</v>
      </c>
      <c r="H54" s="99" t="s">
        <v>255</v>
      </c>
      <c r="I54" s="102" t="s">
        <v>371</v>
      </c>
      <c r="J54" s="102" t="s">
        <v>21</v>
      </c>
      <c r="K54" s="103">
        <v>50</v>
      </c>
      <c r="L54" s="104">
        <v>36955.08</v>
      </c>
      <c r="M54" s="104">
        <v>1847754</v>
      </c>
      <c r="N54" s="39">
        <f t="shared" si="1"/>
        <v>750000</v>
      </c>
      <c r="O54" s="107">
        <f>+M54*$O$1</f>
        <v>332595.71999999997</v>
      </c>
      <c r="P54" s="108">
        <f>+N54+O54</f>
        <v>1082595.72</v>
      </c>
      <c r="Q54" s="39">
        <v>100</v>
      </c>
      <c r="R54" s="39">
        <f t="shared" si="2"/>
        <v>1847754</v>
      </c>
      <c r="S54" s="42">
        <f t="shared" si="3"/>
        <v>0</v>
      </c>
    </row>
    <row r="55" spans="1:19">
      <c r="A55" s="99">
        <v>2025</v>
      </c>
      <c r="B55" s="100">
        <v>8</v>
      </c>
      <c r="C55" s="101">
        <v>45890</v>
      </c>
      <c r="D55" s="101" t="str">
        <f t="shared" si="0"/>
        <v>PPS00007079Жиззах_Саодат опа</v>
      </c>
      <c r="E55" s="99" t="s">
        <v>372</v>
      </c>
      <c r="F55" s="102" t="s">
        <v>336</v>
      </c>
      <c r="G55" s="102" t="s">
        <v>337</v>
      </c>
      <c r="H55" s="99" t="s">
        <v>255</v>
      </c>
      <c r="I55" s="102" t="s">
        <v>340</v>
      </c>
      <c r="J55" s="102" t="s">
        <v>21</v>
      </c>
      <c r="K55" s="103">
        <v>100</v>
      </c>
      <c r="L55" s="104">
        <v>36955.08</v>
      </c>
      <c r="M55" s="104">
        <v>3695508</v>
      </c>
      <c r="N55" s="39">
        <f t="shared" si="1"/>
        <v>1500000</v>
      </c>
      <c r="O55" s="107">
        <f>+M55*$O$1</f>
        <v>665191.43999999994</v>
      </c>
      <c r="P55" s="108">
        <f>+N55+O55</f>
        <v>2165191.44</v>
      </c>
      <c r="Q55" s="39">
        <v>100</v>
      </c>
      <c r="R55" s="39">
        <f t="shared" si="2"/>
        <v>3695508</v>
      </c>
      <c r="S55" s="42">
        <f t="shared" si="3"/>
        <v>0</v>
      </c>
    </row>
    <row r="56" spans="1:19">
      <c r="A56" s="99">
        <v>2025</v>
      </c>
      <c r="B56" s="100">
        <v>8</v>
      </c>
      <c r="C56" s="101">
        <v>45894</v>
      </c>
      <c r="D56" s="101" t="str">
        <f t="shared" si="0"/>
        <v>PPS00007130Навоий_Дильноза опа</v>
      </c>
      <c r="E56" s="99" t="s">
        <v>373</v>
      </c>
      <c r="F56" s="102" t="s">
        <v>332</v>
      </c>
      <c r="G56" s="102" t="s">
        <v>333</v>
      </c>
      <c r="H56" s="99" t="s">
        <v>255</v>
      </c>
      <c r="I56" s="102" t="s">
        <v>117</v>
      </c>
      <c r="J56" s="102" t="s">
        <v>21</v>
      </c>
      <c r="K56" s="103">
        <v>48</v>
      </c>
      <c r="L56" s="104">
        <v>36955.08</v>
      </c>
      <c r="M56" s="104">
        <v>1773843.84</v>
      </c>
      <c r="N56" s="39">
        <f t="shared" si="1"/>
        <v>720000</v>
      </c>
      <c r="O56" s="107">
        <f>+M56*$O$1</f>
        <v>319291.89120000001</v>
      </c>
      <c r="P56" s="108">
        <f>+N56+O56</f>
        <v>1039291.8912</v>
      </c>
      <c r="Q56" s="39">
        <v>100</v>
      </c>
      <c r="R56" s="39">
        <f t="shared" si="2"/>
        <v>1773843.84</v>
      </c>
      <c r="S56" s="42">
        <f t="shared" si="3"/>
        <v>0</v>
      </c>
    </row>
    <row r="57" spans="1:19">
      <c r="A57" s="99">
        <v>2025</v>
      </c>
      <c r="B57" s="100">
        <v>8</v>
      </c>
      <c r="C57" s="101">
        <v>45894</v>
      </c>
      <c r="D57" s="101" t="str">
        <f t="shared" si="0"/>
        <v>PPS00007142Навоий_Дильноза опа</v>
      </c>
      <c r="E57" s="99" t="s">
        <v>374</v>
      </c>
      <c r="F57" s="102" t="s">
        <v>332</v>
      </c>
      <c r="G57" s="102" t="s">
        <v>333</v>
      </c>
      <c r="H57" s="99" t="s">
        <v>255</v>
      </c>
      <c r="I57" s="102" t="s">
        <v>375</v>
      </c>
      <c r="J57" s="102" t="s">
        <v>21</v>
      </c>
      <c r="K57" s="103">
        <v>20</v>
      </c>
      <c r="L57" s="104">
        <v>36955.08</v>
      </c>
      <c r="M57" s="104">
        <v>739101.6</v>
      </c>
      <c r="N57" s="39">
        <f t="shared" si="1"/>
        <v>300000</v>
      </c>
      <c r="O57" s="107">
        <f>+M57*$O$1</f>
        <v>133038.288</v>
      </c>
      <c r="P57" s="108">
        <f>+N57+O57</f>
        <v>433038.288</v>
      </c>
      <c r="Q57" s="39">
        <v>100</v>
      </c>
      <c r="R57" s="39">
        <f t="shared" si="2"/>
        <v>739101.6</v>
      </c>
      <c r="S57" s="42">
        <f t="shared" si="3"/>
        <v>0</v>
      </c>
    </row>
    <row r="58" spans="1:19">
      <c r="A58" s="99">
        <v>2025</v>
      </c>
      <c r="B58" s="100">
        <v>8</v>
      </c>
      <c r="C58" s="101">
        <v>45894</v>
      </c>
      <c r="D58" s="101" t="str">
        <f t="shared" si="0"/>
        <v>PPS00007154Сурхондарьё_Сарвар ака</v>
      </c>
      <c r="E58" s="99" t="s">
        <v>376</v>
      </c>
      <c r="F58" s="102" t="s">
        <v>298</v>
      </c>
      <c r="G58" s="102" t="s">
        <v>253</v>
      </c>
      <c r="H58" s="99" t="s">
        <v>255</v>
      </c>
      <c r="I58" s="102" t="s">
        <v>256</v>
      </c>
      <c r="J58" s="102" t="s">
        <v>21</v>
      </c>
      <c r="K58" s="103">
        <v>50</v>
      </c>
      <c r="L58" s="104">
        <v>36955.08</v>
      </c>
      <c r="M58" s="104">
        <v>1847754</v>
      </c>
      <c r="N58" s="39">
        <f t="shared" si="1"/>
        <v>750000</v>
      </c>
      <c r="O58" s="107">
        <f>+M58*$O$1</f>
        <v>332595.71999999997</v>
      </c>
      <c r="P58" s="108">
        <f>+N58+O58</f>
        <v>1082595.72</v>
      </c>
      <c r="Q58" s="39">
        <v>100</v>
      </c>
      <c r="R58" s="39">
        <f t="shared" si="2"/>
        <v>1847754</v>
      </c>
      <c r="S58" s="42">
        <f t="shared" si="3"/>
        <v>0</v>
      </c>
    </row>
    <row r="59" spans="1:19">
      <c r="A59" s="99">
        <v>2025</v>
      </c>
      <c r="B59" s="100">
        <v>8</v>
      </c>
      <c r="C59" s="101">
        <v>45894</v>
      </c>
      <c r="D59" s="101" t="str">
        <f t="shared" si="0"/>
        <v>PPS00007162Жиззах_Саодат опа</v>
      </c>
      <c r="E59" s="99" t="s">
        <v>377</v>
      </c>
      <c r="F59" s="102" t="s">
        <v>336</v>
      </c>
      <c r="G59" s="102" t="s">
        <v>337</v>
      </c>
      <c r="H59" s="99" t="s">
        <v>255</v>
      </c>
      <c r="I59" s="102" t="s">
        <v>378</v>
      </c>
      <c r="J59" s="102" t="s">
        <v>21</v>
      </c>
      <c r="K59" s="103">
        <v>10</v>
      </c>
      <c r="L59" s="104">
        <v>36955.08</v>
      </c>
      <c r="M59" s="104">
        <v>369550.8</v>
      </c>
      <c r="N59" s="39">
        <f t="shared" si="1"/>
        <v>150000</v>
      </c>
      <c r="O59" s="107">
        <f>+M59*$O$1</f>
        <v>66519.144</v>
      </c>
      <c r="P59" s="108">
        <f>+N59+O59</f>
        <v>216519.144</v>
      </c>
      <c r="Q59" s="39">
        <v>100</v>
      </c>
      <c r="R59" s="39">
        <f t="shared" si="2"/>
        <v>369550.8</v>
      </c>
      <c r="S59" s="42">
        <f t="shared" si="3"/>
        <v>0</v>
      </c>
    </row>
    <row r="60" spans="1:19">
      <c r="A60" s="99">
        <v>2025</v>
      </c>
      <c r="B60" s="100">
        <v>8</v>
      </c>
      <c r="C60" s="101">
        <v>45895</v>
      </c>
      <c r="D60" s="101" t="str">
        <f t="shared" si="0"/>
        <v>PPS00007178Сирдарё_Фотима опа</v>
      </c>
      <c r="E60" s="99" t="s">
        <v>379</v>
      </c>
      <c r="F60" s="102" t="s">
        <v>280</v>
      </c>
      <c r="G60" s="102" t="s">
        <v>281</v>
      </c>
      <c r="H60" s="99" t="s">
        <v>255</v>
      </c>
      <c r="I60" s="102" t="s">
        <v>327</v>
      </c>
      <c r="J60" s="102" t="s">
        <v>21</v>
      </c>
      <c r="K60" s="103">
        <v>20</v>
      </c>
      <c r="L60" s="104">
        <v>36955.08</v>
      </c>
      <c r="M60" s="104">
        <v>739101.6</v>
      </c>
      <c r="N60" s="39">
        <f t="shared" si="1"/>
        <v>300000</v>
      </c>
      <c r="O60" s="107">
        <f>+M60*$O$1</f>
        <v>133038.288</v>
      </c>
      <c r="P60" s="108">
        <f>+N60+O60</f>
        <v>433038.288</v>
      </c>
      <c r="Q60" s="39">
        <v>100</v>
      </c>
      <c r="R60" s="39">
        <f t="shared" si="2"/>
        <v>739101.6</v>
      </c>
      <c r="S60" s="42">
        <f t="shared" si="3"/>
        <v>0</v>
      </c>
    </row>
    <row r="61" spans="1:19">
      <c r="A61" s="99">
        <v>2025</v>
      </c>
      <c r="B61" s="100">
        <v>8</v>
      </c>
      <c r="C61" s="101">
        <v>45896</v>
      </c>
      <c r="D61" s="101" t="str">
        <f t="shared" si="0"/>
        <v>PPS00007209Сирдарё_Фотима опа</v>
      </c>
      <c r="E61" s="99" t="s">
        <v>380</v>
      </c>
      <c r="F61" s="102" t="s">
        <v>280</v>
      </c>
      <c r="G61" s="102" t="s">
        <v>281</v>
      </c>
      <c r="H61" s="99" t="s">
        <v>255</v>
      </c>
      <c r="I61" s="102" t="s">
        <v>25</v>
      </c>
      <c r="J61" s="102" t="s">
        <v>21</v>
      </c>
      <c r="K61" s="103">
        <v>100</v>
      </c>
      <c r="L61" s="104">
        <v>36955.08</v>
      </c>
      <c r="M61" s="104">
        <v>3695508</v>
      </c>
      <c r="N61" s="39">
        <f t="shared" si="1"/>
        <v>1500000</v>
      </c>
      <c r="O61" s="107">
        <f>+M61*$O$1</f>
        <v>665191.43999999994</v>
      </c>
      <c r="P61" s="108">
        <f>+N61+O61</f>
        <v>2165191.44</v>
      </c>
      <c r="Q61" s="39">
        <v>100</v>
      </c>
      <c r="R61" s="39">
        <f t="shared" si="2"/>
        <v>3695508</v>
      </c>
      <c r="S61" s="42">
        <f t="shared" si="3"/>
        <v>0</v>
      </c>
    </row>
    <row r="62" spans="1:19">
      <c r="A62" s="99">
        <v>2025</v>
      </c>
      <c r="B62" s="100">
        <v>8</v>
      </c>
      <c r="C62" s="101">
        <v>45896</v>
      </c>
      <c r="D62" s="101" t="str">
        <f t="shared" si="0"/>
        <v>PPS00007210Тошкент_Мохира опа</v>
      </c>
      <c r="E62" s="99" t="s">
        <v>381</v>
      </c>
      <c r="F62" s="102" t="s">
        <v>304</v>
      </c>
      <c r="G62" s="102" t="s">
        <v>305</v>
      </c>
      <c r="H62" s="99" t="s">
        <v>255</v>
      </c>
      <c r="I62" s="102" t="s">
        <v>382</v>
      </c>
      <c r="J62" s="102" t="s">
        <v>21</v>
      </c>
      <c r="K62" s="103">
        <v>20</v>
      </c>
      <c r="L62" s="104">
        <v>36955.08</v>
      </c>
      <c r="M62" s="104">
        <v>739101.6</v>
      </c>
      <c r="N62" s="39">
        <f t="shared" si="1"/>
        <v>300000</v>
      </c>
      <c r="O62" s="107">
        <f>+M62*$O$1</f>
        <v>133038.288</v>
      </c>
      <c r="P62" s="108">
        <f>+N62+O62</f>
        <v>433038.288</v>
      </c>
      <c r="Q62" s="39">
        <v>100</v>
      </c>
      <c r="R62" s="39">
        <f t="shared" si="2"/>
        <v>739101.6</v>
      </c>
      <c r="S62" s="42">
        <f t="shared" si="3"/>
        <v>0</v>
      </c>
    </row>
    <row r="63" spans="1:19">
      <c r="A63" s="99">
        <v>2025</v>
      </c>
      <c r="B63" s="100">
        <v>8</v>
      </c>
      <c r="C63" s="101">
        <v>45898</v>
      </c>
      <c r="D63" s="101" t="str">
        <f t="shared" si="0"/>
        <v>PPS00007295Бухоро_Рустам ака</v>
      </c>
      <c r="E63" s="99" t="s">
        <v>383</v>
      </c>
      <c r="F63" s="102" t="s">
        <v>258</v>
      </c>
      <c r="G63" s="102" t="s">
        <v>259</v>
      </c>
      <c r="H63" s="99" t="s">
        <v>255</v>
      </c>
      <c r="I63" s="102" t="s">
        <v>384</v>
      </c>
      <c r="J63" s="102" t="s">
        <v>21</v>
      </c>
      <c r="K63" s="103">
        <v>20</v>
      </c>
      <c r="L63" s="104">
        <v>36955.08</v>
      </c>
      <c r="M63" s="104">
        <v>739101.6</v>
      </c>
      <c r="N63" s="39">
        <f t="shared" si="1"/>
        <v>300000</v>
      </c>
      <c r="O63" s="107">
        <f>+M63*$O$1</f>
        <v>133038.288</v>
      </c>
      <c r="P63" s="108">
        <f>+N63+O63</f>
        <v>433038.288</v>
      </c>
      <c r="Q63" s="39">
        <v>100</v>
      </c>
      <c r="R63" s="39">
        <f t="shared" si="2"/>
        <v>739101.6</v>
      </c>
      <c r="S63" s="42">
        <f t="shared" si="3"/>
        <v>0</v>
      </c>
    </row>
    <row r="64" spans="1:19">
      <c r="A64" s="99">
        <v>2025</v>
      </c>
      <c r="B64" s="100">
        <v>8</v>
      </c>
      <c r="C64" s="101">
        <v>45898</v>
      </c>
      <c r="D64" s="101" t="str">
        <f t="shared" si="0"/>
        <v>PPS00007298Сирдарё_Фотима опа</v>
      </c>
      <c r="E64" s="99" t="s">
        <v>385</v>
      </c>
      <c r="F64" s="102" t="s">
        <v>284</v>
      </c>
      <c r="G64" s="102" t="s">
        <v>281</v>
      </c>
      <c r="H64" s="99" t="s">
        <v>255</v>
      </c>
      <c r="I64" s="102" t="s">
        <v>314</v>
      </c>
      <c r="J64" s="102" t="s">
        <v>21</v>
      </c>
      <c r="K64" s="103">
        <v>30</v>
      </c>
      <c r="L64" s="104">
        <v>36955.08</v>
      </c>
      <c r="M64" s="104">
        <v>1108652.3999999999</v>
      </c>
      <c r="N64" s="39">
        <f t="shared" si="1"/>
        <v>450000</v>
      </c>
      <c r="O64" s="107">
        <f>+M64*$O$1</f>
        <v>199557.43199999997</v>
      </c>
      <c r="P64" s="108">
        <f>+N64+O64</f>
        <v>649557.43200000003</v>
      </c>
      <c r="Q64" s="39">
        <v>100</v>
      </c>
      <c r="R64" s="39">
        <f t="shared" si="2"/>
        <v>1108652.3999999999</v>
      </c>
      <c r="S64" s="42">
        <f t="shared" si="3"/>
        <v>0</v>
      </c>
    </row>
    <row r="65" spans="1:19">
      <c r="A65" s="99">
        <v>2025</v>
      </c>
      <c r="B65" s="100">
        <v>9</v>
      </c>
      <c r="C65" s="101">
        <v>45904</v>
      </c>
      <c r="D65" s="101" t="str">
        <f t="shared" si="0"/>
        <v>PPS00007393Сирдарё_Фотима опа</v>
      </c>
      <c r="E65" s="99" t="s">
        <v>386</v>
      </c>
      <c r="F65" s="102" t="s">
        <v>284</v>
      </c>
      <c r="G65" s="102" t="s">
        <v>281</v>
      </c>
      <c r="H65" s="99" t="s">
        <v>255</v>
      </c>
      <c r="I65" s="102" t="s">
        <v>294</v>
      </c>
      <c r="J65" s="102" t="s">
        <v>21</v>
      </c>
      <c r="K65" s="103">
        <v>30</v>
      </c>
      <c r="L65" s="104">
        <v>36955.08</v>
      </c>
      <c r="M65" s="104">
        <v>1108652.3999999999</v>
      </c>
      <c r="N65" s="39">
        <f t="shared" si="1"/>
        <v>450000</v>
      </c>
      <c r="O65" s="107">
        <f>+M65*$O$1</f>
        <v>199557.43199999997</v>
      </c>
      <c r="P65" s="108">
        <f>+N65+O65</f>
        <v>649557.43200000003</v>
      </c>
      <c r="Q65" s="39">
        <v>100</v>
      </c>
      <c r="R65" s="39">
        <f t="shared" si="2"/>
        <v>1108652.3999999999</v>
      </c>
      <c r="S65" s="42">
        <f t="shared" si="3"/>
        <v>0</v>
      </c>
    </row>
    <row r="66" spans="1:19">
      <c r="A66" s="99">
        <v>2025</v>
      </c>
      <c r="B66" s="100">
        <v>9</v>
      </c>
      <c r="C66" s="101">
        <v>45904</v>
      </c>
      <c r="D66" s="101" t="str">
        <f t="shared" si="0"/>
        <v>PPS00007411Навоий_Дильноза опа</v>
      </c>
      <c r="E66" s="99" t="s">
        <v>387</v>
      </c>
      <c r="F66" s="102" t="s">
        <v>332</v>
      </c>
      <c r="G66" s="102" t="s">
        <v>333</v>
      </c>
      <c r="H66" s="99" t="s">
        <v>255</v>
      </c>
      <c r="I66" s="102" t="s">
        <v>117</v>
      </c>
      <c r="J66" s="102" t="s">
        <v>21</v>
      </c>
      <c r="K66" s="103">
        <v>50</v>
      </c>
      <c r="L66" s="104">
        <v>36955.08</v>
      </c>
      <c r="M66" s="104">
        <v>1847754</v>
      </c>
      <c r="N66" s="39">
        <f t="shared" si="1"/>
        <v>750000</v>
      </c>
      <c r="O66" s="107">
        <f>+M66*$O$1</f>
        <v>332595.71999999997</v>
      </c>
      <c r="P66" s="108">
        <f>+N66+O66</f>
        <v>1082595.72</v>
      </c>
      <c r="Q66" s="39">
        <v>100</v>
      </c>
      <c r="R66" s="39">
        <f t="shared" si="2"/>
        <v>1847754</v>
      </c>
      <c r="S66" s="42">
        <f t="shared" si="3"/>
        <v>0</v>
      </c>
    </row>
    <row r="67" spans="1:19">
      <c r="A67" s="99">
        <v>2025</v>
      </c>
      <c r="B67" s="100">
        <v>9</v>
      </c>
      <c r="C67" s="101">
        <v>45909</v>
      </c>
      <c r="D67" s="101" t="str">
        <f t="shared" si="0"/>
        <v>PPS00007521Сирдарё_Фотима опа</v>
      </c>
      <c r="E67" s="99" t="s">
        <v>388</v>
      </c>
      <c r="F67" s="102" t="s">
        <v>284</v>
      </c>
      <c r="G67" s="102" t="s">
        <v>281</v>
      </c>
      <c r="H67" s="99" t="s">
        <v>255</v>
      </c>
      <c r="I67" s="102" t="s">
        <v>317</v>
      </c>
      <c r="J67" s="102" t="s">
        <v>21</v>
      </c>
      <c r="K67" s="103">
        <v>50</v>
      </c>
      <c r="L67" s="104">
        <v>36955.08</v>
      </c>
      <c r="M67" s="104">
        <v>1847754</v>
      </c>
      <c r="N67" s="39">
        <f t="shared" si="1"/>
        <v>750000</v>
      </c>
      <c r="O67" s="107">
        <f>+M67*$O$1</f>
        <v>332595.71999999997</v>
      </c>
      <c r="P67" s="108">
        <f>+N67+O67</f>
        <v>1082595.72</v>
      </c>
      <c r="Q67" s="39">
        <v>100</v>
      </c>
      <c r="R67" s="39">
        <f t="shared" si="2"/>
        <v>1847754</v>
      </c>
      <c r="S67" s="42">
        <f t="shared" si="3"/>
        <v>0</v>
      </c>
    </row>
    <row r="68" spans="1:19">
      <c r="A68" s="99">
        <v>2025</v>
      </c>
      <c r="B68" s="100">
        <v>9</v>
      </c>
      <c r="C68" s="101">
        <v>45909</v>
      </c>
      <c r="D68" s="101" t="str">
        <f t="shared" ref="D68:D131" si="4">+E68&amp;G68</f>
        <v>PPS00007563Тошкент_Мохира опа</v>
      </c>
      <c r="E68" s="99" t="s">
        <v>389</v>
      </c>
      <c r="F68" s="102" t="s">
        <v>311</v>
      </c>
      <c r="G68" s="102" t="s">
        <v>305</v>
      </c>
      <c r="H68" s="99" t="s">
        <v>255</v>
      </c>
      <c r="I68" s="102" t="s">
        <v>390</v>
      </c>
      <c r="J68" s="102" t="s">
        <v>21</v>
      </c>
      <c r="K68" s="103">
        <v>200</v>
      </c>
      <c r="L68" s="104">
        <v>36955.08</v>
      </c>
      <c r="M68" s="104">
        <v>7391016</v>
      </c>
      <c r="N68" s="39">
        <f t="shared" ref="N68:N110" si="5">+K68*15000</f>
        <v>3000000</v>
      </c>
      <c r="O68" s="107">
        <f>+M68*$O$1</f>
        <v>1330382.8799999999</v>
      </c>
      <c r="P68" s="108">
        <f>+N68+O68</f>
        <v>4330382.88</v>
      </c>
      <c r="Q68" s="39">
        <v>100</v>
      </c>
      <c r="R68" s="39">
        <f t="shared" ref="R68:R131" si="6">+M68*Q68%</f>
        <v>7391016</v>
      </c>
      <c r="S68" s="42">
        <f t="shared" ref="S68:S131" si="7">M68-R68</f>
        <v>0</v>
      </c>
    </row>
    <row r="69" spans="1:19">
      <c r="A69" s="99">
        <v>2025</v>
      </c>
      <c r="B69" s="100">
        <v>9</v>
      </c>
      <c r="C69" s="101">
        <v>45909</v>
      </c>
      <c r="D69" s="101" t="str">
        <f t="shared" si="4"/>
        <v>PPS00007576Тошкент_Мохира опа</v>
      </c>
      <c r="E69" s="99" t="s">
        <v>391</v>
      </c>
      <c r="F69" s="102" t="s">
        <v>304</v>
      </c>
      <c r="G69" s="102" t="s">
        <v>305</v>
      </c>
      <c r="H69" s="99" t="s">
        <v>255</v>
      </c>
      <c r="I69" s="102" t="s">
        <v>392</v>
      </c>
      <c r="J69" s="102" t="s">
        <v>21</v>
      </c>
      <c r="K69" s="103">
        <v>48</v>
      </c>
      <c r="L69" s="104">
        <v>36955.08</v>
      </c>
      <c r="M69" s="104">
        <v>1773843.84</v>
      </c>
      <c r="N69" s="39">
        <f t="shared" si="5"/>
        <v>720000</v>
      </c>
      <c r="O69" s="107">
        <f>+M69*$O$1</f>
        <v>319291.89120000001</v>
      </c>
      <c r="P69" s="108">
        <f>+N69+O69</f>
        <v>1039291.8912</v>
      </c>
      <c r="Q69" s="39">
        <v>100</v>
      </c>
      <c r="R69" s="39">
        <f t="shared" si="6"/>
        <v>1773843.84</v>
      </c>
      <c r="S69" s="42">
        <f t="shared" si="7"/>
        <v>0</v>
      </c>
    </row>
    <row r="70" spans="1:19">
      <c r="A70" s="99">
        <v>2025</v>
      </c>
      <c r="B70" s="100">
        <v>9</v>
      </c>
      <c r="C70" s="101">
        <v>45911</v>
      </c>
      <c r="D70" s="101" t="str">
        <f t="shared" si="4"/>
        <v>PPS00007619Жиззах_Саодат опа</v>
      </c>
      <c r="E70" s="99" t="s">
        <v>393</v>
      </c>
      <c r="F70" s="102" t="s">
        <v>336</v>
      </c>
      <c r="G70" s="102" t="s">
        <v>337</v>
      </c>
      <c r="H70" s="99" t="s">
        <v>255</v>
      </c>
      <c r="I70" s="102" t="s">
        <v>346</v>
      </c>
      <c r="J70" s="102" t="s">
        <v>21</v>
      </c>
      <c r="K70" s="103">
        <v>14</v>
      </c>
      <c r="L70" s="104">
        <v>36955.08</v>
      </c>
      <c r="M70" s="104">
        <v>517371.12</v>
      </c>
      <c r="N70" s="39">
        <f t="shared" si="5"/>
        <v>210000</v>
      </c>
      <c r="O70" s="107">
        <f>+M70*$O$1</f>
        <v>93126.801599999992</v>
      </c>
      <c r="P70" s="108">
        <f>+N70+O70</f>
        <v>303126.80160000001</v>
      </c>
      <c r="Q70" s="39">
        <v>100</v>
      </c>
      <c r="R70" s="39">
        <f t="shared" si="6"/>
        <v>517371.12</v>
      </c>
      <c r="S70" s="42">
        <f t="shared" si="7"/>
        <v>0</v>
      </c>
    </row>
    <row r="71" spans="1:19">
      <c r="A71" s="99">
        <v>2025</v>
      </c>
      <c r="B71" s="100">
        <v>9</v>
      </c>
      <c r="C71" s="101">
        <v>45911</v>
      </c>
      <c r="D71" s="101" t="str">
        <f t="shared" si="4"/>
        <v>PPS00007639Жиззах_Саодат опа</v>
      </c>
      <c r="E71" s="99" t="s">
        <v>394</v>
      </c>
      <c r="F71" s="102" t="s">
        <v>336</v>
      </c>
      <c r="G71" s="102" t="s">
        <v>337</v>
      </c>
      <c r="H71" s="99" t="s">
        <v>255</v>
      </c>
      <c r="I71" s="102" t="s">
        <v>378</v>
      </c>
      <c r="J71" s="102" t="s">
        <v>21</v>
      </c>
      <c r="K71" s="103">
        <v>20</v>
      </c>
      <c r="L71" s="104">
        <v>36955.08</v>
      </c>
      <c r="M71" s="104">
        <v>739101.6</v>
      </c>
      <c r="N71" s="39">
        <f t="shared" si="5"/>
        <v>300000</v>
      </c>
      <c r="O71" s="107">
        <f>+M71*$O$1</f>
        <v>133038.288</v>
      </c>
      <c r="P71" s="108">
        <f>+N71+O71</f>
        <v>433038.288</v>
      </c>
      <c r="Q71" s="39">
        <v>100</v>
      </c>
      <c r="R71" s="39">
        <f t="shared" si="6"/>
        <v>739101.6</v>
      </c>
      <c r="S71" s="42">
        <f t="shared" si="7"/>
        <v>0</v>
      </c>
    </row>
    <row r="72" spans="1:19">
      <c r="A72" s="99">
        <v>2025</v>
      </c>
      <c r="B72" s="100">
        <v>9</v>
      </c>
      <c r="C72" s="101">
        <v>45912</v>
      </c>
      <c r="D72" s="101" t="str">
        <f t="shared" si="4"/>
        <v>PPS00007648Сурхондарьё_Сарвар ака</v>
      </c>
      <c r="E72" s="99" t="s">
        <v>395</v>
      </c>
      <c r="F72" s="102" t="s">
        <v>298</v>
      </c>
      <c r="G72" s="102" t="s">
        <v>253</v>
      </c>
      <c r="H72" s="99" t="s">
        <v>255</v>
      </c>
      <c r="I72" s="102" t="s">
        <v>396</v>
      </c>
      <c r="J72" s="102" t="s">
        <v>21</v>
      </c>
      <c r="K72" s="103">
        <v>5</v>
      </c>
      <c r="L72" s="104">
        <v>36955.08</v>
      </c>
      <c r="M72" s="104">
        <v>184775.4</v>
      </c>
      <c r="N72" s="39">
        <f t="shared" si="5"/>
        <v>75000</v>
      </c>
      <c r="O72" s="107">
        <f>+M72*$O$1</f>
        <v>33259.572</v>
      </c>
      <c r="P72" s="108">
        <f>+N72+O72</f>
        <v>108259.572</v>
      </c>
      <c r="Q72" s="39">
        <v>100</v>
      </c>
      <c r="R72" s="39">
        <f t="shared" si="6"/>
        <v>184775.4</v>
      </c>
      <c r="S72" s="42">
        <f t="shared" si="7"/>
        <v>0</v>
      </c>
    </row>
    <row r="73" spans="1:19">
      <c r="A73" s="99">
        <v>2025</v>
      </c>
      <c r="B73" s="100">
        <v>9</v>
      </c>
      <c r="C73" s="101">
        <v>45915</v>
      </c>
      <c r="D73" s="101" t="str">
        <f t="shared" si="4"/>
        <v>PPS00007688Тошкент_Шохжахон ака</v>
      </c>
      <c r="E73" s="99" t="s">
        <v>399</v>
      </c>
      <c r="F73" s="102" t="s">
        <v>400</v>
      </c>
      <c r="G73" s="102" t="s">
        <v>401</v>
      </c>
      <c r="H73" s="99" t="s">
        <v>255</v>
      </c>
      <c r="I73" s="102" t="s">
        <v>402</v>
      </c>
      <c r="J73" s="102" t="s">
        <v>21</v>
      </c>
      <c r="K73" s="103">
        <v>50</v>
      </c>
      <c r="L73" s="104">
        <v>36955.08</v>
      </c>
      <c r="M73" s="104">
        <v>1847754</v>
      </c>
      <c r="N73" s="39">
        <f t="shared" si="5"/>
        <v>750000</v>
      </c>
      <c r="O73" s="107">
        <f>+M73*$O$1</f>
        <v>332595.71999999997</v>
      </c>
      <c r="P73" s="108">
        <f>+N73+O73</f>
        <v>1082595.72</v>
      </c>
      <c r="Q73" s="39">
        <v>100</v>
      </c>
      <c r="R73" s="39">
        <f t="shared" si="6"/>
        <v>1847754</v>
      </c>
      <c r="S73" s="42">
        <f t="shared" si="7"/>
        <v>0</v>
      </c>
    </row>
    <row r="74" spans="1:19">
      <c r="A74" s="99">
        <v>2025</v>
      </c>
      <c r="B74" s="100">
        <v>9</v>
      </c>
      <c r="C74" s="101">
        <v>45918</v>
      </c>
      <c r="D74" s="101" t="str">
        <f t="shared" si="4"/>
        <v>PPS00007799Сурхондарьё_Сарвар ака</v>
      </c>
      <c r="E74" s="99" t="s">
        <v>403</v>
      </c>
      <c r="F74" s="102" t="s">
        <v>298</v>
      </c>
      <c r="G74" s="102" t="s">
        <v>253</v>
      </c>
      <c r="H74" s="99" t="s">
        <v>255</v>
      </c>
      <c r="I74" s="102" t="s">
        <v>404</v>
      </c>
      <c r="J74" s="102" t="s">
        <v>21</v>
      </c>
      <c r="K74" s="103">
        <v>30</v>
      </c>
      <c r="L74" s="104">
        <v>40621</v>
      </c>
      <c r="M74" s="104">
        <v>1218630</v>
      </c>
      <c r="N74" s="39">
        <f t="shared" si="5"/>
        <v>450000</v>
      </c>
      <c r="O74" s="107">
        <f>+M74*$O$1</f>
        <v>219353.4</v>
      </c>
      <c r="P74" s="108">
        <f>+N74+O74</f>
        <v>669353.4</v>
      </c>
      <c r="Q74" s="39">
        <v>100</v>
      </c>
      <c r="R74" s="39">
        <f t="shared" si="6"/>
        <v>1218630</v>
      </c>
      <c r="S74" s="42">
        <f t="shared" si="7"/>
        <v>0</v>
      </c>
    </row>
    <row r="75" spans="1:19">
      <c r="A75" s="99">
        <v>2025</v>
      </c>
      <c r="B75" s="100">
        <v>9</v>
      </c>
      <c r="C75" s="101">
        <v>45918</v>
      </c>
      <c r="D75" s="101" t="str">
        <f t="shared" si="4"/>
        <v>PPS00007802Навоий_Дильноза опа</v>
      </c>
      <c r="E75" s="99" t="s">
        <v>405</v>
      </c>
      <c r="F75" s="102" t="s">
        <v>332</v>
      </c>
      <c r="G75" s="102" t="s">
        <v>333</v>
      </c>
      <c r="H75" s="99" t="s">
        <v>255</v>
      </c>
      <c r="I75" s="102" t="s">
        <v>406</v>
      </c>
      <c r="J75" s="102" t="s">
        <v>21</v>
      </c>
      <c r="K75" s="103">
        <v>60</v>
      </c>
      <c r="L75" s="104">
        <v>40621</v>
      </c>
      <c r="M75" s="104">
        <v>2437260</v>
      </c>
      <c r="N75" s="39">
        <f t="shared" si="5"/>
        <v>900000</v>
      </c>
      <c r="O75" s="107">
        <f>+M75*$O$1</f>
        <v>438706.8</v>
      </c>
      <c r="P75" s="108">
        <f>+N75+O75</f>
        <v>1338706.8</v>
      </c>
      <c r="Q75" s="39">
        <v>100</v>
      </c>
      <c r="R75" s="39">
        <f t="shared" si="6"/>
        <v>2437260</v>
      </c>
      <c r="S75" s="42">
        <f t="shared" si="7"/>
        <v>0</v>
      </c>
    </row>
    <row r="76" spans="1:19">
      <c r="A76" s="99">
        <v>2025</v>
      </c>
      <c r="B76" s="100">
        <v>9</v>
      </c>
      <c r="C76" s="101">
        <v>45918</v>
      </c>
      <c r="D76" s="101" t="str">
        <f t="shared" si="4"/>
        <v>PPS00007807Навоий_Дильноза опа</v>
      </c>
      <c r="E76" s="99" t="s">
        <v>407</v>
      </c>
      <c r="F76" s="102" t="s">
        <v>332</v>
      </c>
      <c r="G76" s="102" t="s">
        <v>333</v>
      </c>
      <c r="H76" s="99" t="s">
        <v>255</v>
      </c>
      <c r="I76" s="102" t="s">
        <v>361</v>
      </c>
      <c r="J76" s="102" t="s">
        <v>21</v>
      </c>
      <c r="K76" s="103">
        <v>30</v>
      </c>
      <c r="L76" s="104">
        <v>36955.08</v>
      </c>
      <c r="M76" s="104">
        <v>1108652.3999999999</v>
      </c>
      <c r="N76" s="39">
        <f t="shared" si="5"/>
        <v>450000</v>
      </c>
      <c r="O76" s="107">
        <f>+M76*$O$1</f>
        <v>199557.43199999997</v>
      </c>
      <c r="P76" s="108">
        <f>+N76+O76</f>
        <v>649557.43200000003</v>
      </c>
      <c r="Q76" s="39">
        <v>100</v>
      </c>
      <c r="R76" s="39">
        <f t="shared" si="6"/>
        <v>1108652.3999999999</v>
      </c>
      <c r="S76" s="42">
        <f t="shared" si="7"/>
        <v>0</v>
      </c>
    </row>
    <row r="77" spans="1:19">
      <c r="A77" s="99">
        <v>2025</v>
      </c>
      <c r="B77" s="100">
        <v>9</v>
      </c>
      <c r="C77" s="101">
        <v>45918</v>
      </c>
      <c r="D77" s="101" t="str">
        <f t="shared" si="4"/>
        <v>PPS00007807Навоий_Дильноза опа</v>
      </c>
      <c r="E77" s="99" t="s">
        <v>407</v>
      </c>
      <c r="F77" s="102" t="s">
        <v>332</v>
      </c>
      <c r="G77" s="102" t="s">
        <v>333</v>
      </c>
      <c r="H77" s="99" t="s">
        <v>255</v>
      </c>
      <c r="I77" s="102" t="s">
        <v>361</v>
      </c>
      <c r="J77" s="102" t="s">
        <v>21</v>
      </c>
      <c r="K77" s="103">
        <v>10</v>
      </c>
      <c r="L77" s="104">
        <v>36955.08</v>
      </c>
      <c r="M77" s="104">
        <v>369550.8</v>
      </c>
      <c r="N77" s="39">
        <f t="shared" si="5"/>
        <v>150000</v>
      </c>
      <c r="O77" s="107">
        <f>+M77*$O$1</f>
        <v>66519.144</v>
      </c>
      <c r="P77" s="108">
        <f>+N77+O77</f>
        <v>216519.144</v>
      </c>
      <c r="Q77" s="39">
        <v>100</v>
      </c>
      <c r="R77" s="39">
        <f t="shared" si="6"/>
        <v>369550.8</v>
      </c>
      <c r="S77" s="42">
        <f t="shared" si="7"/>
        <v>0</v>
      </c>
    </row>
    <row r="78" spans="1:19">
      <c r="A78" s="99">
        <v>2025</v>
      </c>
      <c r="B78" s="100">
        <v>9</v>
      </c>
      <c r="C78" s="101">
        <v>45918</v>
      </c>
      <c r="D78" s="101" t="str">
        <f t="shared" si="4"/>
        <v>PPS00007818Сирдарё_Фотима опа</v>
      </c>
      <c r="E78" s="99" t="s">
        <v>408</v>
      </c>
      <c r="F78" s="102" t="s">
        <v>284</v>
      </c>
      <c r="G78" s="102" t="s">
        <v>281</v>
      </c>
      <c r="H78" s="99" t="s">
        <v>255</v>
      </c>
      <c r="I78" s="102" t="s">
        <v>292</v>
      </c>
      <c r="J78" s="102" t="s">
        <v>21</v>
      </c>
      <c r="K78" s="103">
        <v>30</v>
      </c>
      <c r="L78" s="104">
        <v>36955.08</v>
      </c>
      <c r="M78" s="104">
        <v>1108652.3999999999</v>
      </c>
      <c r="N78" s="39">
        <f t="shared" si="5"/>
        <v>450000</v>
      </c>
      <c r="O78" s="107">
        <f>+M78*$O$1</f>
        <v>199557.43199999997</v>
      </c>
      <c r="P78" s="108">
        <f>+N78+O78</f>
        <v>649557.43200000003</v>
      </c>
      <c r="Q78" s="39">
        <v>100</v>
      </c>
      <c r="R78" s="39">
        <f t="shared" si="6"/>
        <v>1108652.3999999999</v>
      </c>
      <c r="S78" s="42">
        <f t="shared" si="7"/>
        <v>0</v>
      </c>
    </row>
    <row r="79" spans="1:19">
      <c r="A79" s="99">
        <v>2025</v>
      </c>
      <c r="B79" s="100">
        <v>9</v>
      </c>
      <c r="C79" s="101">
        <v>45922</v>
      </c>
      <c r="D79" s="101" t="str">
        <f t="shared" si="4"/>
        <v>PPS00007918Навоий_Дильноза опа</v>
      </c>
      <c r="E79" s="99" t="s">
        <v>409</v>
      </c>
      <c r="F79" s="102" t="s">
        <v>332</v>
      </c>
      <c r="G79" s="102" t="s">
        <v>333</v>
      </c>
      <c r="H79" s="99" t="s">
        <v>255</v>
      </c>
      <c r="I79" s="102" t="s">
        <v>117</v>
      </c>
      <c r="J79" s="102" t="s">
        <v>21</v>
      </c>
      <c r="K79" s="103">
        <v>120</v>
      </c>
      <c r="L79" s="104">
        <v>40621</v>
      </c>
      <c r="M79" s="104">
        <v>4874520</v>
      </c>
      <c r="N79" s="39">
        <f t="shared" si="5"/>
        <v>1800000</v>
      </c>
      <c r="O79" s="107">
        <f>+M79*$O$1</f>
        <v>877413.6</v>
      </c>
      <c r="P79" s="108">
        <f>+N79+O79</f>
        <v>2677413.6</v>
      </c>
      <c r="Q79" s="39">
        <v>100</v>
      </c>
      <c r="R79" s="39">
        <f t="shared" si="6"/>
        <v>4874520</v>
      </c>
      <c r="S79" s="42">
        <f t="shared" si="7"/>
        <v>0</v>
      </c>
    </row>
    <row r="80" spans="1:19">
      <c r="A80" s="99">
        <v>2025</v>
      </c>
      <c r="B80" s="100">
        <v>9</v>
      </c>
      <c r="C80" s="101">
        <v>45923</v>
      </c>
      <c r="D80" s="101" t="str">
        <f t="shared" si="4"/>
        <v>PPS00007938Сирдарё_Фотима опа</v>
      </c>
      <c r="E80" s="99" t="s">
        <v>410</v>
      </c>
      <c r="F80" s="102" t="s">
        <v>280</v>
      </c>
      <c r="G80" s="102" t="s">
        <v>281</v>
      </c>
      <c r="H80" s="99" t="s">
        <v>255</v>
      </c>
      <c r="I80" s="102" t="s">
        <v>320</v>
      </c>
      <c r="J80" s="102" t="s">
        <v>21</v>
      </c>
      <c r="K80" s="103">
        <v>14</v>
      </c>
      <c r="L80" s="104">
        <v>36955.08</v>
      </c>
      <c r="M80" s="104">
        <v>517371.12</v>
      </c>
      <c r="N80" s="39">
        <f t="shared" si="5"/>
        <v>210000</v>
      </c>
      <c r="O80" s="107">
        <f>+M80*$O$1</f>
        <v>93126.801599999992</v>
      </c>
      <c r="P80" s="108">
        <f>+N80+O80</f>
        <v>303126.80160000001</v>
      </c>
      <c r="Q80" s="39">
        <v>100</v>
      </c>
      <c r="R80" s="39">
        <f t="shared" si="6"/>
        <v>517371.12</v>
      </c>
      <c r="S80" s="42">
        <f t="shared" si="7"/>
        <v>0</v>
      </c>
    </row>
    <row r="81" spans="1:19">
      <c r="A81" s="99">
        <v>2025</v>
      </c>
      <c r="B81" s="100">
        <v>9</v>
      </c>
      <c r="C81" s="101">
        <v>45923</v>
      </c>
      <c r="D81" s="101" t="str">
        <f t="shared" si="4"/>
        <v>PPS00007938Сирдарё_Фотима опа</v>
      </c>
      <c r="E81" s="99" t="s">
        <v>410</v>
      </c>
      <c r="F81" s="102" t="s">
        <v>280</v>
      </c>
      <c r="G81" s="102" t="s">
        <v>281</v>
      </c>
      <c r="H81" s="99" t="s">
        <v>255</v>
      </c>
      <c r="I81" s="102" t="s">
        <v>320</v>
      </c>
      <c r="J81" s="102" t="s">
        <v>21</v>
      </c>
      <c r="K81" s="103">
        <v>44</v>
      </c>
      <c r="L81" s="104">
        <v>36955.08</v>
      </c>
      <c r="M81" s="104">
        <v>1626023.52</v>
      </c>
      <c r="N81" s="39">
        <f t="shared" si="5"/>
        <v>660000</v>
      </c>
      <c r="O81" s="107">
        <f>+M81*$O$1</f>
        <v>292684.23359999998</v>
      </c>
      <c r="P81" s="108">
        <f>+N81+O81</f>
        <v>952684.23359999992</v>
      </c>
      <c r="Q81" s="39">
        <v>100</v>
      </c>
      <c r="R81" s="39">
        <f t="shared" si="6"/>
        <v>1626023.52</v>
      </c>
      <c r="S81" s="42">
        <f t="shared" si="7"/>
        <v>0</v>
      </c>
    </row>
    <row r="82" spans="1:19">
      <c r="A82" s="99">
        <v>2025</v>
      </c>
      <c r="B82" s="100">
        <v>9</v>
      </c>
      <c r="C82" s="101">
        <v>45924</v>
      </c>
      <c r="D82" s="101" t="str">
        <f t="shared" si="4"/>
        <v>PPS00008019Тошкент_Мохира опа</v>
      </c>
      <c r="E82" s="99" t="s">
        <v>413</v>
      </c>
      <c r="F82" s="102" t="s">
        <v>414</v>
      </c>
      <c r="G82" s="102" t="s">
        <v>305</v>
      </c>
      <c r="H82" s="99" t="s">
        <v>255</v>
      </c>
      <c r="I82" s="102" t="s">
        <v>415</v>
      </c>
      <c r="J82" s="102" t="s">
        <v>21</v>
      </c>
      <c r="K82" s="103">
        <v>100</v>
      </c>
      <c r="L82" s="104">
        <v>40621</v>
      </c>
      <c r="M82" s="104">
        <v>4062100</v>
      </c>
      <c r="N82" s="39">
        <f t="shared" si="5"/>
        <v>1500000</v>
      </c>
      <c r="O82" s="107">
        <f>+M82*$O$1</f>
        <v>731178</v>
      </c>
      <c r="P82" s="108">
        <f>+N82+O82</f>
        <v>2231178</v>
      </c>
      <c r="Q82" s="39">
        <v>100</v>
      </c>
      <c r="R82" s="39">
        <f t="shared" si="6"/>
        <v>4062100</v>
      </c>
      <c r="S82" s="42">
        <f t="shared" si="7"/>
        <v>0</v>
      </c>
    </row>
    <row r="83" spans="1:19">
      <c r="A83" s="99">
        <v>2025</v>
      </c>
      <c r="B83" s="100">
        <v>9</v>
      </c>
      <c r="C83" s="101">
        <v>45925</v>
      </c>
      <c r="D83" s="101" t="str">
        <f t="shared" si="4"/>
        <v>PPS00008024Самарканд_Хуршед ака</v>
      </c>
      <c r="E83" s="99" t="s">
        <v>416</v>
      </c>
      <c r="F83" s="102" t="s">
        <v>271</v>
      </c>
      <c r="G83" s="102" t="s">
        <v>272</v>
      </c>
      <c r="H83" s="99" t="s">
        <v>255</v>
      </c>
      <c r="I83" s="102" t="s">
        <v>417</v>
      </c>
      <c r="J83" s="102" t="s">
        <v>21</v>
      </c>
      <c r="K83" s="103">
        <v>240</v>
      </c>
      <c r="L83" s="104">
        <v>40621</v>
      </c>
      <c r="M83" s="104">
        <v>9749040</v>
      </c>
      <c r="N83" s="39">
        <f t="shared" si="5"/>
        <v>3600000</v>
      </c>
      <c r="O83" s="107">
        <f>+M83*$O$1</f>
        <v>1754827.2</v>
      </c>
      <c r="P83" s="108">
        <f>+N83+O83</f>
        <v>5354827.2</v>
      </c>
      <c r="Q83" s="39">
        <v>100</v>
      </c>
      <c r="R83" s="39">
        <f t="shared" si="6"/>
        <v>9749040</v>
      </c>
      <c r="S83" s="42">
        <f t="shared" si="7"/>
        <v>0</v>
      </c>
    </row>
    <row r="84" spans="1:19">
      <c r="A84" s="99">
        <v>2025</v>
      </c>
      <c r="B84" s="100">
        <v>9</v>
      </c>
      <c r="C84" s="101">
        <v>45925</v>
      </c>
      <c r="D84" s="101" t="str">
        <f t="shared" si="4"/>
        <v>PPS00008032Жиззах_Саодат опа</v>
      </c>
      <c r="E84" s="99" t="s">
        <v>418</v>
      </c>
      <c r="F84" s="102" t="s">
        <v>336</v>
      </c>
      <c r="G84" s="102" t="s">
        <v>337</v>
      </c>
      <c r="H84" s="99" t="s">
        <v>255</v>
      </c>
      <c r="I84" s="102" t="s">
        <v>346</v>
      </c>
      <c r="J84" s="102" t="s">
        <v>21</v>
      </c>
      <c r="K84" s="103">
        <v>40</v>
      </c>
      <c r="L84" s="104">
        <v>36955.08</v>
      </c>
      <c r="M84" s="104">
        <v>1478203.2</v>
      </c>
      <c r="N84" s="39">
        <f t="shared" si="5"/>
        <v>600000</v>
      </c>
      <c r="O84" s="107">
        <f>+M84*$O$1</f>
        <v>266076.576</v>
      </c>
      <c r="P84" s="108">
        <f>+N84+O84</f>
        <v>866076.576</v>
      </c>
      <c r="Q84" s="39">
        <v>100</v>
      </c>
      <c r="R84" s="39">
        <f t="shared" si="6"/>
        <v>1478203.2</v>
      </c>
      <c r="S84" s="42">
        <f t="shared" si="7"/>
        <v>0</v>
      </c>
    </row>
    <row r="85" spans="1:19">
      <c r="A85" s="99">
        <v>2025</v>
      </c>
      <c r="B85" s="100">
        <v>9</v>
      </c>
      <c r="C85" s="101">
        <v>45925</v>
      </c>
      <c r="D85" s="101" t="str">
        <f t="shared" si="4"/>
        <v>PPS00008036Жиззах_Саодат опа</v>
      </c>
      <c r="E85" s="99" t="s">
        <v>419</v>
      </c>
      <c r="F85" s="102" t="s">
        <v>336</v>
      </c>
      <c r="G85" s="102" t="s">
        <v>337</v>
      </c>
      <c r="H85" s="99" t="s">
        <v>255</v>
      </c>
      <c r="I85" s="102" t="s">
        <v>366</v>
      </c>
      <c r="J85" s="102" t="s">
        <v>21</v>
      </c>
      <c r="K85" s="103">
        <v>48</v>
      </c>
      <c r="L85" s="104">
        <v>40621</v>
      </c>
      <c r="M85" s="104">
        <v>1949808</v>
      </c>
      <c r="N85" s="39">
        <f t="shared" si="5"/>
        <v>720000</v>
      </c>
      <c r="O85" s="107">
        <f>+M85*$O$1</f>
        <v>350965.44</v>
      </c>
      <c r="P85" s="108">
        <f>+N85+O85</f>
        <v>1070965.44</v>
      </c>
      <c r="Q85" s="39">
        <v>100</v>
      </c>
      <c r="R85" s="39">
        <f t="shared" si="6"/>
        <v>1949808</v>
      </c>
      <c r="S85" s="42">
        <f t="shared" si="7"/>
        <v>0</v>
      </c>
    </row>
    <row r="86" spans="1:19">
      <c r="A86" s="99">
        <v>2025</v>
      </c>
      <c r="B86" s="100">
        <v>9</v>
      </c>
      <c r="C86" s="101">
        <v>45925</v>
      </c>
      <c r="D86" s="101" t="str">
        <f t="shared" si="4"/>
        <v>PPS00008054Жиззах_Саодат опа</v>
      </c>
      <c r="E86" s="99" t="s">
        <v>420</v>
      </c>
      <c r="F86" s="102" t="s">
        <v>336</v>
      </c>
      <c r="G86" s="102" t="s">
        <v>337</v>
      </c>
      <c r="H86" s="99" t="s">
        <v>255</v>
      </c>
      <c r="I86" s="102" t="s">
        <v>340</v>
      </c>
      <c r="J86" s="102" t="s">
        <v>21</v>
      </c>
      <c r="K86" s="103">
        <v>24</v>
      </c>
      <c r="L86" s="104">
        <v>40621</v>
      </c>
      <c r="M86" s="104">
        <v>974904</v>
      </c>
      <c r="N86" s="39">
        <f t="shared" si="5"/>
        <v>360000</v>
      </c>
      <c r="O86" s="107">
        <f>+M86*$O$1</f>
        <v>175482.72</v>
      </c>
      <c r="P86" s="108">
        <f>+N86+O86</f>
        <v>535482.72</v>
      </c>
      <c r="Q86" s="39">
        <v>100</v>
      </c>
      <c r="R86" s="39">
        <f t="shared" si="6"/>
        <v>974904</v>
      </c>
      <c r="S86" s="42">
        <f t="shared" si="7"/>
        <v>0</v>
      </c>
    </row>
    <row r="87" spans="1:19">
      <c r="A87" s="99">
        <v>2025</v>
      </c>
      <c r="B87" s="100">
        <v>9</v>
      </c>
      <c r="C87" s="101">
        <v>45926</v>
      </c>
      <c r="D87" s="101" t="str">
        <f t="shared" si="4"/>
        <v>PPS00008107Тошкент_Мохира опа</v>
      </c>
      <c r="E87" s="99" t="s">
        <v>421</v>
      </c>
      <c r="F87" s="102" t="s">
        <v>414</v>
      </c>
      <c r="G87" s="102" t="s">
        <v>305</v>
      </c>
      <c r="H87" s="99" t="s">
        <v>255</v>
      </c>
      <c r="I87" s="102" t="s">
        <v>422</v>
      </c>
      <c r="J87" s="102" t="s">
        <v>21</v>
      </c>
      <c r="K87" s="103">
        <v>50</v>
      </c>
      <c r="L87" s="104">
        <v>40621</v>
      </c>
      <c r="M87" s="104">
        <v>2031050</v>
      </c>
      <c r="N87" s="39">
        <f t="shared" si="5"/>
        <v>750000</v>
      </c>
      <c r="O87" s="107">
        <f>+M87*$O$1</f>
        <v>365589</v>
      </c>
      <c r="P87" s="108">
        <f>+N87+O87</f>
        <v>1115589</v>
      </c>
      <c r="Q87" s="39">
        <v>100</v>
      </c>
      <c r="R87" s="39">
        <f t="shared" si="6"/>
        <v>2031050</v>
      </c>
      <c r="S87" s="42">
        <f t="shared" si="7"/>
        <v>0</v>
      </c>
    </row>
    <row r="88" spans="1:19">
      <c r="A88" s="99">
        <v>2025</v>
      </c>
      <c r="B88" s="100">
        <v>9</v>
      </c>
      <c r="C88" s="101">
        <v>45929</v>
      </c>
      <c r="D88" s="101" t="str">
        <f t="shared" si="4"/>
        <v>PPS00008152Жиззах_Саодат опа</v>
      </c>
      <c r="E88" s="99" t="s">
        <v>423</v>
      </c>
      <c r="F88" s="102" t="s">
        <v>336</v>
      </c>
      <c r="G88" s="102" t="s">
        <v>337</v>
      </c>
      <c r="H88" s="99" t="s">
        <v>255</v>
      </c>
      <c r="I88" s="102" t="s">
        <v>424</v>
      </c>
      <c r="J88" s="102" t="s">
        <v>21</v>
      </c>
      <c r="K88" s="103">
        <v>24</v>
      </c>
      <c r="L88" s="104">
        <v>40621</v>
      </c>
      <c r="M88" s="104">
        <v>974904</v>
      </c>
      <c r="N88" s="39">
        <f t="shared" si="5"/>
        <v>360000</v>
      </c>
      <c r="O88" s="107">
        <f>+M88*$O$1</f>
        <v>175482.72</v>
      </c>
      <c r="P88" s="108">
        <f>+N88+O88</f>
        <v>535482.72</v>
      </c>
      <c r="Q88" s="39">
        <v>100</v>
      </c>
      <c r="R88" s="39">
        <f t="shared" si="6"/>
        <v>974904</v>
      </c>
      <c r="S88" s="42">
        <f t="shared" si="7"/>
        <v>0</v>
      </c>
    </row>
    <row r="89" spans="1:19">
      <c r="A89" s="99">
        <v>2025</v>
      </c>
      <c r="B89" s="100">
        <v>9</v>
      </c>
      <c r="C89" s="101">
        <v>45929</v>
      </c>
      <c r="D89" s="101" t="str">
        <f t="shared" si="4"/>
        <v>PPS00008158Сурхондарьё_Дилдора опа</v>
      </c>
      <c r="E89" s="99" t="s">
        <v>425</v>
      </c>
      <c r="F89" s="102" t="s">
        <v>426</v>
      </c>
      <c r="G89" s="102" t="s">
        <v>427</v>
      </c>
      <c r="H89" s="99" t="s">
        <v>255</v>
      </c>
      <c r="I89" s="102" t="s">
        <v>428</v>
      </c>
      <c r="J89" s="102" t="s">
        <v>21</v>
      </c>
      <c r="K89" s="104">
        <v>1000</v>
      </c>
      <c r="L89" s="104">
        <v>36955.08</v>
      </c>
      <c r="M89" s="104">
        <v>36955080</v>
      </c>
      <c r="N89" s="39">
        <f t="shared" si="5"/>
        <v>15000000</v>
      </c>
      <c r="O89" s="107">
        <f>+M89*$O$1</f>
        <v>6651914.3999999994</v>
      </c>
      <c r="P89" s="108">
        <f>+N89+O89</f>
        <v>21651914.399999999</v>
      </c>
      <c r="Q89" s="39">
        <v>100</v>
      </c>
      <c r="R89" s="39">
        <f t="shared" si="6"/>
        <v>36955080</v>
      </c>
      <c r="S89" s="42">
        <f t="shared" si="7"/>
        <v>0</v>
      </c>
    </row>
    <row r="90" spans="1:19">
      <c r="A90" s="99">
        <v>2025</v>
      </c>
      <c r="B90" s="100">
        <v>9</v>
      </c>
      <c r="C90" s="101">
        <v>45930</v>
      </c>
      <c r="D90" s="101" t="str">
        <f t="shared" si="4"/>
        <v>PPS00008188Сурхондарьё_Сарвар ака</v>
      </c>
      <c r="E90" s="99" t="s">
        <v>429</v>
      </c>
      <c r="F90" s="102" t="s">
        <v>298</v>
      </c>
      <c r="G90" s="102" t="s">
        <v>253</v>
      </c>
      <c r="H90" s="99" t="s">
        <v>255</v>
      </c>
      <c r="I90" s="102" t="s">
        <v>430</v>
      </c>
      <c r="J90" s="102" t="s">
        <v>21</v>
      </c>
      <c r="K90" s="103">
        <v>10</v>
      </c>
      <c r="L90" s="104">
        <v>36955.08</v>
      </c>
      <c r="M90" s="104">
        <v>369550.8</v>
      </c>
      <c r="N90" s="39">
        <f t="shared" si="5"/>
        <v>150000</v>
      </c>
      <c r="O90" s="107">
        <f>+M90*$O$1</f>
        <v>66519.144</v>
      </c>
      <c r="P90" s="108">
        <f>+N90+O90</f>
        <v>216519.144</v>
      </c>
      <c r="Q90" s="39">
        <v>100</v>
      </c>
      <c r="R90" s="39">
        <f t="shared" si="6"/>
        <v>369550.8</v>
      </c>
      <c r="S90" s="42">
        <f t="shared" si="7"/>
        <v>0</v>
      </c>
    </row>
    <row r="91" spans="1:19">
      <c r="A91" s="99">
        <v>2025</v>
      </c>
      <c r="B91" s="100">
        <v>10</v>
      </c>
      <c r="C91" s="101">
        <v>45932</v>
      </c>
      <c r="D91" s="101" t="str">
        <f t="shared" si="4"/>
        <v>PPS00008247Сирдарё_Фотима опа</v>
      </c>
      <c r="E91" s="99" t="s">
        <v>431</v>
      </c>
      <c r="F91" s="102" t="s">
        <v>280</v>
      </c>
      <c r="G91" s="102" t="s">
        <v>281</v>
      </c>
      <c r="H91" s="99" t="s">
        <v>255</v>
      </c>
      <c r="I91" s="102" t="s">
        <v>320</v>
      </c>
      <c r="J91" s="102" t="s">
        <v>21</v>
      </c>
      <c r="K91" s="103">
        <v>100</v>
      </c>
      <c r="L91" s="104">
        <v>40621</v>
      </c>
      <c r="M91" s="104">
        <v>4062100</v>
      </c>
      <c r="N91" s="39">
        <f t="shared" si="5"/>
        <v>1500000</v>
      </c>
      <c r="O91" s="107">
        <f>+M91*$O$1</f>
        <v>731178</v>
      </c>
      <c r="P91" s="108">
        <f>+N91+O91</f>
        <v>2231178</v>
      </c>
      <c r="Q91" s="39">
        <v>100</v>
      </c>
      <c r="R91" s="39">
        <f t="shared" si="6"/>
        <v>4062100</v>
      </c>
      <c r="S91" s="42">
        <f t="shared" si="7"/>
        <v>0</v>
      </c>
    </row>
    <row r="92" spans="1:19">
      <c r="A92" s="99">
        <v>2025</v>
      </c>
      <c r="B92" s="100">
        <v>10</v>
      </c>
      <c r="C92" s="101">
        <v>45933</v>
      </c>
      <c r="D92" s="101" t="str">
        <f t="shared" si="4"/>
        <v>PPS00008271Тошкент_Мохира опа</v>
      </c>
      <c r="E92" s="99" t="s">
        <v>432</v>
      </c>
      <c r="F92" s="102" t="s">
        <v>304</v>
      </c>
      <c r="G92" s="102" t="s">
        <v>305</v>
      </c>
      <c r="H92" s="99" t="s">
        <v>255</v>
      </c>
      <c r="I92" s="102" t="s">
        <v>433</v>
      </c>
      <c r="J92" s="102" t="s">
        <v>21</v>
      </c>
      <c r="K92" s="103">
        <v>30</v>
      </c>
      <c r="L92" s="104">
        <v>40621</v>
      </c>
      <c r="M92" s="104">
        <v>1218630</v>
      </c>
      <c r="N92" s="39">
        <f t="shared" si="5"/>
        <v>450000</v>
      </c>
      <c r="O92" s="107">
        <f>+M92*$O$1</f>
        <v>219353.4</v>
      </c>
      <c r="P92" s="108">
        <f>+N92+O92</f>
        <v>669353.4</v>
      </c>
      <c r="Q92" s="39">
        <v>100</v>
      </c>
      <c r="R92" s="39">
        <f t="shared" si="6"/>
        <v>1218630</v>
      </c>
      <c r="S92" s="42">
        <f t="shared" si="7"/>
        <v>0</v>
      </c>
    </row>
    <row r="93" spans="1:19">
      <c r="A93" s="99">
        <v>2025</v>
      </c>
      <c r="B93" s="100">
        <v>10</v>
      </c>
      <c r="C93" s="101">
        <v>45936</v>
      </c>
      <c r="D93" s="101" t="str">
        <f t="shared" si="4"/>
        <v>PPS00008296Сурхондарьё_Сарвар ака</v>
      </c>
      <c r="E93" s="99" t="s">
        <v>434</v>
      </c>
      <c r="F93" s="102" t="s">
        <v>298</v>
      </c>
      <c r="G93" s="102" t="s">
        <v>253</v>
      </c>
      <c r="H93" s="99" t="s">
        <v>255</v>
      </c>
      <c r="I93" s="102" t="s">
        <v>435</v>
      </c>
      <c r="J93" s="102" t="s">
        <v>21</v>
      </c>
      <c r="K93" s="103">
        <v>120</v>
      </c>
      <c r="L93" s="104">
        <v>40621</v>
      </c>
      <c r="M93" s="104">
        <v>4874520</v>
      </c>
      <c r="N93" s="39">
        <f t="shared" si="5"/>
        <v>1800000</v>
      </c>
      <c r="O93" s="107">
        <f>+M93*$O$1</f>
        <v>877413.6</v>
      </c>
      <c r="P93" s="108">
        <f>+N93+O93</f>
        <v>2677413.6</v>
      </c>
      <c r="Q93" s="39">
        <v>100</v>
      </c>
      <c r="R93" s="39">
        <f t="shared" si="6"/>
        <v>4874520</v>
      </c>
      <c r="S93" s="42">
        <f t="shared" si="7"/>
        <v>0</v>
      </c>
    </row>
    <row r="94" spans="1:19">
      <c r="A94" s="99">
        <v>2025</v>
      </c>
      <c r="B94" s="100">
        <v>10</v>
      </c>
      <c r="C94" s="101">
        <v>45936</v>
      </c>
      <c r="D94" s="101" t="str">
        <f t="shared" si="4"/>
        <v>PPS00008299Жиззах_Саодат опа</v>
      </c>
      <c r="E94" s="99" t="s">
        <v>436</v>
      </c>
      <c r="F94" s="102" t="s">
        <v>336</v>
      </c>
      <c r="G94" s="102" t="s">
        <v>337</v>
      </c>
      <c r="H94" s="99" t="s">
        <v>255</v>
      </c>
      <c r="I94" s="102" t="s">
        <v>437</v>
      </c>
      <c r="J94" s="102" t="s">
        <v>21</v>
      </c>
      <c r="K94" s="103">
        <v>20</v>
      </c>
      <c r="L94" s="104">
        <v>40621</v>
      </c>
      <c r="M94" s="104">
        <v>812420</v>
      </c>
      <c r="N94" s="39">
        <f t="shared" si="5"/>
        <v>300000</v>
      </c>
      <c r="O94" s="107">
        <f>+M94*$O$1</f>
        <v>146235.6</v>
      </c>
      <c r="P94" s="108">
        <f>+N94+O94</f>
        <v>446235.6</v>
      </c>
      <c r="Q94" s="39">
        <v>100</v>
      </c>
      <c r="R94" s="39">
        <f t="shared" si="6"/>
        <v>812420</v>
      </c>
      <c r="S94" s="42">
        <f t="shared" si="7"/>
        <v>0</v>
      </c>
    </row>
    <row r="95" spans="1:19">
      <c r="A95" s="99">
        <v>2025</v>
      </c>
      <c r="B95" s="100">
        <v>10</v>
      </c>
      <c r="C95" s="101">
        <v>45936</v>
      </c>
      <c r="D95" s="101" t="str">
        <f t="shared" si="4"/>
        <v>PPS00008308Навоий_Дильноза опа</v>
      </c>
      <c r="E95" s="99" t="s">
        <v>438</v>
      </c>
      <c r="F95" s="102" t="s">
        <v>332</v>
      </c>
      <c r="G95" s="102" t="s">
        <v>333</v>
      </c>
      <c r="H95" s="99" t="s">
        <v>255</v>
      </c>
      <c r="I95" s="102" t="s">
        <v>439</v>
      </c>
      <c r="J95" s="102" t="s">
        <v>21</v>
      </c>
      <c r="K95" s="103">
        <v>20</v>
      </c>
      <c r="L95" s="104">
        <v>40621</v>
      </c>
      <c r="M95" s="104">
        <v>812420</v>
      </c>
      <c r="N95" s="39">
        <f t="shared" si="5"/>
        <v>300000</v>
      </c>
      <c r="O95" s="107">
        <f>+M95*$O$1</f>
        <v>146235.6</v>
      </c>
      <c r="P95" s="108">
        <f>+N95+O95</f>
        <v>446235.6</v>
      </c>
      <c r="Q95" s="39">
        <v>100</v>
      </c>
      <c r="R95" s="39">
        <f t="shared" si="6"/>
        <v>812420</v>
      </c>
      <c r="S95" s="42">
        <f t="shared" si="7"/>
        <v>0</v>
      </c>
    </row>
    <row r="96" spans="1:19">
      <c r="A96" s="99">
        <v>2025</v>
      </c>
      <c r="B96" s="100">
        <v>10</v>
      </c>
      <c r="C96" s="101">
        <v>45936</v>
      </c>
      <c r="D96" s="101" t="str">
        <f t="shared" si="4"/>
        <v>PPS00008335Сирдарё_Фотима опа</v>
      </c>
      <c r="E96" s="99" t="s">
        <v>440</v>
      </c>
      <c r="F96" s="102" t="s">
        <v>284</v>
      </c>
      <c r="G96" s="102" t="s">
        <v>281</v>
      </c>
      <c r="H96" s="99" t="s">
        <v>255</v>
      </c>
      <c r="I96" s="102" t="s">
        <v>327</v>
      </c>
      <c r="J96" s="102" t="s">
        <v>21</v>
      </c>
      <c r="K96" s="103">
        <v>40</v>
      </c>
      <c r="L96" s="104">
        <v>40621</v>
      </c>
      <c r="M96" s="104">
        <v>1624840</v>
      </c>
      <c r="N96" s="39">
        <f t="shared" si="5"/>
        <v>600000</v>
      </c>
      <c r="O96" s="107">
        <f>+M96*$O$1</f>
        <v>292471.2</v>
      </c>
      <c r="P96" s="108">
        <f>+N96+O96</f>
        <v>892471.2</v>
      </c>
      <c r="Q96" s="39">
        <v>100</v>
      </c>
      <c r="R96" s="39">
        <f t="shared" si="6"/>
        <v>1624840</v>
      </c>
      <c r="S96" s="42">
        <f t="shared" si="7"/>
        <v>0</v>
      </c>
    </row>
    <row r="97" spans="1:19">
      <c r="A97" s="99">
        <v>2025</v>
      </c>
      <c r="B97" s="100">
        <v>10</v>
      </c>
      <c r="C97" s="101">
        <v>45939</v>
      </c>
      <c r="D97" s="101" t="str">
        <f t="shared" si="4"/>
        <v>PPS00008406Навоий_Дильноза опа</v>
      </c>
      <c r="E97" s="99" t="s">
        <v>441</v>
      </c>
      <c r="F97" s="102" t="s">
        <v>332</v>
      </c>
      <c r="G97" s="102" t="s">
        <v>333</v>
      </c>
      <c r="H97" s="99" t="s">
        <v>255</v>
      </c>
      <c r="I97" s="102" t="s">
        <v>350</v>
      </c>
      <c r="J97" s="102" t="s">
        <v>21</v>
      </c>
      <c r="K97" s="103">
        <v>30</v>
      </c>
      <c r="L97" s="104">
        <v>40621</v>
      </c>
      <c r="M97" s="104">
        <v>1218630</v>
      </c>
      <c r="N97" s="39">
        <f t="shared" si="5"/>
        <v>450000</v>
      </c>
      <c r="O97" s="107">
        <f>+M97*$O$1</f>
        <v>219353.4</v>
      </c>
      <c r="P97" s="108">
        <f>+N97+O97</f>
        <v>669353.4</v>
      </c>
      <c r="Q97" s="39">
        <v>100</v>
      </c>
      <c r="R97" s="39">
        <f t="shared" si="6"/>
        <v>1218630</v>
      </c>
      <c r="S97" s="42">
        <f t="shared" si="7"/>
        <v>0</v>
      </c>
    </row>
    <row r="98" spans="1:19">
      <c r="A98" s="99">
        <v>2025</v>
      </c>
      <c r="B98" s="100">
        <v>10</v>
      </c>
      <c r="C98" s="101">
        <v>45939</v>
      </c>
      <c r="D98" s="101" t="str">
        <f t="shared" si="4"/>
        <v>PPS00008434Сирдарё_Фотима опа</v>
      </c>
      <c r="E98" s="99" t="s">
        <v>442</v>
      </c>
      <c r="F98" s="102" t="s">
        <v>280</v>
      </c>
      <c r="G98" s="102" t="s">
        <v>281</v>
      </c>
      <c r="H98" s="99" t="s">
        <v>255</v>
      </c>
      <c r="I98" s="102" t="s">
        <v>443</v>
      </c>
      <c r="J98" s="102" t="s">
        <v>21</v>
      </c>
      <c r="K98" s="103">
        <v>20</v>
      </c>
      <c r="L98" s="104">
        <v>40621</v>
      </c>
      <c r="M98" s="104">
        <v>812420</v>
      </c>
      <c r="N98" s="39">
        <f t="shared" si="5"/>
        <v>300000</v>
      </c>
      <c r="O98" s="107">
        <f>+M98*$O$1</f>
        <v>146235.6</v>
      </c>
      <c r="P98" s="108">
        <f>+N98+O98</f>
        <v>446235.6</v>
      </c>
      <c r="Q98" s="39">
        <v>100</v>
      </c>
      <c r="R98" s="39">
        <f t="shared" si="6"/>
        <v>812420</v>
      </c>
      <c r="S98" s="42">
        <f t="shared" si="7"/>
        <v>0</v>
      </c>
    </row>
    <row r="99" spans="1:19">
      <c r="A99" s="99">
        <v>2025</v>
      </c>
      <c r="B99" s="100">
        <v>10</v>
      </c>
      <c r="C99" s="101">
        <v>45939</v>
      </c>
      <c r="D99" s="101" t="str">
        <f t="shared" si="4"/>
        <v>PPS00008443Жиззах_Саодат опа</v>
      </c>
      <c r="E99" s="99" t="s">
        <v>444</v>
      </c>
      <c r="F99" s="102" t="s">
        <v>336</v>
      </c>
      <c r="G99" s="102" t="s">
        <v>337</v>
      </c>
      <c r="H99" s="99" t="s">
        <v>255</v>
      </c>
      <c r="I99" s="102" t="s">
        <v>445</v>
      </c>
      <c r="J99" s="102" t="s">
        <v>21</v>
      </c>
      <c r="K99" s="103">
        <v>48</v>
      </c>
      <c r="L99" s="104">
        <v>40621</v>
      </c>
      <c r="M99" s="104">
        <v>1949808</v>
      </c>
      <c r="N99" s="39">
        <f t="shared" si="5"/>
        <v>720000</v>
      </c>
      <c r="O99" s="107">
        <f>+M99*$O$1</f>
        <v>350965.44</v>
      </c>
      <c r="P99" s="108">
        <f>+N99+O99</f>
        <v>1070965.44</v>
      </c>
      <c r="Q99" s="39">
        <v>100</v>
      </c>
      <c r="R99" s="39">
        <f t="shared" si="6"/>
        <v>1949808</v>
      </c>
      <c r="S99" s="42">
        <f t="shared" si="7"/>
        <v>0</v>
      </c>
    </row>
    <row r="100" spans="1:19">
      <c r="A100" s="99">
        <v>2025</v>
      </c>
      <c r="B100" s="100">
        <v>10</v>
      </c>
      <c r="C100" s="101">
        <v>45943</v>
      </c>
      <c r="D100" s="101" t="str">
        <f t="shared" si="4"/>
        <v>PPS00008498Сурхондарьё_Сарвар ака</v>
      </c>
      <c r="E100" s="99" t="s">
        <v>446</v>
      </c>
      <c r="F100" s="102" t="s">
        <v>298</v>
      </c>
      <c r="G100" s="102" t="s">
        <v>253</v>
      </c>
      <c r="H100" s="99" t="s">
        <v>255</v>
      </c>
      <c r="I100" s="102" t="s">
        <v>396</v>
      </c>
      <c r="J100" s="102" t="s">
        <v>21</v>
      </c>
      <c r="K100" s="103">
        <v>20</v>
      </c>
      <c r="L100" s="104">
        <v>40621</v>
      </c>
      <c r="M100" s="104">
        <v>812420</v>
      </c>
      <c r="N100" s="39">
        <f t="shared" si="5"/>
        <v>300000</v>
      </c>
      <c r="O100" s="107">
        <f>+M100*$O$1</f>
        <v>146235.6</v>
      </c>
      <c r="P100" s="108">
        <f>+N100+O100</f>
        <v>446235.6</v>
      </c>
      <c r="Q100" s="39">
        <v>100</v>
      </c>
      <c r="R100" s="39">
        <f t="shared" si="6"/>
        <v>812420</v>
      </c>
      <c r="S100" s="42">
        <f t="shared" si="7"/>
        <v>0</v>
      </c>
    </row>
    <row r="101" spans="1:19">
      <c r="A101" s="99">
        <v>2025</v>
      </c>
      <c r="B101" s="100">
        <v>10</v>
      </c>
      <c r="C101" s="101">
        <v>45943</v>
      </c>
      <c r="D101" s="101" t="str">
        <f t="shared" si="4"/>
        <v>PPS00008508Тошкент_Мохира опа</v>
      </c>
      <c r="E101" s="99" t="s">
        <v>447</v>
      </c>
      <c r="F101" s="102" t="s">
        <v>414</v>
      </c>
      <c r="G101" s="102" t="s">
        <v>305</v>
      </c>
      <c r="H101" s="99" t="s">
        <v>255</v>
      </c>
      <c r="I101" s="102" t="s">
        <v>448</v>
      </c>
      <c r="J101" s="102" t="s">
        <v>21</v>
      </c>
      <c r="K101" s="103">
        <v>100</v>
      </c>
      <c r="L101" s="104">
        <v>40621</v>
      </c>
      <c r="M101" s="104">
        <v>4062100</v>
      </c>
      <c r="N101" s="39">
        <f t="shared" si="5"/>
        <v>1500000</v>
      </c>
      <c r="O101" s="107">
        <f>+M101*$O$1</f>
        <v>731178</v>
      </c>
      <c r="P101" s="108">
        <f>+N101+O101</f>
        <v>2231178</v>
      </c>
      <c r="Q101" s="39">
        <v>100</v>
      </c>
      <c r="R101" s="39">
        <f t="shared" si="6"/>
        <v>4062100</v>
      </c>
      <c r="S101" s="42">
        <f t="shared" si="7"/>
        <v>0</v>
      </c>
    </row>
    <row r="102" spans="1:19">
      <c r="A102" s="99">
        <v>2025</v>
      </c>
      <c r="B102" s="100">
        <v>10</v>
      </c>
      <c r="C102" s="101">
        <v>45943</v>
      </c>
      <c r="D102" s="101" t="str">
        <f t="shared" si="4"/>
        <v>PPS00008525Тошкент_Мохира опа</v>
      </c>
      <c r="E102" s="99" t="s">
        <v>449</v>
      </c>
      <c r="F102" s="102" t="s">
        <v>304</v>
      </c>
      <c r="G102" s="102" t="s">
        <v>305</v>
      </c>
      <c r="H102" s="99" t="s">
        <v>255</v>
      </c>
      <c r="I102" s="102" t="s">
        <v>307</v>
      </c>
      <c r="J102" s="102" t="s">
        <v>21</v>
      </c>
      <c r="K102" s="103">
        <v>50</v>
      </c>
      <c r="L102" s="104">
        <v>40621</v>
      </c>
      <c r="M102" s="104">
        <v>2031050</v>
      </c>
      <c r="N102" s="39">
        <f t="shared" si="5"/>
        <v>750000</v>
      </c>
      <c r="O102" s="107">
        <f>+M102*$O$1</f>
        <v>365589</v>
      </c>
      <c r="P102" s="108">
        <f>+N102+O102</f>
        <v>1115589</v>
      </c>
      <c r="Q102" s="39">
        <v>100</v>
      </c>
      <c r="R102" s="39">
        <f t="shared" si="6"/>
        <v>2031050</v>
      </c>
      <c r="S102" s="42">
        <f t="shared" si="7"/>
        <v>0</v>
      </c>
    </row>
    <row r="103" spans="1:19">
      <c r="A103" s="99">
        <v>2025</v>
      </c>
      <c r="B103" s="100">
        <v>10</v>
      </c>
      <c r="C103" s="101">
        <v>45944</v>
      </c>
      <c r="D103" s="101" t="str">
        <f t="shared" si="4"/>
        <v>PPS00008530Тошкент_Мохира опа</v>
      </c>
      <c r="E103" s="99" t="s">
        <v>450</v>
      </c>
      <c r="F103" s="102" t="s">
        <v>304</v>
      </c>
      <c r="G103" s="102" t="s">
        <v>305</v>
      </c>
      <c r="H103" s="99" t="s">
        <v>255</v>
      </c>
      <c r="I103" s="102" t="s">
        <v>451</v>
      </c>
      <c r="J103" s="102" t="s">
        <v>21</v>
      </c>
      <c r="K103" s="103">
        <v>50</v>
      </c>
      <c r="L103" s="104">
        <v>40621</v>
      </c>
      <c r="M103" s="104">
        <v>2031050</v>
      </c>
      <c r="N103" s="39">
        <f t="shared" si="5"/>
        <v>750000</v>
      </c>
      <c r="O103" s="107">
        <f>+M103*$O$1</f>
        <v>365589</v>
      </c>
      <c r="P103" s="108">
        <f>+N103+O103</f>
        <v>1115589</v>
      </c>
      <c r="Q103" s="39">
        <v>100</v>
      </c>
      <c r="R103" s="39">
        <f t="shared" si="6"/>
        <v>2031050</v>
      </c>
      <c r="S103" s="42">
        <f t="shared" si="7"/>
        <v>0</v>
      </c>
    </row>
    <row r="104" spans="1:19">
      <c r="A104" s="99">
        <v>2025</v>
      </c>
      <c r="B104" s="100">
        <v>10</v>
      </c>
      <c r="C104" s="101">
        <v>45944</v>
      </c>
      <c r="D104" s="101" t="str">
        <f t="shared" si="4"/>
        <v>PPS00008532Тошкент_Мохира опа</v>
      </c>
      <c r="E104" s="99" t="s">
        <v>452</v>
      </c>
      <c r="F104" s="102" t="s">
        <v>414</v>
      </c>
      <c r="G104" s="102" t="s">
        <v>305</v>
      </c>
      <c r="H104" s="99" t="s">
        <v>255</v>
      </c>
      <c r="I104" s="102" t="s">
        <v>60</v>
      </c>
      <c r="J104" s="102" t="s">
        <v>21</v>
      </c>
      <c r="K104" s="103">
        <v>50</v>
      </c>
      <c r="L104" s="104">
        <v>40621</v>
      </c>
      <c r="M104" s="104">
        <v>2031050</v>
      </c>
      <c r="N104" s="39">
        <f t="shared" si="5"/>
        <v>750000</v>
      </c>
      <c r="O104" s="107">
        <f>+M104*$O$1</f>
        <v>365589</v>
      </c>
      <c r="P104" s="108">
        <f>+N104+O104</f>
        <v>1115589</v>
      </c>
      <c r="Q104" s="39">
        <v>100</v>
      </c>
      <c r="R104" s="39">
        <f t="shared" si="6"/>
        <v>2031050</v>
      </c>
      <c r="S104" s="42">
        <f t="shared" si="7"/>
        <v>0</v>
      </c>
    </row>
    <row r="105" spans="1:19">
      <c r="A105" s="99">
        <v>2025</v>
      </c>
      <c r="B105" s="100">
        <v>10</v>
      </c>
      <c r="C105" s="101">
        <v>45945</v>
      </c>
      <c r="D105" s="101" t="str">
        <f t="shared" si="4"/>
        <v>PPS00008568Навоий_Дильноза опа</v>
      </c>
      <c r="E105" s="99" t="s">
        <v>453</v>
      </c>
      <c r="F105" s="102" t="s">
        <v>332</v>
      </c>
      <c r="G105" s="102" t="s">
        <v>333</v>
      </c>
      <c r="H105" s="99" t="s">
        <v>255</v>
      </c>
      <c r="I105" s="102" t="s">
        <v>454</v>
      </c>
      <c r="J105" s="102" t="s">
        <v>21</v>
      </c>
      <c r="K105" s="103">
        <v>60</v>
      </c>
      <c r="L105" s="104">
        <v>40621</v>
      </c>
      <c r="M105" s="104">
        <v>2437260</v>
      </c>
      <c r="N105" s="39">
        <f t="shared" si="5"/>
        <v>900000</v>
      </c>
      <c r="O105" s="107">
        <f>+M105*$O$1</f>
        <v>438706.8</v>
      </c>
      <c r="P105" s="108">
        <f>+N105+O105</f>
        <v>1338706.8</v>
      </c>
      <c r="Q105" s="39">
        <v>100</v>
      </c>
      <c r="R105" s="39">
        <f t="shared" si="6"/>
        <v>2437260</v>
      </c>
      <c r="S105" s="42">
        <f t="shared" si="7"/>
        <v>0</v>
      </c>
    </row>
    <row r="106" spans="1:19">
      <c r="A106" s="99">
        <v>2025</v>
      </c>
      <c r="B106" s="100">
        <v>10</v>
      </c>
      <c r="C106" s="101">
        <v>45946</v>
      </c>
      <c r="D106" s="101" t="str">
        <f t="shared" si="4"/>
        <v>PPS00008598Тошкент_Мохира опа</v>
      </c>
      <c r="E106" s="99" t="s">
        <v>455</v>
      </c>
      <c r="F106" s="102" t="s">
        <v>414</v>
      </c>
      <c r="G106" s="102" t="s">
        <v>305</v>
      </c>
      <c r="H106" s="99" t="s">
        <v>255</v>
      </c>
      <c r="I106" s="102" t="s">
        <v>456</v>
      </c>
      <c r="J106" s="102" t="s">
        <v>21</v>
      </c>
      <c r="K106" s="103">
        <v>50</v>
      </c>
      <c r="L106" s="104">
        <v>40621</v>
      </c>
      <c r="M106" s="104">
        <v>2031050</v>
      </c>
      <c r="N106" s="39">
        <f t="shared" si="5"/>
        <v>750000</v>
      </c>
      <c r="O106" s="107">
        <f>+M106*$O$1</f>
        <v>365589</v>
      </c>
      <c r="P106" s="108">
        <f>+N106+O106</f>
        <v>1115589</v>
      </c>
      <c r="Q106" s="39">
        <v>100</v>
      </c>
      <c r="R106" s="39">
        <f t="shared" si="6"/>
        <v>2031050</v>
      </c>
      <c r="S106" s="42">
        <f t="shared" si="7"/>
        <v>0</v>
      </c>
    </row>
    <row r="107" spans="1:19">
      <c r="A107" s="99">
        <v>2025</v>
      </c>
      <c r="B107" s="100">
        <v>10</v>
      </c>
      <c r="C107" s="101">
        <v>45946</v>
      </c>
      <c r="D107" s="101" t="str">
        <f t="shared" si="4"/>
        <v>PPS00008605Жиззах_Саодат опа</v>
      </c>
      <c r="E107" s="99" t="s">
        <v>457</v>
      </c>
      <c r="F107" s="102" t="s">
        <v>336</v>
      </c>
      <c r="G107" s="102" t="s">
        <v>337</v>
      </c>
      <c r="H107" s="99" t="s">
        <v>255</v>
      </c>
      <c r="I107" s="102" t="s">
        <v>346</v>
      </c>
      <c r="J107" s="102" t="s">
        <v>21</v>
      </c>
      <c r="K107" s="103">
        <v>20</v>
      </c>
      <c r="L107" s="104">
        <v>40621</v>
      </c>
      <c r="M107" s="104">
        <v>812420</v>
      </c>
      <c r="N107" s="39">
        <f t="shared" si="5"/>
        <v>300000</v>
      </c>
      <c r="O107" s="107">
        <f>+M107*$O$1</f>
        <v>146235.6</v>
      </c>
      <c r="P107" s="108">
        <f>+N107+O107</f>
        <v>446235.6</v>
      </c>
      <c r="Q107" s="39">
        <v>100</v>
      </c>
      <c r="R107" s="39">
        <f t="shared" si="6"/>
        <v>812420</v>
      </c>
      <c r="S107" s="42">
        <f t="shared" si="7"/>
        <v>0</v>
      </c>
    </row>
    <row r="108" spans="1:19">
      <c r="A108" s="99">
        <v>2025</v>
      </c>
      <c r="B108" s="100">
        <v>10</v>
      </c>
      <c r="C108" s="101">
        <v>45946</v>
      </c>
      <c r="D108" s="101" t="str">
        <f t="shared" si="4"/>
        <v>PPS00008624Сирдарё_Фотима опа</v>
      </c>
      <c r="E108" s="99" t="s">
        <v>458</v>
      </c>
      <c r="F108" s="102" t="s">
        <v>280</v>
      </c>
      <c r="G108" s="102" t="s">
        <v>281</v>
      </c>
      <c r="H108" s="99" t="s">
        <v>255</v>
      </c>
      <c r="I108" s="102" t="s">
        <v>320</v>
      </c>
      <c r="J108" s="102" t="s">
        <v>21</v>
      </c>
      <c r="K108" s="103">
        <v>100</v>
      </c>
      <c r="L108" s="104">
        <v>40621</v>
      </c>
      <c r="M108" s="104">
        <v>4062100</v>
      </c>
      <c r="N108" s="39">
        <f t="shared" si="5"/>
        <v>1500000</v>
      </c>
      <c r="O108" s="107">
        <f>+M108*$O$1</f>
        <v>731178</v>
      </c>
      <c r="P108" s="108">
        <f>+N108+O108</f>
        <v>2231178</v>
      </c>
      <c r="Q108" s="39">
        <v>100</v>
      </c>
      <c r="R108" s="39">
        <f t="shared" si="6"/>
        <v>4062100</v>
      </c>
      <c r="S108" s="42">
        <f t="shared" si="7"/>
        <v>0</v>
      </c>
    </row>
    <row r="109" spans="1:19">
      <c r="A109" s="99">
        <v>2025</v>
      </c>
      <c r="B109" s="100">
        <v>10</v>
      </c>
      <c r="C109" s="101">
        <v>45946</v>
      </c>
      <c r="D109" s="101" t="str">
        <f t="shared" si="4"/>
        <v>PPS00008634Тошкент_Мохира опа</v>
      </c>
      <c r="E109" s="99" t="s">
        <v>459</v>
      </c>
      <c r="F109" s="102" t="s">
        <v>414</v>
      </c>
      <c r="G109" s="102" t="s">
        <v>305</v>
      </c>
      <c r="H109" s="99" t="s">
        <v>255</v>
      </c>
      <c r="I109" s="102" t="s">
        <v>415</v>
      </c>
      <c r="J109" s="102" t="s">
        <v>21</v>
      </c>
      <c r="K109" s="103">
        <v>100</v>
      </c>
      <c r="L109" s="104">
        <v>40621</v>
      </c>
      <c r="M109" s="104">
        <v>4062100</v>
      </c>
      <c r="N109" s="39">
        <f t="shared" si="5"/>
        <v>1500000</v>
      </c>
      <c r="O109" s="107">
        <f>+M109*$O$1</f>
        <v>731178</v>
      </c>
      <c r="P109" s="108">
        <f>+N109+O109</f>
        <v>2231178</v>
      </c>
      <c r="Q109" s="39">
        <v>100</v>
      </c>
      <c r="R109" s="39">
        <f t="shared" si="6"/>
        <v>4062100</v>
      </c>
      <c r="S109" s="42">
        <f t="shared" si="7"/>
        <v>0</v>
      </c>
    </row>
    <row r="110" spans="1:19">
      <c r="A110" s="99">
        <v>2025</v>
      </c>
      <c r="B110" s="100">
        <v>10</v>
      </c>
      <c r="C110" s="101">
        <v>45947</v>
      </c>
      <c r="D110" s="101" t="str">
        <f t="shared" si="4"/>
        <v>PPS00008650Сурхондарьё_Сарвар ака</v>
      </c>
      <c r="E110" s="99" t="s">
        <v>460</v>
      </c>
      <c r="F110" s="102" t="s">
        <v>298</v>
      </c>
      <c r="G110" s="102" t="s">
        <v>253</v>
      </c>
      <c r="H110" s="99" t="s">
        <v>255</v>
      </c>
      <c r="I110" s="102" t="s">
        <v>461</v>
      </c>
      <c r="J110" s="102" t="s">
        <v>21</v>
      </c>
      <c r="K110" s="103">
        <v>60</v>
      </c>
      <c r="L110" s="104">
        <v>40621</v>
      </c>
      <c r="M110" s="104">
        <v>2437260</v>
      </c>
      <c r="N110" s="39">
        <f t="shared" si="5"/>
        <v>900000</v>
      </c>
      <c r="O110" s="107">
        <f>+M110*$O$1</f>
        <v>438706.8</v>
      </c>
      <c r="P110" s="108">
        <f>+N110+O110</f>
        <v>1338706.8</v>
      </c>
      <c r="Q110" s="39">
        <v>100</v>
      </c>
      <c r="R110" s="39">
        <f t="shared" si="6"/>
        <v>2437260</v>
      </c>
      <c r="S110" s="42">
        <f t="shared" si="7"/>
        <v>0</v>
      </c>
    </row>
    <row r="111" spans="1:19">
      <c r="A111" s="99">
        <v>2025</v>
      </c>
      <c r="B111" s="100">
        <v>10</v>
      </c>
      <c r="C111" s="101">
        <v>45947</v>
      </c>
      <c r="D111" s="101" t="str">
        <f t="shared" si="4"/>
        <v>PPS00008654Таш.Обл_Шахло опа</v>
      </c>
      <c r="E111" s="99" t="s">
        <v>462</v>
      </c>
      <c r="F111" s="102" t="s">
        <v>463</v>
      </c>
      <c r="G111" s="102" t="s">
        <v>464</v>
      </c>
      <c r="H111" s="99" t="s">
        <v>255</v>
      </c>
      <c r="I111" s="102" t="s">
        <v>465</v>
      </c>
      <c r="J111" s="102" t="s">
        <v>466</v>
      </c>
      <c r="K111" s="103">
        <v>40</v>
      </c>
      <c r="L111" s="104">
        <v>120000</v>
      </c>
      <c r="M111" s="104">
        <v>4800000</v>
      </c>
      <c r="N111" s="39">
        <f>+K111*35000</f>
        <v>1400000</v>
      </c>
      <c r="O111" s="107">
        <f>+M111*$O$1</f>
        <v>864000</v>
      </c>
      <c r="P111" s="108">
        <f>+N111+O111</f>
        <v>2264000</v>
      </c>
      <c r="Q111" s="39">
        <v>100</v>
      </c>
      <c r="R111" s="39">
        <f t="shared" si="6"/>
        <v>4800000</v>
      </c>
      <c r="S111" s="42">
        <f t="shared" si="7"/>
        <v>0</v>
      </c>
    </row>
    <row r="112" spans="1:19">
      <c r="A112" s="99">
        <v>2025</v>
      </c>
      <c r="B112" s="100">
        <v>10</v>
      </c>
      <c r="C112" s="101">
        <v>45950</v>
      </c>
      <c r="D112" s="101" t="str">
        <f t="shared" si="4"/>
        <v>PPS00008704Навоий_Дильноза опа</v>
      </c>
      <c r="E112" s="99" t="s">
        <v>467</v>
      </c>
      <c r="F112" s="102" t="s">
        <v>332</v>
      </c>
      <c r="G112" s="102" t="s">
        <v>333</v>
      </c>
      <c r="H112" s="99" t="s">
        <v>255</v>
      </c>
      <c r="I112" s="102" t="s">
        <v>117</v>
      </c>
      <c r="J112" s="102" t="s">
        <v>21</v>
      </c>
      <c r="K112" s="103">
        <v>100</v>
      </c>
      <c r="L112" s="104">
        <v>40621</v>
      </c>
      <c r="M112" s="104">
        <v>4062100</v>
      </c>
      <c r="N112" s="39">
        <f t="shared" ref="N112:N115" si="8">+K112*15000</f>
        <v>1500000</v>
      </c>
      <c r="O112" s="107">
        <f>+M112*$O$1</f>
        <v>731178</v>
      </c>
      <c r="P112" s="108">
        <f>+N112+O112</f>
        <v>2231178</v>
      </c>
      <c r="Q112" s="39">
        <v>100</v>
      </c>
      <c r="R112" s="39">
        <f t="shared" si="6"/>
        <v>4062100</v>
      </c>
      <c r="S112" s="42">
        <f t="shared" si="7"/>
        <v>0</v>
      </c>
    </row>
    <row r="113" spans="1:19">
      <c r="A113" s="99">
        <v>2025</v>
      </c>
      <c r="B113" s="100">
        <v>10</v>
      </c>
      <c r="C113" s="101">
        <v>45950</v>
      </c>
      <c r="D113" s="101" t="str">
        <f t="shared" si="4"/>
        <v>PPS00008717Навоий_Дильноза опа</v>
      </c>
      <c r="E113" s="99" t="s">
        <v>468</v>
      </c>
      <c r="F113" s="102" t="s">
        <v>332</v>
      </c>
      <c r="G113" s="102" t="s">
        <v>333</v>
      </c>
      <c r="H113" s="99" t="s">
        <v>255</v>
      </c>
      <c r="I113" s="102" t="s">
        <v>469</v>
      </c>
      <c r="J113" s="102" t="s">
        <v>21</v>
      </c>
      <c r="K113" s="103">
        <v>25</v>
      </c>
      <c r="L113" s="104">
        <v>40621</v>
      </c>
      <c r="M113" s="104">
        <v>1015525</v>
      </c>
      <c r="N113" s="39">
        <f t="shared" si="8"/>
        <v>375000</v>
      </c>
      <c r="O113" s="107">
        <f>+M113*$O$1</f>
        <v>182794.5</v>
      </c>
      <c r="P113" s="108">
        <f>+N113+O113</f>
        <v>557794.5</v>
      </c>
      <c r="Q113" s="39">
        <v>100</v>
      </c>
      <c r="R113" s="39">
        <f t="shared" si="6"/>
        <v>1015525</v>
      </c>
      <c r="S113" s="42">
        <f t="shared" si="7"/>
        <v>0</v>
      </c>
    </row>
    <row r="114" spans="1:19">
      <c r="A114" s="99">
        <v>2025</v>
      </c>
      <c r="B114" s="100">
        <v>10</v>
      </c>
      <c r="C114" s="101">
        <v>45950</v>
      </c>
      <c r="D114" s="101" t="str">
        <f t="shared" si="4"/>
        <v>PPS00008738Тошкент_Мохира опа</v>
      </c>
      <c r="E114" s="99" t="s">
        <v>470</v>
      </c>
      <c r="F114" s="102" t="s">
        <v>304</v>
      </c>
      <c r="G114" s="102" t="s">
        <v>305</v>
      </c>
      <c r="H114" s="99" t="s">
        <v>255</v>
      </c>
      <c r="I114" s="102" t="s">
        <v>471</v>
      </c>
      <c r="J114" s="102" t="s">
        <v>21</v>
      </c>
      <c r="K114" s="103">
        <v>50</v>
      </c>
      <c r="L114" s="104">
        <v>40621</v>
      </c>
      <c r="M114" s="104">
        <v>2031050</v>
      </c>
      <c r="N114" s="39">
        <f t="shared" si="8"/>
        <v>750000</v>
      </c>
      <c r="O114" s="107">
        <f>+M114*$O$1</f>
        <v>365589</v>
      </c>
      <c r="P114" s="108">
        <f>+N114+O114</f>
        <v>1115589</v>
      </c>
      <c r="Q114" s="39">
        <v>100</v>
      </c>
      <c r="R114" s="39">
        <f t="shared" si="6"/>
        <v>2031050</v>
      </c>
      <c r="S114" s="42">
        <f t="shared" si="7"/>
        <v>0</v>
      </c>
    </row>
    <row r="115" spans="1:19">
      <c r="A115" s="99">
        <v>2025</v>
      </c>
      <c r="B115" s="100">
        <v>10</v>
      </c>
      <c r="C115" s="101">
        <v>45951</v>
      </c>
      <c r="D115" s="101" t="str">
        <f t="shared" si="4"/>
        <v>PPS00008752Тошкент_Мохира опа</v>
      </c>
      <c r="E115" s="99" t="s">
        <v>472</v>
      </c>
      <c r="F115" s="102" t="s">
        <v>311</v>
      </c>
      <c r="G115" s="102" t="s">
        <v>305</v>
      </c>
      <c r="H115" s="99" t="s">
        <v>255</v>
      </c>
      <c r="I115" s="102" t="s">
        <v>473</v>
      </c>
      <c r="J115" s="102" t="s">
        <v>21</v>
      </c>
      <c r="K115" s="103">
        <v>50</v>
      </c>
      <c r="L115" s="104">
        <v>40621</v>
      </c>
      <c r="M115" s="104">
        <v>2031050</v>
      </c>
      <c r="N115" s="39">
        <f t="shared" si="8"/>
        <v>750000</v>
      </c>
      <c r="O115" s="107">
        <f>+M115*$O$1</f>
        <v>365589</v>
      </c>
      <c r="P115" s="108">
        <f>+N115+O115</f>
        <v>1115589</v>
      </c>
      <c r="Q115" s="39">
        <v>100</v>
      </c>
      <c r="R115" s="39">
        <f t="shared" si="6"/>
        <v>2031050</v>
      </c>
      <c r="S115" s="42">
        <f t="shared" si="7"/>
        <v>0</v>
      </c>
    </row>
    <row r="116" spans="1:19">
      <c r="A116" s="99">
        <v>2025</v>
      </c>
      <c r="B116" s="100">
        <v>10</v>
      </c>
      <c r="C116" s="101">
        <v>45951</v>
      </c>
      <c r="D116" s="101" t="str">
        <f t="shared" si="4"/>
        <v>PPS00008769Шахрисабз_Мафтуна опа</v>
      </c>
      <c r="E116" s="99" t="s">
        <v>474</v>
      </c>
      <c r="F116" s="102" t="s">
        <v>475</v>
      </c>
      <c r="G116" s="102" t="s">
        <v>476</v>
      </c>
      <c r="H116" s="99" t="s">
        <v>255</v>
      </c>
      <c r="I116" s="102" t="s">
        <v>477</v>
      </c>
      <c r="J116" s="102" t="s">
        <v>466</v>
      </c>
      <c r="K116" s="103">
        <v>100</v>
      </c>
      <c r="L116" s="104">
        <v>120000</v>
      </c>
      <c r="M116" s="104">
        <v>12000000</v>
      </c>
      <c r="N116" s="39">
        <f t="shared" ref="N116:N117" si="9">+K116*35000</f>
        <v>3500000</v>
      </c>
      <c r="O116" s="107">
        <f>+M116*$O$1</f>
        <v>2160000</v>
      </c>
      <c r="P116" s="108">
        <f>+N116+O116</f>
        <v>5660000</v>
      </c>
      <c r="Q116" s="39">
        <v>100</v>
      </c>
      <c r="R116" s="39">
        <f t="shared" si="6"/>
        <v>12000000</v>
      </c>
      <c r="S116" s="42">
        <f t="shared" si="7"/>
        <v>0</v>
      </c>
    </row>
    <row r="117" spans="1:19">
      <c r="A117" s="99">
        <v>2025</v>
      </c>
      <c r="B117" s="100">
        <v>10</v>
      </c>
      <c r="C117" s="101">
        <v>45951</v>
      </c>
      <c r="D117" s="101" t="str">
        <f t="shared" si="4"/>
        <v>PPS00008784Таш.Обл_Шахло опа</v>
      </c>
      <c r="E117" s="99" t="s">
        <v>478</v>
      </c>
      <c r="F117" s="102" t="s">
        <v>463</v>
      </c>
      <c r="G117" s="102" t="s">
        <v>464</v>
      </c>
      <c r="H117" s="99" t="s">
        <v>255</v>
      </c>
      <c r="I117" s="102" t="s">
        <v>479</v>
      </c>
      <c r="J117" s="102" t="s">
        <v>466</v>
      </c>
      <c r="K117" s="103">
        <v>20</v>
      </c>
      <c r="L117" s="104">
        <v>120000</v>
      </c>
      <c r="M117" s="104">
        <v>2400000</v>
      </c>
      <c r="N117" s="39">
        <f t="shared" si="9"/>
        <v>700000</v>
      </c>
      <c r="O117" s="107">
        <f>+M117*$O$1</f>
        <v>432000</v>
      </c>
      <c r="P117" s="108">
        <f>+N117+O117</f>
        <v>1132000</v>
      </c>
      <c r="Q117" s="39">
        <v>100</v>
      </c>
      <c r="R117" s="39">
        <f t="shared" si="6"/>
        <v>2400000</v>
      </c>
      <c r="S117" s="42">
        <f t="shared" si="7"/>
        <v>0</v>
      </c>
    </row>
    <row r="118" spans="1:19">
      <c r="A118" s="99">
        <v>2025</v>
      </c>
      <c r="B118" s="100">
        <v>10</v>
      </c>
      <c r="C118" s="101">
        <v>45953</v>
      </c>
      <c r="D118" s="101" t="str">
        <f t="shared" si="4"/>
        <v>PPS00008836Жиззах_Саодат опа</v>
      </c>
      <c r="E118" s="99" t="s">
        <v>481</v>
      </c>
      <c r="F118" s="102" t="s">
        <v>336</v>
      </c>
      <c r="G118" s="102" t="s">
        <v>337</v>
      </c>
      <c r="H118" s="99" t="s">
        <v>255</v>
      </c>
      <c r="I118" s="102" t="s">
        <v>346</v>
      </c>
      <c r="J118" s="102" t="s">
        <v>21</v>
      </c>
      <c r="K118" s="103">
        <v>30</v>
      </c>
      <c r="L118" s="104">
        <v>40621</v>
      </c>
      <c r="M118" s="104">
        <v>1218630</v>
      </c>
      <c r="N118" s="39">
        <f t="shared" ref="N118" si="10">+K118*15000</f>
        <v>450000</v>
      </c>
      <c r="O118" s="107">
        <f>+M118*$O$1</f>
        <v>219353.4</v>
      </c>
      <c r="P118" s="108">
        <f>+N118+O118</f>
        <v>669353.4</v>
      </c>
      <c r="Q118" s="39">
        <v>100</v>
      </c>
      <c r="R118" s="39">
        <f t="shared" si="6"/>
        <v>1218630</v>
      </c>
      <c r="S118" s="42">
        <f t="shared" si="7"/>
        <v>0</v>
      </c>
    </row>
    <row r="119" spans="1:19">
      <c r="A119" s="99">
        <v>2025</v>
      </c>
      <c r="B119" s="100">
        <v>10</v>
      </c>
      <c r="C119" s="101">
        <v>45953</v>
      </c>
      <c r="D119" s="101" t="str">
        <f t="shared" si="4"/>
        <v>PPS00008867Самарканд_Хуршед ака</v>
      </c>
      <c r="E119" s="99" t="s">
        <v>482</v>
      </c>
      <c r="F119" s="102" t="s">
        <v>271</v>
      </c>
      <c r="G119" s="102" t="s">
        <v>272</v>
      </c>
      <c r="H119" s="99" t="s">
        <v>255</v>
      </c>
      <c r="I119" s="102" t="s">
        <v>483</v>
      </c>
      <c r="J119" s="102" t="s">
        <v>466</v>
      </c>
      <c r="K119" s="103">
        <v>120</v>
      </c>
      <c r="L119" s="104">
        <v>120000</v>
      </c>
      <c r="M119" s="104">
        <v>14400000</v>
      </c>
      <c r="N119" s="39">
        <f>+K119*35000</f>
        <v>4200000</v>
      </c>
      <c r="O119" s="107">
        <f>+M119*$O$1</f>
        <v>2592000</v>
      </c>
      <c r="P119" s="108">
        <f>+N119+O119</f>
        <v>6792000</v>
      </c>
      <c r="Q119" s="39">
        <v>100</v>
      </c>
      <c r="R119" s="39">
        <f t="shared" si="6"/>
        <v>14400000</v>
      </c>
      <c r="S119" s="42">
        <f t="shared" si="7"/>
        <v>0</v>
      </c>
    </row>
    <row r="120" spans="1:19">
      <c r="A120" s="99">
        <v>2025</v>
      </c>
      <c r="B120" s="100">
        <v>10</v>
      </c>
      <c r="C120" s="101">
        <v>45953</v>
      </c>
      <c r="D120" s="101" t="str">
        <f t="shared" si="4"/>
        <v>PPS00008871Жиззах_Саодат опа</v>
      </c>
      <c r="E120" s="99" t="s">
        <v>484</v>
      </c>
      <c r="F120" s="102" t="s">
        <v>336</v>
      </c>
      <c r="G120" s="102" t="s">
        <v>337</v>
      </c>
      <c r="H120" s="99" t="s">
        <v>255</v>
      </c>
      <c r="I120" s="102" t="s">
        <v>424</v>
      </c>
      <c r="J120" s="102" t="s">
        <v>21</v>
      </c>
      <c r="K120" s="103">
        <v>48</v>
      </c>
      <c r="L120" s="104">
        <v>40621</v>
      </c>
      <c r="M120" s="104">
        <v>1949808</v>
      </c>
      <c r="N120" s="39">
        <f t="shared" ref="N120:N123" si="11">+K120*15000</f>
        <v>720000</v>
      </c>
      <c r="O120" s="107">
        <f>+M120*$O$1</f>
        <v>350965.44</v>
      </c>
      <c r="P120" s="108">
        <f>+N120+O120</f>
        <v>1070965.44</v>
      </c>
      <c r="Q120" s="39">
        <v>100</v>
      </c>
      <c r="R120" s="39">
        <f t="shared" si="6"/>
        <v>1949808</v>
      </c>
      <c r="S120" s="42">
        <f t="shared" si="7"/>
        <v>0</v>
      </c>
    </row>
    <row r="121" spans="1:19">
      <c r="A121" s="99">
        <v>2025</v>
      </c>
      <c r="B121" s="100">
        <v>10</v>
      </c>
      <c r="C121" s="101">
        <v>45953</v>
      </c>
      <c r="D121" s="101" t="str">
        <f t="shared" si="4"/>
        <v>PPS00008884Жиззах_Саодат опа</v>
      </c>
      <c r="E121" s="99" t="s">
        <v>485</v>
      </c>
      <c r="F121" s="102" t="s">
        <v>336</v>
      </c>
      <c r="G121" s="102" t="s">
        <v>337</v>
      </c>
      <c r="H121" s="99" t="s">
        <v>255</v>
      </c>
      <c r="I121" s="102" t="s">
        <v>378</v>
      </c>
      <c r="J121" s="102" t="s">
        <v>21</v>
      </c>
      <c r="K121" s="103">
        <v>10</v>
      </c>
      <c r="L121" s="104">
        <v>40621</v>
      </c>
      <c r="M121" s="104">
        <v>406210</v>
      </c>
      <c r="N121" s="39">
        <f t="shared" si="11"/>
        <v>150000</v>
      </c>
      <c r="O121" s="107">
        <f>+M121*$O$1</f>
        <v>73117.8</v>
      </c>
      <c r="P121" s="108">
        <f>+N121+O121</f>
        <v>223117.8</v>
      </c>
      <c r="Q121" s="39">
        <v>100</v>
      </c>
      <c r="R121" s="39">
        <f t="shared" si="6"/>
        <v>406210</v>
      </c>
      <c r="S121" s="42">
        <f t="shared" si="7"/>
        <v>0</v>
      </c>
    </row>
    <row r="122" spans="1:19">
      <c r="A122" s="99">
        <v>2025</v>
      </c>
      <c r="B122" s="100">
        <v>10</v>
      </c>
      <c r="C122" s="101">
        <v>45954</v>
      </c>
      <c r="D122" s="101" t="str">
        <f t="shared" si="4"/>
        <v>PPS00008904Тошкент_Мохира опа</v>
      </c>
      <c r="E122" s="99" t="s">
        <v>486</v>
      </c>
      <c r="F122" s="102" t="s">
        <v>414</v>
      </c>
      <c r="G122" s="102" t="s">
        <v>305</v>
      </c>
      <c r="H122" s="99" t="s">
        <v>255</v>
      </c>
      <c r="I122" s="102" t="s">
        <v>422</v>
      </c>
      <c r="J122" s="102" t="s">
        <v>21</v>
      </c>
      <c r="K122" s="103">
        <v>50</v>
      </c>
      <c r="L122" s="104">
        <v>40621</v>
      </c>
      <c r="M122" s="104">
        <v>2031050</v>
      </c>
      <c r="N122" s="39">
        <f t="shared" si="11"/>
        <v>750000</v>
      </c>
      <c r="O122" s="107">
        <f>+M122*$O$1</f>
        <v>365589</v>
      </c>
      <c r="P122" s="108">
        <f>+N122+O122</f>
        <v>1115589</v>
      </c>
      <c r="Q122" s="39">
        <v>100</v>
      </c>
      <c r="R122" s="39">
        <f t="shared" si="6"/>
        <v>2031050</v>
      </c>
      <c r="S122" s="42">
        <f t="shared" si="7"/>
        <v>0</v>
      </c>
    </row>
    <row r="123" spans="1:19">
      <c r="A123" s="99">
        <v>2025</v>
      </c>
      <c r="B123" s="100">
        <v>10</v>
      </c>
      <c r="C123" s="101">
        <v>45954</v>
      </c>
      <c r="D123" s="101" t="str">
        <f t="shared" si="4"/>
        <v>PPS00008908Сирдарё_Фотима опа</v>
      </c>
      <c r="E123" s="99" t="s">
        <v>487</v>
      </c>
      <c r="F123" s="102" t="s">
        <v>280</v>
      </c>
      <c r="G123" s="102" t="s">
        <v>281</v>
      </c>
      <c r="H123" s="99" t="s">
        <v>255</v>
      </c>
      <c r="I123" s="102" t="s">
        <v>25</v>
      </c>
      <c r="J123" s="102" t="s">
        <v>21</v>
      </c>
      <c r="K123" s="103">
        <v>100</v>
      </c>
      <c r="L123" s="104">
        <v>40621</v>
      </c>
      <c r="M123" s="104">
        <v>4062100</v>
      </c>
      <c r="N123" s="39">
        <f t="shared" si="11"/>
        <v>1500000</v>
      </c>
      <c r="O123" s="107">
        <f>+M123*$O$1</f>
        <v>731178</v>
      </c>
      <c r="P123" s="108">
        <f>+N123+O123</f>
        <v>2231178</v>
      </c>
      <c r="Q123" s="39">
        <v>100</v>
      </c>
      <c r="R123" s="39">
        <f t="shared" si="6"/>
        <v>4062100</v>
      </c>
      <c r="S123" s="42">
        <f t="shared" si="7"/>
        <v>0</v>
      </c>
    </row>
    <row r="124" spans="1:19">
      <c r="A124" s="99">
        <v>2025</v>
      </c>
      <c r="B124" s="100">
        <v>10</v>
      </c>
      <c r="C124" s="101">
        <v>45957</v>
      </c>
      <c r="D124" s="101" t="str">
        <f t="shared" si="4"/>
        <v>PPS00008922Таш.Обл_Шахло опа</v>
      </c>
      <c r="E124" s="99" t="s">
        <v>488</v>
      </c>
      <c r="F124" s="102" t="s">
        <v>489</v>
      </c>
      <c r="G124" s="102" t="s">
        <v>464</v>
      </c>
      <c r="H124" s="99" t="s">
        <v>255</v>
      </c>
      <c r="I124" s="102" t="s">
        <v>490</v>
      </c>
      <c r="J124" s="102" t="s">
        <v>466</v>
      </c>
      <c r="K124" s="103">
        <v>20</v>
      </c>
      <c r="L124" s="104">
        <v>120000</v>
      </c>
      <c r="M124" s="104">
        <v>2400000</v>
      </c>
      <c r="N124" s="39">
        <f>+K124*35000</f>
        <v>700000</v>
      </c>
      <c r="O124" s="107">
        <f>+M124*$O$1</f>
        <v>432000</v>
      </c>
      <c r="P124" s="108">
        <f>+N124+O124</f>
        <v>1132000</v>
      </c>
      <c r="Q124" s="39">
        <v>100</v>
      </c>
      <c r="R124" s="39">
        <f t="shared" si="6"/>
        <v>2400000</v>
      </c>
      <c r="S124" s="42">
        <f t="shared" si="7"/>
        <v>0</v>
      </c>
    </row>
    <row r="125" spans="1:19">
      <c r="A125" s="99">
        <v>2025</v>
      </c>
      <c r="B125" s="100">
        <v>10</v>
      </c>
      <c r="C125" s="101">
        <v>45957</v>
      </c>
      <c r="D125" s="101" t="str">
        <f t="shared" si="4"/>
        <v>PPS00008952Сирдарё_Фотима опа</v>
      </c>
      <c r="E125" s="99" t="s">
        <v>491</v>
      </c>
      <c r="F125" s="102" t="s">
        <v>280</v>
      </c>
      <c r="G125" s="102" t="s">
        <v>281</v>
      </c>
      <c r="H125" s="99" t="s">
        <v>255</v>
      </c>
      <c r="I125" s="102" t="s">
        <v>492</v>
      </c>
      <c r="J125" s="102" t="s">
        <v>21</v>
      </c>
      <c r="K125" s="103">
        <v>30</v>
      </c>
      <c r="L125" s="104">
        <v>40621</v>
      </c>
      <c r="M125" s="104">
        <v>1218630</v>
      </c>
      <c r="N125" s="39">
        <f t="shared" ref="N125:N128" si="12">+K125*15000</f>
        <v>450000</v>
      </c>
      <c r="O125" s="107">
        <f>+M125*$O$1</f>
        <v>219353.4</v>
      </c>
      <c r="P125" s="108">
        <f>+N125+O125</f>
        <v>669353.4</v>
      </c>
      <c r="Q125" s="39">
        <v>100</v>
      </c>
      <c r="R125" s="39">
        <f t="shared" si="6"/>
        <v>1218630</v>
      </c>
      <c r="S125" s="42">
        <f t="shared" si="7"/>
        <v>0</v>
      </c>
    </row>
    <row r="126" spans="1:19">
      <c r="A126" s="99">
        <v>2025</v>
      </c>
      <c r="B126" s="100">
        <v>10</v>
      </c>
      <c r="C126" s="101">
        <v>45958</v>
      </c>
      <c r="D126" s="101" t="str">
        <f t="shared" si="4"/>
        <v>PPS00009008Сирдарё_Фотима опа</v>
      </c>
      <c r="E126" s="99" t="s">
        <v>493</v>
      </c>
      <c r="F126" s="102" t="s">
        <v>280</v>
      </c>
      <c r="G126" s="102" t="s">
        <v>281</v>
      </c>
      <c r="H126" s="99" t="s">
        <v>255</v>
      </c>
      <c r="I126" s="102" t="s">
        <v>443</v>
      </c>
      <c r="J126" s="102" t="s">
        <v>21</v>
      </c>
      <c r="K126" s="103">
        <v>50</v>
      </c>
      <c r="L126" s="104">
        <v>40621</v>
      </c>
      <c r="M126" s="104">
        <v>2031050</v>
      </c>
      <c r="N126" s="39">
        <f t="shared" si="12"/>
        <v>750000</v>
      </c>
      <c r="O126" s="107">
        <f>+M126*$O$1</f>
        <v>365589</v>
      </c>
      <c r="P126" s="108">
        <f>+N126+O126</f>
        <v>1115589</v>
      </c>
      <c r="Q126" s="39">
        <v>100</v>
      </c>
      <c r="R126" s="39">
        <f t="shared" si="6"/>
        <v>2031050</v>
      </c>
      <c r="S126" s="42">
        <f t="shared" si="7"/>
        <v>0</v>
      </c>
    </row>
    <row r="127" spans="1:19">
      <c r="A127" s="99">
        <v>2025</v>
      </c>
      <c r="B127" s="100">
        <v>10</v>
      </c>
      <c r="C127" s="101">
        <v>45960</v>
      </c>
      <c r="D127" s="101" t="str">
        <f t="shared" si="4"/>
        <v>PPS00009066Навоий_Дильноза опа</v>
      </c>
      <c r="E127" s="99" t="s">
        <v>494</v>
      </c>
      <c r="F127" s="102" t="s">
        <v>332</v>
      </c>
      <c r="G127" s="102" t="s">
        <v>333</v>
      </c>
      <c r="H127" s="99" t="s">
        <v>255</v>
      </c>
      <c r="I127" s="102" t="s">
        <v>350</v>
      </c>
      <c r="J127" s="102" t="s">
        <v>21</v>
      </c>
      <c r="K127" s="103">
        <v>50</v>
      </c>
      <c r="L127" s="104">
        <v>40621</v>
      </c>
      <c r="M127" s="104">
        <v>2031050</v>
      </c>
      <c r="N127" s="39">
        <f t="shared" si="12"/>
        <v>750000</v>
      </c>
      <c r="O127" s="107">
        <f>+M127*$O$1</f>
        <v>365589</v>
      </c>
      <c r="P127" s="108">
        <f>+N127+O127</f>
        <v>1115589</v>
      </c>
      <c r="Q127" s="39">
        <v>100</v>
      </c>
      <c r="R127" s="39">
        <f t="shared" si="6"/>
        <v>2031050</v>
      </c>
      <c r="S127" s="42">
        <f t="shared" si="7"/>
        <v>0</v>
      </c>
    </row>
    <row r="128" spans="1:19">
      <c r="A128" s="99">
        <v>2025</v>
      </c>
      <c r="B128" s="100">
        <v>10</v>
      </c>
      <c r="C128" s="101">
        <v>45960</v>
      </c>
      <c r="D128" s="101" t="str">
        <f t="shared" si="4"/>
        <v>PPS00009069Жиззах_Саодат опа</v>
      </c>
      <c r="E128" s="99" t="s">
        <v>495</v>
      </c>
      <c r="F128" s="102" t="s">
        <v>496</v>
      </c>
      <c r="G128" s="102" t="s">
        <v>337</v>
      </c>
      <c r="H128" s="99" t="s">
        <v>255</v>
      </c>
      <c r="I128" s="102" t="s">
        <v>445</v>
      </c>
      <c r="J128" s="102" t="s">
        <v>21</v>
      </c>
      <c r="K128" s="103">
        <v>48</v>
      </c>
      <c r="L128" s="104">
        <v>40621</v>
      </c>
      <c r="M128" s="104">
        <v>1949808</v>
      </c>
      <c r="N128" s="39">
        <f t="shared" si="12"/>
        <v>720000</v>
      </c>
      <c r="O128" s="107">
        <f>+M128*$O$1</f>
        <v>350965.44</v>
      </c>
      <c r="P128" s="108">
        <f>+N128+O128</f>
        <v>1070965.44</v>
      </c>
      <c r="Q128" s="39">
        <v>100</v>
      </c>
      <c r="R128" s="39">
        <f t="shared" si="6"/>
        <v>1949808</v>
      </c>
      <c r="S128" s="42">
        <f t="shared" si="7"/>
        <v>0</v>
      </c>
    </row>
    <row r="129" spans="1:19">
      <c r="A129" s="99">
        <v>2025</v>
      </c>
      <c r="B129" s="100">
        <v>11</v>
      </c>
      <c r="C129" s="101">
        <v>45964</v>
      </c>
      <c r="D129" s="101" t="str">
        <f t="shared" si="4"/>
        <v>PPS00009173Таш.Обл_Шахло опа</v>
      </c>
      <c r="E129" s="99" t="s">
        <v>497</v>
      </c>
      <c r="F129" s="102" t="s">
        <v>489</v>
      </c>
      <c r="G129" s="102" t="s">
        <v>464</v>
      </c>
      <c r="H129" s="99" t="s">
        <v>255</v>
      </c>
      <c r="I129" s="102" t="s">
        <v>498</v>
      </c>
      <c r="J129" s="102" t="s">
        <v>466</v>
      </c>
      <c r="K129" s="103">
        <v>10</v>
      </c>
      <c r="L129" s="104">
        <v>120000</v>
      </c>
      <c r="M129" s="104">
        <v>1200000</v>
      </c>
      <c r="N129" s="39">
        <f>+K129*35000</f>
        <v>350000</v>
      </c>
      <c r="O129" s="107">
        <f>+M129*$O$1</f>
        <v>216000</v>
      </c>
      <c r="P129" s="108">
        <f>+N129+O129</f>
        <v>566000</v>
      </c>
      <c r="Q129" s="39">
        <v>100</v>
      </c>
      <c r="R129" s="39">
        <f t="shared" si="6"/>
        <v>1200000</v>
      </c>
      <c r="S129" s="42">
        <f t="shared" si="7"/>
        <v>0</v>
      </c>
    </row>
    <row r="130" spans="1:19">
      <c r="A130" s="99">
        <v>2025</v>
      </c>
      <c r="B130" s="100">
        <v>11</v>
      </c>
      <c r="C130" s="101">
        <v>45964</v>
      </c>
      <c r="D130" s="101" t="str">
        <f t="shared" si="4"/>
        <v>PPS00009175Сирдарё_Фотима опа</v>
      </c>
      <c r="E130" s="99" t="s">
        <v>499</v>
      </c>
      <c r="F130" s="102" t="s">
        <v>280</v>
      </c>
      <c r="G130" s="102" t="s">
        <v>281</v>
      </c>
      <c r="H130" s="99" t="s">
        <v>255</v>
      </c>
      <c r="I130" s="102" t="s">
        <v>320</v>
      </c>
      <c r="J130" s="102" t="s">
        <v>21</v>
      </c>
      <c r="K130" s="103">
        <v>200</v>
      </c>
      <c r="L130" s="104">
        <v>40621</v>
      </c>
      <c r="M130" s="104">
        <v>8124200</v>
      </c>
      <c r="N130" s="39">
        <f>+K130*15000</f>
        <v>3000000</v>
      </c>
      <c r="O130" s="107">
        <f>+M130*$O$1</f>
        <v>1462356</v>
      </c>
      <c r="P130" s="108">
        <f>+N130+O130</f>
        <v>4462356</v>
      </c>
      <c r="Q130" s="39">
        <v>100</v>
      </c>
      <c r="R130" s="39">
        <f t="shared" si="6"/>
        <v>8124200</v>
      </c>
      <c r="S130" s="42">
        <f t="shared" si="7"/>
        <v>0</v>
      </c>
    </row>
    <row r="131" spans="1:19">
      <c r="A131" s="99">
        <v>2025</v>
      </c>
      <c r="B131" s="100">
        <v>11</v>
      </c>
      <c r="C131" s="101">
        <v>45965</v>
      </c>
      <c r="D131" s="101" t="str">
        <f t="shared" si="4"/>
        <v>PPS00009249Кашкадарьё_Феруз ака</v>
      </c>
      <c r="E131" s="99" t="s">
        <v>500</v>
      </c>
      <c r="F131" s="102" t="s">
        <v>501</v>
      </c>
      <c r="G131" s="102" t="s">
        <v>502</v>
      </c>
      <c r="H131" s="99" t="s">
        <v>255</v>
      </c>
      <c r="I131" s="102" t="s">
        <v>503</v>
      </c>
      <c r="J131" s="102" t="s">
        <v>38</v>
      </c>
      <c r="K131" s="103">
        <v>10</v>
      </c>
      <c r="L131" s="104">
        <v>65000</v>
      </c>
      <c r="M131" s="104">
        <v>650000</v>
      </c>
      <c r="N131" s="39">
        <f>+K131*20000</f>
        <v>200000</v>
      </c>
      <c r="O131" s="107">
        <f>+M131*$O$1</f>
        <v>117000</v>
      </c>
      <c r="P131" s="108">
        <f>+N131+O131</f>
        <v>317000</v>
      </c>
      <c r="Q131" s="39">
        <v>100</v>
      </c>
      <c r="R131" s="39">
        <f t="shared" si="6"/>
        <v>650000</v>
      </c>
      <c r="S131" s="42">
        <f t="shared" si="7"/>
        <v>0</v>
      </c>
    </row>
    <row r="132" spans="1:19">
      <c r="A132" s="99">
        <v>2025</v>
      </c>
      <c r="B132" s="100">
        <v>11</v>
      </c>
      <c r="C132" s="101">
        <v>45965</v>
      </c>
      <c r="D132" s="101" t="str">
        <f t="shared" ref="D132:D195" si="13">+E132&amp;G132</f>
        <v>PPS00009253Навоий_Дильноза опа</v>
      </c>
      <c r="E132" s="99" t="s">
        <v>504</v>
      </c>
      <c r="F132" s="102" t="s">
        <v>332</v>
      </c>
      <c r="G132" s="102" t="s">
        <v>333</v>
      </c>
      <c r="H132" s="99" t="s">
        <v>255</v>
      </c>
      <c r="I132" s="102" t="s">
        <v>117</v>
      </c>
      <c r="J132" s="102" t="s">
        <v>21</v>
      </c>
      <c r="K132" s="103">
        <v>48</v>
      </c>
      <c r="L132" s="104">
        <v>40621</v>
      </c>
      <c r="M132" s="104">
        <v>1949808</v>
      </c>
      <c r="N132" s="39">
        <f t="shared" ref="N132:N134" si="14">+K132*15000</f>
        <v>720000</v>
      </c>
      <c r="O132" s="107">
        <f>+M132*$O$1</f>
        <v>350965.44</v>
      </c>
      <c r="P132" s="108">
        <f>+N132+O132</f>
        <v>1070965.44</v>
      </c>
      <c r="Q132" s="39">
        <v>100</v>
      </c>
      <c r="R132" s="39">
        <f t="shared" ref="R132:R195" si="15">+M132*Q132%</f>
        <v>1949808</v>
      </c>
      <c r="S132" s="42">
        <f t="shared" ref="S132:S195" si="16">M132-R132</f>
        <v>0</v>
      </c>
    </row>
    <row r="133" spans="1:19">
      <c r="A133" s="99">
        <v>2025</v>
      </c>
      <c r="B133" s="100">
        <v>11</v>
      </c>
      <c r="C133" s="101">
        <v>45966</v>
      </c>
      <c r="D133" s="101" t="str">
        <f t="shared" si="13"/>
        <v>PPS00009323Тошкент_Мохира опа</v>
      </c>
      <c r="E133" s="99" t="s">
        <v>505</v>
      </c>
      <c r="F133" s="102" t="s">
        <v>414</v>
      </c>
      <c r="G133" s="102" t="s">
        <v>305</v>
      </c>
      <c r="H133" s="99" t="s">
        <v>255</v>
      </c>
      <c r="I133" s="102" t="s">
        <v>456</v>
      </c>
      <c r="J133" s="102" t="s">
        <v>21</v>
      </c>
      <c r="K133" s="103">
        <v>30</v>
      </c>
      <c r="L133" s="104">
        <v>40621</v>
      </c>
      <c r="M133" s="104">
        <v>1218630</v>
      </c>
      <c r="N133" s="39">
        <f t="shared" si="14"/>
        <v>450000</v>
      </c>
      <c r="O133" s="107">
        <f>+M133*$O$1</f>
        <v>219353.4</v>
      </c>
      <c r="P133" s="108">
        <f>+N133+O133</f>
        <v>669353.4</v>
      </c>
      <c r="Q133" s="39">
        <v>100</v>
      </c>
      <c r="R133" s="39">
        <f t="shared" si="15"/>
        <v>1218630</v>
      </c>
      <c r="S133" s="42">
        <f t="shared" si="16"/>
        <v>0</v>
      </c>
    </row>
    <row r="134" spans="1:19">
      <c r="A134" s="99">
        <v>2025</v>
      </c>
      <c r="B134" s="100">
        <v>11</v>
      </c>
      <c r="C134" s="101">
        <v>45967</v>
      </c>
      <c r="D134" s="101" t="str">
        <f t="shared" si="13"/>
        <v>PPS00009329Жиззах_Саодат опа</v>
      </c>
      <c r="E134" s="99" t="s">
        <v>506</v>
      </c>
      <c r="F134" s="102" t="s">
        <v>336</v>
      </c>
      <c r="G134" s="102" t="s">
        <v>337</v>
      </c>
      <c r="H134" s="99" t="s">
        <v>255</v>
      </c>
      <c r="I134" s="102" t="s">
        <v>346</v>
      </c>
      <c r="J134" s="102" t="s">
        <v>21</v>
      </c>
      <c r="K134" s="103">
        <v>20</v>
      </c>
      <c r="L134" s="104">
        <v>40621</v>
      </c>
      <c r="M134" s="104">
        <v>812420</v>
      </c>
      <c r="N134" s="39">
        <f t="shared" si="14"/>
        <v>300000</v>
      </c>
      <c r="O134" s="107">
        <f>+M134*$O$1</f>
        <v>146235.6</v>
      </c>
      <c r="P134" s="108">
        <f>+N134+O134</f>
        <v>446235.6</v>
      </c>
      <c r="Q134" s="39">
        <v>100</v>
      </c>
      <c r="R134" s="39">
        <f t="shared" si="15"/>
        <v>812420</v>
      </c>
      <c r="S134" s="42">
        <f t="shared" si="16"/>
        <v>0</v>
      </c>
    </row>
    <row r="135" spans="1:19">
      <c r="A135" s="99">
        <v>2025</v>
      </c>
      <c r="B135" s="100">
        <v>11</v>
      </c>
      <c r="C135" s="101">
        <v>45968</v>
      </c>
      <c r="D135" s="101" t="str">
        <f t="shared" si="13"/>
        <v>PPS00009388Кашкадарьё_Феруз ака</v>
      </c>
      <c r="E135" s="99" t="s">
        <v>507</v>
      </c>
      <c r="F135" s="102" t="s">
        <v>501</v>
      </c>
      <c r="G135" s="102" t="s">
        <v>502</v>
      </c>
      <c r="H135" s="99" t="s">
        <v>255</v>
      </c>
      <c r="I135" s="102" t="s">
        <v>508</v>
      </c>
      <c r="J135" s="102" t="s">
        <v>38</v>
      </c>
      <c r="K135" s="103">
        <v>20</v>
      </c>
      <c r="L135" s="104">
        <v>65000</v>
      </c>
      <c r="M135" s="104">
        <v>1300000</v>
      </c>
      <c r="N135" s="39">
        <f>+K135*20000</f>
        <v>400000</v>
      </c>
      <c r="O135" s="107">
        <f>+M135*$O$1</f>
        <v>234000</v>
      </c>
      <c r="P135" s="108">
        <f>+N135+O135</f>
        <v>634000</v>
      </c>
      <c r="Q135" s="39">
        <v>100</v>
      </c>
      <c r="R135" s="39">
        <f t="shared" si="15"/>
        <v>1300000</v>
      </c>
      <c r="S135" s="42">
        <f t="shared" si="16"/>
        <v>0</v>
      </c>
    </row>
    <row r="136" spans="1:19">
      <c r="A136" s="99">
        <v>2025</v>
      </c>
      <c r="B136" s="100">
        <v>11</v>
      </c>
      <c r="C136" s="101">
        <v>45968</v>
      </c>
      <c r="D136" s="101" t="str">
        <f t="shared" si="13"/>
        <v>PPS00009396Таш.Обл_Шахло опа</v>
      </c>
      <c r="E136" s="99" t="s">
        <v>509</v>
      </c>
      <c r="F136" s="102" t="s">
        <v>489</v>
      </c>
      <c r="G136" s="102" t="s">
        <v>464</v>
      </c>
      <c r="H136" s="99" t="s">
        <v>255</v>
      </c>
      <c r="I136" s="102" t="s">
        <v>479</v>
      </c>
      <c r="J136" s="102" t="s">
        <v>466</v>
      </c>
      <c r="K136" s="103">
        <v>50</v>
      </c>
      <c r="L136" s="104">
        <v>120000</v>
      </c>
      <c r="M136" s="104">
        <v>6000000</v>
      </c>
      <c r="N136" s="39">
        <f>+K136*35000</f>
        <v>1750000</v>
      </c>
      <c r="O136" s="107">
        <f>+M136*$O$1</f>
        <v>1080000</v>
      </c>
      <c r="P136" s="108">
        <f>+N136+O136</f>
        <v>2830000</v>
      </c>
      <c r="Q136" s="39">
        <v>100</v>
      </c>
      <c r="R136" s="39">
        <f t="shared" si="15"/>
        <v>6000000</v>
      </c>
      <c r="S136" s="42">
        <f t="shared" si="16"/>
        <v>0</v>
      </c>
    </row>
    <row r="137" spans="1:19">
      <c r="A137" s="99">
        <v>2025</v>
      </c>
      <c r="B137" s="100">
        <v>11</v>
      </c>
      <c r="C137" s="101">
        <v>45971</v>
      </c>
      <c r="D137" s="101" t="str">
        <f t="shared" si="13"/>
        <v>PPS00009460Жиззах_Саодат опа</v>
      </c>
      <c r="E137" s="99" t="s">
        <v>510</v>
      </c>
      <c r="F137" s="102" t="s">
        <v>496</v>
      </c>
      <c r="G137" s="102" t="s">
        <v>337</v>
      </c>
      <c r="H137" s="99" t="s">
        <v>255</v>
      </c>
      <c r="I137" s="102" t="s">
        <v>340</v>
      </c>
      <c r="J137" s="102" t="s">
        <v>21</v>
      </c>
      <c r="K137" s="103">
        <v>50</v>
      </c>
      <c r="L137" s="104">
        <v>40621</v>
      </c>
      <c r="M137" s="104">
        <v>2031050</v>
      </c>
      <c r="N137" s="39">
        <f t="shared" ref="N137:N140" si="17">+K137*15000</f>
        <v>750000</v>
      </c>
      <c r="O137" s="107">
        <f>+M137*$O$1</f>
        <v>365589</v>
      </c>
      <c r="P137" s="108">
        <f>+N137+O137</f>
        <v>1115589</v>
      </c>
      <c r="Q137" s="39">
        <v>100</v>
      </c>
      <c r="R137" s="39">
        <f t="shared" si="15"/>
        <v>2031050</v>
      </c>
      <c r="S137" s="42">
        <f t="shared" si="16"/>
        <v>0</v>
      </c>
    </row>
    <row r="138" spans="1:19">
      <c r="A138" s="99">
        <v>2025</v>
      </c>
      <c r="B138" s="100">
        <v>11</v>
      </c>
      <c r="C138" s="101">
        <v>45972</v>
      </c>
      <c r="D138" s="101" t="str">
        <f t="shared" si="13"/>
        <v>PPS00009474Навоий_Дильноза опа</v>
      </c>
      <c r="E138" s="99" t="s">
        <v>511</v>
      </c>
      <c r="F138" s="102" t="s">
        <v>332</v>
      </c>
      <c r="G138" s="102" t="s">
        <v>333</v>
      </c>
      <c r="H138" s="99" t="s">
        <v>255</v>
      </c>
      <c r="I138" s="102" t="s">
        <v>361</v>
      </c>
      <c r="J138" s="102" t="s">
        <v>21</v>
      </c>
      <c r="K138" s="103">
        <v>48</v>
      </c>
      <c r="L138" s="104">
        <v>40621</v>
      </c>
      <c r="M138" s="104">
        <v>1949808</v>
      </c>
      <c r="N138" s="39">
        <f t="shared" si="17"/>
        <v>720000</v>
      </c>
      <c r="O138" s="107">
        <f>+M138*$O$1</f>
        <v>350965.44</v>
      </c>
      <c r="P138" s="108">
        <f>+N138+O138</f>
        <v>1070965.44</v>
      </c>
      <c r="Q138" s="39">
        <v>100</v>
      </c>
      <c r="R138" s="39">
        <f t="shared" si="15"/>
        <v>1949808</v>
      </c>
      <c r="S138" s="42">
        <f t="shared" si="16"/>
        <v>0</v>
      </c>
    </row>
    <row r="139" spans="1:19">
      <c r="A139" s="99">
        <v>2025</v>
      </c>
      <c r="B139" s="100">
        <v>11</v>
      </c>
      <c r="C139" s="101">
        <v>45972</v>
      </c>
      <c r="D139" s="101" t="str">
        <f t="shared" si="13"/>
        <v>PPS00009501Сирдарё_Фотима опа</v>
      </c>
      <c r="E139" s="99" t="s">
        <v>512</v>
      </c>
      <c r="F139" s="102" t="s">
        <v>284</v>
      </c>
      <c r="G139" s="102" t="s">
        <v>281</v>
      </c>
      <c r="H139" s="99" t="s">
        <v>255</v>
      </c>
      <c r="I139" s="102" t="s">
        <v>443</v>
      </c>
      <c r="J139" s="102" t="s">
        <v>21</v>
      </c>
      <c r="K139" s="103">
        <v>50</v>
      </c>
      <c r="L139" s="104">
        <v>40621</v>
      </c>
      <c r="M139" s="104">
        <v>2031050</v>
      </c>
      <c r="N139" s="39">
        <f t="shared" si="17"/>
        <v>750000</v>
      </c>
      <c r="O139" s="107">
        <f>+M139*$O$1</f>
        <v>365589</v>
      </c>
      <c r="P139" s="108">
        <f>+N139+O139</f>
        <v>1115589</v>
      </c>
      <c r="Q139" s="39">
        <v>100</v>
      </c>
      <c r="R139" s="39">
        <f t="shared" si="15"/>
        <v>2031050</v>
      </c>
      <c r="S139" s="42">
        <f t="shared" si="16"/>
        <v>0</v>
      </c>
    </row>
    <row r="140" spans="1:19">
      <c r="A140" s="99">
        <v>2025</v>
      </c>
      <c r="B140" s="100">
        <v>11</v>
      </c>
      <c r="C140" s="101">
        <v>45972</v>
      </c>
      <c r="D140" s="101" t="str">
        <f t="shared" si="13"/>
        <v>PPS00009503Таш,Обл_Рустам ака</v>
      </c>
      <c r="E140" s="99" t="s">
        <v>513</v>
      </c>
      <c r="F140" s="102" t="s">
        <v>265</v>
      </c>
      <c r="G140" s="102" t="s">
        <v>266</v>
      </c>
      <c r="H140" s="99" t="s">
        <v>255</v>
      </c>
      <c r="I140" s="102" t="s">
        <v>514</v>
      </c>
      <c r="J140" s="102" t="s">
        <v>21</v>
      </c>
      <c r="K140" s="103">
        <v>10</v>
      </c>
      <c r="L140" s="104">
        <v>40621</v>
      </c>
      <c r="M140" s="104">
        <v>406210</v>
      </c>
      <c r="N140" s="39">
        <f t="shared" si="17"/>
        <v>150000</v>
      </c>
      <c r="O140" s="107">
        <f>+M140*$O$1</f>
        <v>73117.8</v>
      </c>
      <c r="P140" s="108">
        <f>+N140+O140</f>
        <v>223117.8</v>
      </c>
      <c r="Q140" s="39">
        <v>100</v>
      </c>
      <c r="R140" s="39">
        <f t="shared" si="15"/>
        <v>406210</v>
      </c>
      <c r="S140" s="42">
        <f t="shared" si="16"/>
        <v>0</v>
      </c>
    </row>
    <row r="141" spans="1:19">
      <c r="A141" s="99">
        <v>2025</v>
      </c>
      <c r="B141" s="100">
        <v>11</v>
      </c>
      <c r="C141" s="101">
        <v>45972</v>
      </c>
      <c r="D141" s="101" t="str">
        <f t="shared" si="13"/>
        <v>PPS00009510Таш.Обл_Шахло опа</v>
      </c>
      <c r="E141" s="99" t="s">
        <v>515</v>
      </c>
      <c r="F141" s="102" t="s">
        <v>463</v>
      </c>
      <c r="G141" s="102" t="s">
        <v>464</v>
      </c>
      <c r="H141" s="99" t="s">
        <v>255</v>
      </c>
      <c r="I141" s="102" t="s">
        <v>516</v>
      </c>
      <c r="J141" s="102" t="s">
        <v>466</v>
      </c>
      <c r="K141" s="103">
        <v>10</v>
      </c>
      <c r="L141" s="104">
        <v>120000</v>
      </c>
      <c r="M141" s="104">
        <v>1200000</v>
      </c>
      <c r="N141" s="39">
        <f>+K141*35000</f>
        <v>350000</v>
      </c>
      <c r="O141" s="107">
        <f>+M141*$O$1</f>
        <v>216000</v>
      </c>
      <c r="P141" s="108">
        <f>+N141+O141</f>
        <v>566000</v>
      </c>
      <c r="Q141" s="39">
        <v>100</v>
      </c>
      <c r="R141" s="39">
        <f t="shared" si="15"/>
        <v>1200000</v>
      </c>
      <c r="S141" s="42">
        <f t="shared" si="16"/>
        <v>0</v>
      </c>
    </row>
    <row r="142" spans="1:19">
      <c r="A142" s="99">
        <v>2025</v>
      </c>
      <c r="B142" s="100">
        <v>11</v>
      </c>
      <c r="C142" s="101">
        <v>45972</v>
      </c>
      <c r="D142" s="101" t="str">
        <f t="shared" si="13"/>
        <v>PPS00009519Кашкадарьё_Феруз ака</v>
      </c>
      <c r="E142" s="99" t="s">
        <v>517</v>
      </c>
      <c r="F142" s="102" t="s">
        <v>501</v>
      </c>
      <c r="G142" s="102" t="s">
        <v>502</v>
      </c>
      <c r="H142" s="99" t="s">
        <v>255</v>
      </c>
      <c r="I142" s="102" t="s">
        <v>518</v>
      </c>
      <c r="J142" s="102" t="s">
        <v>38</v>
      </c>
      <c r="K142" s="103">
        <v>20</v>
      </c>
      <c r="L142" s="104">
        <v>65000</v>
      </c>
      <c r="M142" s="104">
        <v>1300000</v>
      </c>
      <c r="N142" s="39">
        <f t="shared" ref="N142:N144" si="18">+K142*20000</f>
        <v>400000</v>
      </c>
      <c r="O142" s="107">
        <f>+M142*$O$1</f>
        <v>234000</v>
      </c>
      <c r="P142" s="108">
        <f>+N142+O142</f>
        <v>634000</v>
      </c>
      <c r="Q142" s="39">
        <v>100</v>
      </c>
      <c r="R142" s="39">
        <f t="shared" si="15"/>
        <v>1300000</v>
      </c>
      <c r="S142" s="42">
        <f t="shared" si="16"/>
        <v>0</v>
      </c>
    </row>
    <row r="143" spans="1:19">
      <c r="A143" s="99">
        <v>2025</v>
      </c>
      <c r="B143" s="100">
        <v>11</v>
      </c>
      <c r="C143" s="101">
        <v>45972</v>
      </c>
      <c r="D143" s="101" t="str">
        <f t="shared" si="13"/>
        <v>PPS00009523Кашкадарьё_Феруз ака</v>
      </c>
      <c r="E143" s="99" t="s">
        <v>519</v>
      </c>
      <c r="F143" s="102" t="s">
        <v>501</v>
      </c>
      <c r="G143" s="102" t="s">
        <v>502</v>
      </c>
      <c r="H143" s="99" t="s">
        <v>255</v>
      </c>
      <c r="I143" s="102" t="s">
        <v>520</v>
      </c>
      <c r="J143" s="102" t="s">
        <v>38</v>
      </c>
      <c r="K143" s="103">
        <v>10</v>
      </c>
      <c r="L143" s="104">
        <v>65000</v>
      </c>
      <c r="M143" s="104">
        <v>650000</v>
      </c>
      <c r="N143" s="39">
        <f t="shared" si="18"/>
        <v>200000</v>
      </c>
      <c r="O143" s="107">
        <f>+M143*$O$1</f>
        <v>117000</v>
      </c>
      <c r="P143" s="108">
        <f>+N143+O143</f>
        <v>317000</v>
      </c>
      <c r="Q143" s="39">
        <v>100</v>
      </c>
      <c r="R143" s="39">
        <f t="shared" si="15"/>
        <v>650000</v>
      </c>
      <c r="S143" s="42">
        <f t="shared" si="16"/>
        <v>0</v>
      </c>
    </row>
    <row r="144" spans="1:19">
      <c r="A144" s="99">
        <v>2025</v>
      </c>
      <c r="B144" s="100">
        <v>11</v>
      </c>
      <c r="C144" s="101">
        <v>45972</v>
      </c>
      <c r="D144" s="101" t="str">
        <f t="shared" si="13"/>
        <v>PPS00009525Кашкадарьё_Феруз ака</v>
      </c>
      <c r="E144" s="99" t="s">
        <v>521</v>
      </c>
      <c r="F144" s="102" t="s">
        <v>501</v>
      </c>
      <c r="G144" s="102" t="s">
        <v>502</v>
      </c>
      <c r="H144" s="99" t="s">
        <v>255</v>
      </c>
      <c r="I144" s="102" t="s">
        <v>522</v>
      </c>
      <c r="J144" s="102" t="s">
        <v>38</v>
      </c>
      <c r="K144" s="103">
        <v>20</v>
      </c>
      <c r="L144" s="104">
        <v>65000</v>
      </c>
      <c r="M144" s="104">
        <v>1300000</v>
      </c>
      <c r="N144" s="39">
        <f t="shared" si="18"/>
        <v>400000</v>
      </c>
      <c r="O144" s="107">
        <f>+M144*$O$1</f>
        <v>234000</v>
      </c>
      <c r="P144" s="108">
        <f>+N144+O144</f>
        <v>634000</v>
      </c>
      <c r="Q144" s="39">
        <v>100</v>
      </c>
      <c r="R144" s="39">
        <f t="shared" si="15"/>
        <v>1300000</v>
      </c>
      <c r="S144" s="42">
        <f t="shared" si="16"/>
        <v>0</v>
      </c>
    </row>
    <row r="145" spans="1:19">
      <c r="A145" s="99">
        <v>2025</v>
      </c>
      <c r="B145" s="100">
        <v>11</v>
      </c>
      <c r="C145" s="101">
        <v>45973</v>
      </c>
      <c r="D145" s="101" t="str">
        <f t="shared" si="13"/>
        <v>PPS00009551Сирдарё_Фотима опа</v>
      </c>
      <c r="E145" s="99" t="s">
        <v>523</v>
      </c>
      <c r="F145" s="102" t="s">
        <v>284</v>
      </c>
      <c r="G145" s="102" t="s">
        <v>281</v>
      </c>
      <c r="H145" s="99" t="s">
        <v>255</v>
      </c>
      <c r="I145" s="102" t="s">
        <v>371</v>
      </c>
      <c r="J145" s="102" t="s">
        <v>21</v>
      </c>
      <c r="K145" s="103">
        <v>50</v>
      </c>
      <c r="L145" s="104">
        <v>40621</v>
      </c>
      <c r="M145" s="104">
        <v>2031050</v>
      </c>
      <c r="N145" s="39">
        <f t="shared" ref="N145:N148" si="19">+K145*15000</f>
        <v>750000</v>
      </c>
      <c r="O145" s="107">
        <f>+M145*$O$1</f>
        <v>365589</v>
      </c>
      <c r="P145" s="108">
        <f>+N145+O145</f>
        <v>1115589</v>
      </c>
      <c r="Q145" s="39">
        <v>100</v>
      </c>
      <c r="R145" s="39">
        <f t="shared" si="15"/>
        <v>2031050</v>
      </c>
      <c r="S145" s="42">
        <f t="shared" si="16"/>
        <v>0</v>
      </c>
    </row>
    <row r="146" spans="1:19">
      <c r="A146" s="99">
        <v>2025</v>
      </c>
      <c r="B146" s="100">
        <v>11</v>
      </c>
      <c r="C146" s="101">
        <v>45973</v>
      </c>
      <c r="D146" s="101" t="str">
        <f t="shared" si="13"/>
        <v>PPS00009559Навоий_Дильноза опа</v>
      </c>
      <c r="E146" s="99" t="s">
        <v>524</v>
      </c>
      <c r="F146" s="102" t="s">
        <v>332</v>
      </c>
      <c r="G146" s="102" t="s">
        <v>333</v>
      </c>
      <c r="H146" s="99" t="s">
        <v>255</v>
      </c>
      <c r="I146" s="102" t="s">
        <v>439</v>
      </c>
      <c r="J146" s="102" t="s">
        <v>21</v>
      </c>
      <c r="K146" s="103">
        <v>30</v>
      </c>
      <c r="L146" s="104">
        <v>40621</v>
      </c>
      <c r="M146" s="104">
        <v>1218630</v>
      </c>
      <c r="N146" s="39">
        <f t="shared" si="19"/>
        <v>450000</v>
      </c>
      <c r="O146" s="107">
        <f>+M146*$O$1</f>
        <v>219353.4</v>
      </c>
      <c r="P146" s="108">
        <f>+N146+O146</f>
        <v>669353.4</v>
      </c>
      <c r="Q146" s="39">
        <v>100</v>
      </c>
      <c r="R146" s="39">
        <f t="shared" si="15"/>
        <v>1218630</v>
      </c>
      <c r="S146" s="42">
        <f t="shared" si="16"/>
        <v>0</v>
      </c>
    </row>
    <row r="147" spans="1:19">
      <c r="A147" s="99">
        <v>2025</v>
      </c>
      <c r="B147" s="100">
        <v>11</v>
      </c>
      <c r="C147" s="101">
        <v>45974</v>
      </c>
      <c r="D147" s="101" t="str">
        <f t="shared" si="13"/>
        <v>PPS00009593Навоий_Дильноза опа</v>
      </c>
      <c r="E147" s="99" t="s">
        <v>525</v>
      </c>
      <c r="F147" s="102" t="s">
        <v>332</v>
      </c>
      <c r="G147" s="102" t="s">
        <v>333</v>
      </c>
      <c r="H147" s="99" t="s">
        <v>255</v>
      </c>
      <c r="I147" s="102" t="s">
        <v>526</v>
      </c>
      <c r="J147" s="102" t="s">
        <v>21</v>
      </c>
      <c r="K147" s="103">
        <v>39</v>
      </c>
      <c r="L147" s="104">
        <v>40621</v>
      </c>
      <c r="M147" s="104">
        <v>1584219</v>
      </c>
      <c r="N147" s="39">
        <f t="shared" si="19"/>
        <v>585000</v>
      </c>
      <c r="O147" s="107">
        <f>+M147*$O$1</f>
        <v>285159.42</v>
      </c>
      <c r="P147" s="108">
        <f>+N147+O147</f>
        <v>870159.41999999993</v>
      </c>
      <c r="Q147" s="39">
        <v>100</v>
      </c>
      <c r="R147" s="39">
        <f t="shared" si="15"/>
        <v>1584219</v>
      </c>
      <c r="S147" s="42">
        <f t="shared" si="16"/>
        <v>0</v>
      </c>
    </row>
    <row r="148" spans="1:19">
      <c r="A148" s="99">
        <v>2025</v>
      </c>
      <c r="B148" s="100">
        <v>11</v>
      </c>
      <c r="C148" s="101">
        <v>45974</v>
      </c>
      <c r="D148" s="101" t="str">
        <f t="shared" si="13"/>
        <v>PPS00009598Жиззах_Саодат опа</v>
      </c>
      <c r="E148" s="99" t="s">
        <v>527</v>
      </c>
      <c r="F148" s="102" t="s">
        <v>336</v>
      </c>
      <c r="G148" s="102" t="s">
        <v>337</v>
      </c>
      <c r="H148" s="99" t="s">
        <v>255</v>
      </c>
      <c r="I148" s="102" t="s">
        <v>445</v>
      </c>
      <c r="J148" s="102" t="s">
        <v>21</v>
      </c>
      <c r="K148" s="103">
        <v>70</v>
      </c>
      <c r="L148" s="104">
        <v>40621</v>
      </c>
      <c r="M148" s="104">
        <v>2843470</v>
      </c>
      <c r="N148" s="39">
        <f t="shared" si="19"/>
        <v>1050000</v>
      </c>
      <c r="O148" s="107">
        <f>+M148*$O$1</f>
        <v>511824.6</v>
      </c>
      <c r="P148" s="108">
        <f>+N148+O148</f>
        <v>1561824.6</v>
      </c>
      <c r="Q148" s="39">
        <v>100</v>
      </c>
      <c r="R148" s="39">
        <f t="shared" si="15"/>
        <v>2843470</v>
      </c>
      <c r="S148" s="42">
        <f t="shared" si="16"/>
        <v>0</v>
      </c>
    </row>
    <row r="149" spans="1:19">
      <c r="A149" s="99">
        <v>2025</v>
      </c>
      <c r="B149" s="100">
        <v>11</v>
      </c>
      <c r="C149" s="101">
        <v>45975</v>
      </c>
      <c r="D149" s="101" t="str">
        <f t="shared" si="13"/>
        <v>PPS00009638Таш.Обл_Шахло опа</v>
      </c>
      <c r="E149" s="99" t="s">
        <v>528</v>
      </c>
      <c r="F149" s="102" t="s">
        <v>489</v>
      </c>
      <c r="G149" s="102" t="s">
        <v>464</v>
      </c>
      <c r="H149" s="99" t="s">
        <v>255</v>
      </c>
      <c r="I149" s="102" t="s">
        <v>529</v>
      </c>
      <c r="J149" s="102" t="s">
        <v>466</v>
      </c>
      <c r="K149" s="103">
        <v>20</v>
      </c>
      <c r="L149" s="104">
        <v>120000</v>
      </c>
      <c r="M149" s="104">
        <v>2400000</v>
      </c>
      <c r="N149" s="39">
        <f>+K149*35000</f>
        <v>700000</v>
      </c>
      <c r="O149" s="107">
        <f>+M149*$O$1</f>
        <v>432000</v>
      </c>
      <c r="P149" s="108">
        <f>+N149+O149</f>
        <v>1132000</v>
      </c>
      <c r="Q149" s="39">
        <v>100</v>
      </c>
      <c r="R149" s="39">
        <f t="shared" si="15"/>
        <v>2400000</v>
      </c>
      <c r="S149" s="42">
        <f t="shared" si="16"/>
        <v>0</v>
      </c>
    </row>
    <row r="150" spans="1:19">
      <c r="A150" s="99">
        <v>2025</v>
      </c>
      <c r="B150" s="100">
        <v>11</v>
      </c>
      <c r="C150" s="101">
        <v>45975</v>
      </c>
      <c r="D150" s="101" t="str">
        <f t="shared" si="13"/>
        <v>PPS00009639Сирдарё_Фотима опа</v>
      </c>
      <c r="E150" s="99" t="s">
        <v>530</v>
      </c>
      <c r="F150" s="102" t="s">
        <v>284</v>
      </c>
      <c r="G150" s="102" t="s">
        <v>281</v>
      </c>
      <c r="H150" s="99" t="s">
        <v>255</v>
      </c>
      <c r="I150" s="102" t="s">
        <v>531</v>
      </c>
      <c r="J150" s="102" t="s">
        <v>21</v>
      </c>
      <c r="K150" s="103">
        <v>100</v>
      </c>
      <c r="L150" s="104">
        <v>40621</v>
      </c>
      <c r="M150" s="104">
        <v>4062100</v>
      </c>
      <c r="N150" s="39">
        <f t="shared" ref="N150:N151" si="20">+K150*15000</f>
        <v>1500000</v>
      </c>
      <c r="O150" s="107">
        <f>+M150*$O$1</f>
        <v>731178</v>
      </c>
      <c r="P150" s="108">
        <f>+N150+O150</f>
        <v>2231178</v>
      </c>
      <c r="Q150" s="39">
        <v>100</v>
      </c>
      <c r="R150" s="39">
        <f t="shared" si="15"/>
        <v>4062100</v>
      </c>
      <c r="S150" s="42">
        <f t="shared" si="16"/>
        <v>0</v>
      </c>
    </row>
    <row r="151" spans="1:19">
      <c r="A151" s="99">
        <v>2025</v>
      </c>
      <c r="B151" s="100">
        <v>11</v>
      </c>
      <c r="C151" s="101">
        <v>45975</v>
      </c>
      <c r="D151" s="101" t="str">
        <f t="shared" si="13"/>
        <v>PPS00009645Навоий_Дильноза опа</v>
      </c>
      <c r="E151" s="99" t="s">
        <v>532</v>
      </c>
      <c r="F151" s="102" t="s">
        <v>332</v>
      </c>
      <c r="G151" s="102" t="s">
        <v>333</v>
      </c>
      <c r="H151" s="99" t="s">
        <v>255</v>
      </c>
      <c r="I151" s="102" t="s">
        <v>469</v>
      </c>
      <c r="J151" s="102" t="s">
        <v>21</v>
      </c>
      <c r="K151" s="103">
        <v>20</v>
      </c>
      <c r="L151" s="104">
        <v>40621</v>
      </c>
      <c r="M151" s="104">
        <v>812420</v>
      </c>
      <c r="N151" s="39">
        <f t="shared" si="20"/>
        <v>300000</v>
      </c>
      <c r="O151" s="107">
        <f>+M151*$O$1</f>
        <v>146235.6</v>
      </c>
      <c r="P151" s="108">
        <f>+N151+O151</f>
        <v>446235.6</v>
      </c>
      <c r="Q151" s="39">
        <v>100</v>
      </c>
      <c r="R151" s="39">
        <f t="shared" si="15"/>
        <v>812420</v>
      </c>
      <c r="S151" s="42">
        <f t="shared" si="16"/>
        <v>0</v>
      </c>
    </row>
    <row r="152" spans="1:19">
      <c r="A152" s="99">
        <v>2025</v>
      </c>
      <c r="B152" s="100">
        <v>11</v>
      </c>
      <c r="C152" s="101">
        <v>45975</v>
      </c>
      <c r="D152" s="101" t="str">
        <f t="shared" si="13"/>
        <v>PPS00009660Шахрисабз_Мафтуна опа</v>
      </c>
      <c r="E152" s="99" t="s">
        <v>533</v>
      </c>
      <c r="F152" s="102" t="s">
        <v>475</v>
      </c>
      <c r="G152" s="102" t="s">
        <v>476</v>
      </c>
      <c r="H152" s="99" t="s">
        <v>255</v>
      </c>
      <c r="I152" s="102" t="s">
        <v>534</v>
      </c>
      <c r="J152" s="102" t="s">
        <v>466</v>
      </c>
      <c r="K152" s="103">
        <v>3</v>
      </c>
      <c r="L152" s="104">
        <v>120000</v>
      </c>
      <c r="M152" s="104">
        <v>360000</v>
      </c>
      <c r="N152" s="39">
        <f>+K152*35000</f>
        <v>105000</v>
      </c>
      <c r="O152" s="107">
        <f>+M152*$O$1</f>
        <v>64800</v>
      </c>
      <c r="P152" s="108">
        <f>+N152+O152</f>
        <v>169800</v>
      </c>
      <c r="Q152" s="39">
        <v>100</v>
      </c>
      <c r="R152" s="39">
        <f t="shared" si="15"/>
        <v>360000</v>
      </c>
      <c r="S152" s="42">
        <f t="shared" si="16"/>
        <v>0</v>
      </c>
    </row>
    <row r="153" spans="1:19">
      <c r="A153" s="99">
        <v>2025</v>
      </c>
      <c r="B153" s="100">
        <v>11</v>
      </c>
      <c r="C153" s="101">
        <v>45978</v>
      </c>
      <c r="D153" s="101" t="str">
        <f t="shared" si="13"/>
        <v>PPS00009664Навоий_Дильноза опа</v>
      </c>
      <c r="E153" s="99" t="s">
        <v>535</v>
      </c>
      <c r="F153" s="102" t="s">
        <v>332</v>
      </c>
      <c r="G153" s="102" t="s">
        <v>333</v>
      </c>
      <c r="H153" s="99" t="s">
        <v>255</v>
      </c>
      <c r="I153" s="102" t="s">
        <v>536</v>
      </c>
      <c r="J153" s="102" t="s">
        <v>21</v>
      </c>
      <c r="K153" s="103">
        <v>33</v>
      </c>
      <c r="L153" s="104">
        <v>40621</v>
      </c>
      <c r="M153" s="104">
        <v>1340493</v>
      </c>
      <c r="N153" s="39">
        <f t="shared" ref="N153:N159" si="21">+K153*15000</f>
        <v>495000</v>
      </c>
      <c r="O153" s="107">
        <f>+M153*$O$1</f>
        <v>241288.74</v>
      </c>
      <c r="P153" s="108">
        <f>+N153+O153</f>
        <v>736288.74</v>
      </c>
      <c r="Q153" s="39">
        <v>100</v>
      </c>
      <c r="R153" s="39">
        <f t="shared" si="15"/>
        <v>1340493</v>
      </c>
      <c r="S153" s="42">
        <f t="shared" si="16"/>
        <v>0</v>
      </c>
    </row>
    <row r="154" spans="1:19">
      <c r="A154" s="99">
        <v>2025</v>
      </c>
      <c r="B154" s="100">
        <v>11</v>
      </c>
      <c r="C154" s="101">
        <v>45978</v>
      </c>
      <c r="D154" s="101" t="str">
        <f t="shared" si="13"/>
        <v>PPS00009670Жиззах_Саодат опа</v>
      </c>
      <c r="E154" s="99" t="s">
        <v>537</v>
      </c>
      <c r="F154" s="102" t="s">
        <v>496</v>
      </c>
      <c r="G154" s="102" t="s">
        <v>337</v>
      </c>
      <c r="H154" s="99" t="s">
        <v>255</v>
      </c>
      <c r="I154" s="102" t="s">
        <v>538</v>
      </c>
      <c r="J154" s="102" t="s">
        <v>21</v>
      </c>
      <c r="K154" s="103">
        <v>60</v>
      </c>
      <c r="L154" s="104">
        <v>40621</v>
      </c>
      <c r="M154" s="104">
        <v>2437260</v>
      </c>
      <c r="N154" s="39">
        <f t="shared" si="21"/>
        <v>900000</v>
      </c>
      <c r="O154" s="107">
        <f>+M154*$O$1</f>
        <v>438706.8</v>
      </c>
      <c r="P154" s="108">
        <f>+N154+O154</f>
        <v>1338706.8</v>
      </c>
      <c r="Q154" s="39">
        <v>100</v>
      </c>
      <c r="R154" s="39">
        <f t="shared" si="15"/>
        <v>2437260</v>
      </c>
      <c r="S154" s="42">
        <f t="shared" si="16"/>
        <v>0</v>
      </c>
    </row>
    <row r="155" spans="1:19">
      <c r="A155" s="99">
        <v>2025</v>
      </c>
      <c r="B155" s="100">
        <v>11</v>
      </c>
      <c r="C155" s="101">
        <v>45978</v>
      </c>
      <c r="D155" s="101" t="str">
        <f t="shared" si="13"/>
        <v>PPS00009688Жиззах_Саодат опа</v>
      </c>
      <c r="E155" s="99" t="s">
        <v>539</v>
      </c>
      <c r="F155" s="102" t="s">
        <v>336</v>
      </c>
      <c r="G155" s="102" t="s">
        <v>337</v>
      </c>
      <c r="H155" s="99" t="s">
        <v>255</v>
      </c>
      <c r="I155" s="102" t="s">
        <v>344</v>
      </c>
      <c r="J155" s="102" t="s">
        <v>21</v>
      </c>
      <c r="K155" s="103">
        <v>10</v>
      </c>
      <c r="L155" s="104">
        <v>40621</v>
      </c>
      <c r="M155" s="104">
        <v>406210</v>
      </c>
      <c r="N155" s="39">
        <f t="shared" si="21"/>
        <v>150000</v>
      </c>
      <c r="O155" s="107">
        <f>+M155*$O$1</f>
        <v>73117.8</v>
      </c>
      <c r="P155" s="108">
        <f>+N155+O155</f>
        <v>223117.8</v>
      </c>
      <c r="Q155" s="39">
        <v>100</v>
      </c>
      <c r="R155" s="39">
        <f t="shared" si="15"/>
        <v>406210</v>
      </c>
      <c r="S155" s="42">
        <f t="shared" si="16"/>
        <v>0</v>
      </c>
    </row>
    <row r="156" spans="1:19">
      <c r="A156" s="99">
        <v>2025</v>
      </c>
      <c r="B156" s="100">
        <v>11</v>
      </c>
      <c r="C156" s="101">
        <v>45978</v>
      </c>
      <c r="D156" s="101" t="str">
        <f t="shared" si="13"/>
        <v>PPS00009717Сирдарё_Фотима опа</v>
      </c>
      <c r="E156" s="99" t="s">
        <v>540</v>
      </c>
      <c r="F156" s="102" t="s">
        <v>541</v>
      </c>
      <c r="G156" s="102" t="s">
        <v>281</v>
      </c>
      <c r="H156" s="99" t="s">
        <v>255</v>
      </c>
      <c r="I156" s="102" t="s">
        <v>327</v>
      </c>
      <c r="J156" s="102" t="s">
        <v>21</v>
      </c>
      <c r="K156" s="103">
        <v>30</v>
      </c>
      <c r="L156" s="104">
        <v>40621</v>
      </c>
      <c r="M156" s="104">
        <v>1218630</v>
      </c>
      <c r="N156" s="39">
        <f t="shared" si="21"/>
        <v>450000</v>
      </c>
      <c r="O156" s="107">
        <f>+M156*$O$1</f>
        <v>219353.4</v>
      </c>
      <c r="P156" s="108">
        <f>+N156+O156</f>
        <v>669353.4</v>
      </c>
      <c r="Q156" s="39">
        <v>100</v>
      </c>
      <c r="R156" s="39">
        <f t="shared" si="15"/>
        <v>1218630</v>
      </c>
      <c r="S156" s="42">
        <f t="shared" si="16"/>
        <v>0</v>
      </c>
    </row>
    <row r="157" spans="1:19">
      <c r="A157" s="99">
        <v>2025</v>
      </c>
      <c r="B157" s="100">
        <v>11</v>
      </c>
      <c r="C157" s="101">
        <v>45978</v>
      </c>
      <c r="D157" s="101" t="str">
        <f t="shared" si="13"/>
        <v>PPS00009728Жиззах_Саодат опа</v>
      </c>
      <c r="E157" s="99" t="s">
        <v>542</v>
      </c>
      <c r="F157" s="102" t="s">
        <v>336</v>
      </c>
      <c r="G157" s="102" t="s">
        <v>337</v>
      </c>
      <c r="H157" s="99" t="s">
        <v>255</v>
      </c>
      <c r="I157" s="102" t="s">
        <v>437</v>
      </c>
      <c r="J157" s="102" t="s">
        <v>21</v>
      </c>
      <c r="K157" s="103">
        <v>10</v>
      </c>
      <c r="L157" s="104">
        <v>40621</v>
      </c>
      <c r="M157" s="104">
        <v>406210</v>
      </c>
      <c r="N157" s="39">
        <f t="shared" si="21"/>
        <v>150000</v>
      </c>
      <c r="O157" s="107">
        <f>+M157*$O$1</f>
        <v>73117.8</v>
      </c>
      <c r="P157" s="108">
        <f>+N157+O157</f>
        <v>223117.8</v>
      </c>
      <c r="Q157" s="39">
        <v>100</v>
      </c>
      <c r="R157" s="39">
        <f t="shared" si="15"/>
        <v>406210</v>
      </c>
      <c r="S157" s="42">
        <f t="shared" si="16"/>
        <v>0</v>
      </c>
    </row>
    <row r="158" spans="1:19">
      <c r="A158" s="99">
        <v>2025</v>
      </c>
      <c r="B158" s="100">
        <v>11</v>
      </c>
      <c r="C158" s="101">
        <v>45978</v>
      </c>
      <c r="D158" s="101" t="str">
        <f t="shared" si="13"/>
        <v>PPS00009732Сурхондарьё_Сарвар ака</v>
      </c>
      <c r="E158" s="99" t="s">
        <v>543</v>
      </c>
      <c r="F158" s="102" t="s">
        <v>298</v>
      </c>
      <c r="G158" s="102" t="s">
        <v>253</v>
      </c>
      <c r="H158" s="99" t="s">
        <v>255</v>
      </c>
      <c r="I158" s="102" t="s">
        <v>544</v>
      </c>
      <c r="J158" s="102" t="s">
        <v>21</v>
      </c>
      <c r="K158" s="103">
        <v>60</v>
      </c>
      <c r="L158" s="104">
        <v>40621</v>
      </c>
      <c r="M158" s="104">
        <v>2437260</v>
      </c>
      <c r="N158" s="39">
        <f t="shared" si="21"/>
        <v>900000</v>
      </c>
      <c r="O158" s="107">
        <f>+M158*$O$1</f>
        <v>438706.8</v>
      </c>
      <c r="P158" s="108">
        <f>+N158+O158</f>
        <v>1338706.8</v>
      </c>
      <c r="Q158" s="39">
        <v>100</v>
      </c>
      <c r="R158" s="39">
        <f t="shared" si="15"/>
        <v>2437260</v>
      </c>
      <c r="S158" s="42">
        <f t="shared" si="16"/>
        <v>0</v>
      </c>
    </row>
    <row r="159" spans="1:19">
      <c r="A159" s="99">
        <v>2025</v>
      </c>
      <c r="B159" s="100">
        <v>11</v>
      </c>
      <c r="C159" s="101">
        <v>45979</v>
      </c>
      <c r="D159" s="101" t="str">
        <f t="shared" si="13"/>
        <v>PPS00009773Сирдарё_Фотима опа</v>
      </c>
      <c r="E159" s="99" t="s">
        <v>545</v>
      </c>
      <c r="F159" s="102" t="s">
        <v>541</v>
      </c>
      <c r="G159" s="102" t="s">
        <v>281</v>
      </c>
      <c r="H159" s="99" t="s">
        <v>255</v>
      </c>
      <c r="I159" s="102" t="s">
        <v>317</v>
      </c>
      <c r="J159" s="102" t="s">
        <v>21</v>
      </c>
      <c r="K159" s="103">
        <v>50</v>
      </c>
      <c r="L159" s="104">
        <v>40621</v>
      </c>
      <c r="M159" s="104">
        <v>2031050</v>
      </c>
      <c r="N159" s="39">
        <f t="shared" si="21"/>
        <v>750000</v>
      </c>
      <c r="O159" s="107">
        <f>+M159*$O$1</f>
        <v>365589</v>
      </c>
      <c r="P159" s="108">
        <f>+N159+O159</f>
        <v>1115589</v>
      </c>
      <c r="Q159" s="39">
        <v>100</v>
      </c>
      <c r="R159" s="39">
        <f t="shared" si="15"/>
        <v>2031050</v>
      </c>
      <c r="S159" s="42">
        <f t="shared" si="16"/>
        <v>0</v>
      </c>
    </row>
    <row r="160" spans="1:19">
      <c r="A160" s="99">
        <v>2025</v>
      </c>
      <c r="B160" s="100">
        <v>11</v>
      </c>
      <c r="C160" s="101">
        <v>45979</v>
      </c>
      <c r="D160" s="101" t="str">
        <f t="shared" si="13"/>
        <v>PPS00009789Таш.Обл_Шахло опа</v>
      </c>
      <c r="E160" s="99" t="s">
        <v>546</v>
      </c>
      <c r="F160" s="102" t="s">
        <v>547</v>
      </c>
      <c r="G160" s="102" t="s">
        <v>464</v>
      </c>
      <c r="H160" s="99" t="s">
        <v>255</v>
      </c>
      <c r="I160" s="102" t="s">
        <v>548</v>
      </c>
      <c r="J160" s="102" t="s">
        <v>466</v>
      </c>
      <c r="K160" s="103">
        <v>10</v>
      </c>
      <c r="L160" s="104">
        <v>120000</v>
      </c>
      <c r="M160" s="104">
        <v>1200000</v>
      </c>
      <c r="N160" s="39">
        <f>+K160*35000</f>
        <v>350000</v>
      </c>
      <c r="O160" s="107">
        <f>+M160*$O$1</f>
        <v>216000</v>
      </c>
      <c r="P160" s="108">
        <f>+N160+O160</f>
        <v>566000</v>
      </c>
      <c r="Q160" s="39">
        <v>100</v>
      </c>
      <c r="R160" s="39">
        <f t="shared" si="15"/>
        <v>1200000</v>
      </c>
      <c r="S160" s="42">
        <f t="shared" si="16"/>
        <v>0</v>
      </c>
    </row>
    <row r="161" spans="1:19">
      <c r="A161" s="99">
        <v>2025</v>
      </c>
      <c r="B161" s="100">
        <v>11</v>
      </c>
      <c r="C161" s="101">
        <v>45979</v>
      </c>
      <c r="D161" s="101" t="str">
        <f t="shared" si="13"/>
        <v>PPS00009798Навоий_Дильноза опа</v>
      </c>
      <c r="E161" s="99" t="s">
        <v>549</v>
      </c>
      <c r="F161" s="102" t="s">
        <v>332</v>
      </c>
      <c r="G161" s="102" t="s">
        <v>333</v>
      </c>
      <c r="H161" s="99" t="s">
        <v>255</v>
      </c>
      <c r="I161" s="102" t="s">
        <v>117</v>
      </c>
      <c r="J161" s="102" t="s">
        <v>21</v>
      </c>
      <c r="K161" s="103">
        <v>120</v>
      </c>
      <c r="L161" s="104">
        <v>40621</v>
      </c>
      <c r="M161" s="104">
        <v>4874520</v>
      </c>
      <c r="N161" s="39">
        <f t="shared" ref="N161:N162" si="22">+K161*15000</f>
        <v>1800000</v>
      </c>
      <c r="O161" s="107">
        <f>+M161*$O$1</f>
        <v>877413.6</v>
      </c>
      <c r="P161" s="108">
        <f>+N161+O161</f>
        <v>2677413.6</v>
      </c>
      <c r="Q161" s="39">
        <v>100</v>
      </c>
      <c r="R161" s="39">
        <f t="shared" si="15"/>
        <v>4874520</v>
      </c>
      <c r="S161" s="42">
        <f t="shared" si="16"/>
        <v>0</v>
      </c>
    </row>
    <row r="162" spans="1:19">
      <c r="A162" s="99">
        <v>2025</v>
      </c>
      <c r="B162" s="100">
        <v>11</v>
      </c>
      <c r="C162" s="101">
        <v>45981</v>
      </c>
      <c r="D162" s="101" t="str">
        <f t="shared" si="13"/>
        <v>PPS00009856Жиззах_Саодат опа</v>
      </c>
      <c r="E162" s="99" t="s">
        <v>550</v>
      </c>
      <c r="F162" s="102" t="s">
        <v>336</v>
      </c>
      <c r="G162" s="102" t="s">
        <v>337</v>
      </c>
      <c r="H162" s="99" t="s">
        <v>255</v>
      </c>
      <c r="I162" s="102" t="s">
        <v>445</v>
      </c>
      <c r="J162" s="102" t="s">
        <v>21</v>
      </c>
      <c r="K162" s="103">
        <v>70</v>
      </c>
      <c r="L162" s="104">
        <v>40621</v>
      </c>
      <c r="M162" s="104">
        <v>2843470</v>
      </c>
      <c r="N162" s="39">
        <f t="shared" si="22"/>
        <v>1050000</v>
      </c>
      <c r="O162" s="107">
        <f>+M162*$O$1</f>
        <v>511824.6</v>
      </c>
      <c r="P162" s="108">
        <f>+N162+O162</f>
        <v>1561824.6</v>
      </c>
      <c r="Q162" s="39">
        <v>100</v>
      </c>
      <c r="R162" s="39">
        <f t="shared" si="15"/>
        <v>2843470</v>
      </c>
      <c r="S162" s="42">
        <f t="shared" si="16"/>
        <v>0</v>
      </c>
    </row>
    <row r="163" spans="1:19">
      <c r="A163" s="99">
        <v>2025</v>
      </c>
      <c r="B163" s="100">
        <v>11</v>
      </c>
      <c r="C163" s="101">
        <v>45981</v>
      </c>
      <c r="D163" s="101" t="str">
        <f t="shared" si="13"/>
        <v>PPS00009880Кашкадарьё_Феруз ака</v>
      </c>
      <c r="E163" s="99" t="s">
        <v>551</v>
      </c>
      <c r="F163" s="102" t="s">
        <v>501</v>
      </c>
      <c r="G163" s="102" t="s">
        <v>502</v>
      </c>
      <c r="H163" s="99" t="s">
        <v>255</v>
      </c>
      <c r="I163" s="102" t="s">
        <v>503</v>
      </c>
      <c r="J163" s="102" t="s">
        <v>38</v>
      </c>
      <c r="K163" s="103">
        <v>20</v>
      </c>
      <c r="L163" s="104">
        <v>65000</v>
      </c>
      <c r="M163" s="104">
        <v>1300000</v>
      </c>
      <c r="N163" s="39">
        <f>+K163*20000</f>
        <v>400000</v>
      </c>
      <c r="O163" s="107">
        <f>+M163*$O$1</f>
        <v>234000</v>
      </c>
      <c r="P163" s="108">
        <f>+N163+O163</f>
        <v>634000</v>
      </c>
      <c r="Q163" s="39">
        <v>100</v>
      </c>
      <c r="R163" s="39">
        <f t="shared" si="15"/>
        <v>1300000</v>
      </c>
      <c r="S163" s="42">
        <f t="shared" si="16"/>
        <v>0</v>
      </c>
    </row>
    <row r="164" spans="1:19">
      <c r="A164" s="99">
        <v>2025</v>
      </c>
      <c r="B164" s="100">
        <v>11</v>
      </c>
      <c r="C164" s="101">
        <v>45981</v>
      </c>
      <c r="D164" s="101" t="str">
        <f t="shared" si="13"/>
        <v>PPS00009896Навоий_Дильноза опа</v>
      </c>
      <c r="E164" s="99" t="s">
        <v>552</v>
      </c>
      <c r="F164" s="102" t="s">
        <v>553</v>
      </c>
      <c r="G164" s="102" t="s">
        <v>333</v>
      </c>
      <c r="H164" s="99" t="s">
        <v>255</v>
      </c>
      <c r="I164" s="102" t="s">
        <v>554</v>
      </c>
      <c r="J164" s="102" t="s">
        <v>21</v>
      </c>
      <c r="K164" s="103">
        <v>30</v>
      </c>
      <c r="L164" s="104">
        <v>40621</v>
      </c>
      <c r="M164" s="104">
        <v>1218630</v>
      </c>
      <c r="N164" s="39">
        <f t="shared" ref="N164:N173" si="23">+K164*15000</f>
        <v>450000</v>
      </c>
      <c r="O164" s="107">
        <f>+M164*$O$1</f>
        <v>219353.4</v>
      </c>
      <c r="P164" s="108">
        <f>+N164+O164</f>
        <v>669353.4</v>
      </c>
      <c r="Q164" s="39">
        <v>100</v>
      </c>
      <c r="R164" s="39">
        <f t="shared" si="15"/>
        <v>1218630</v>
      </c>
      <c r="S164" s="42">
        <f t="shared" si="16"/>
        <v>0</v>
      </c>
    </row>
    <row r="165" spans="1:19">
      <c r="A165" s="99">
        <v>2025</v>
      </c>
      <c r="B165" s="100">
        <v>11</v>
      </c>
      <c r="C165" s="101">
        <v>45981</v>
      </c>
      <c r="D165" s="101" t="str">
        <f t="shared" si="13"/>
        <v>PPS00009899Тошкент_Мохира опа</v>
      </c>
      <c r="E165" s="99" t="s">
        <v>555</v>
      </c>
      <c r="F165" s="102" t="s">
        <v>556</v>
      </c>
      <c r="G165" s="102" t="s">
        <v>305</v>
      </c>
      <c r="H165" s="99" t="s">
        <v>255</v>
      </c>
      <c r="I165" s="102" t="s">
        <v>557</v>
      </c>
      <c r="J165" s="102" t="s">
        <v>21</v>
      </c>
      <c r="K165" s="103">
        <v>96</v>
      </c>
      <c r="L165" s="104">
        <v>40621</v>
      </c>
      <c r="M165" s="104">
        <v>3899616</v>
      </c>
      <c r="N165" s="39">
        <f t="shared" si="23"/>
        <v>1440000</v>
      </c>
      <c r="O165" s="107">
        <f>+M165*$O$1</f>
        <v>701930.88</v>
      </c>
      <c r="P165" s="108">
        <f>+N165+O165</f>
        <v>2141930.88</v>
      </c>
      <c r="Q165" s="39">
        <v>100</v>
      </c>
      <c r="R165" s="39">
        <f t="shared" si="15"/>
        <v>3899616</v>
      </c>
      <c r="S165" s="42">
        <f t="shared" si="16"/>
        <v>0</v>
      </c>
    </row>
    <row r="166" spans="1:19">
      <c r="A166" s="99">
        <v>2025</v>
      </c>
      <c r="B166" s="100">
        <v>11</v>
      </c>
      <c r="C166" s="101">
        <v>45981</v>
      </c>
      <c r="D166" s="101" t="str">
        <f t="shared" si="13"/>
        <v>PPS00009900Сирдарё_Фотима опа</v>
      </c>
      <c r="E166" s="99" t="s">
        <v>558</v>
      </c>
      <c r="F166" s="102" t="s">
        <v>541</v>
      </c>
      <c r="G166" s="102" t="s">
        <v>281</v>
      </c>
      <c r="H166" s="99" t="s">
        <v>255</v>
      </c>
      <c r="I166" s="102" t="s">
        <v>559</v>
      </c>
      <c r="J166" s="102" t="s">
        <v>21</v>
      </c>
      <c r="K166" s="103">
        <v>50</v>
      </c>
      <c r="L166" s="104">
        <v>40621</v>
      </c>
      <c r="M166" s="104">
        <v>2031050</v>
      </c>
      <c r="N166" s="39">
        <f t="shared" si="23"/>
        <v>750000</v>
      </c>
      <c r="O166" s="107">
        <f>+M166*$O$1</f>
        <v>365589</v>
      </c>
      <c r="P166" s="108">
        <f>+N166+O166</f>
        <v>1115589</v>
      </c>
      <c r="Q166" s="39">
        <v>100</v>
      </c>
      <c r="R166" s="39">
        <f t="shared" si="15"/>
        <v>2031050</v>
      </c>
      <c r="S166" s="42">
        <f t="shared" si="16"/>
        <v>0</v>
      </c>
    </row>
    <row r="167" spans="1:19">
      <c r="A167" s="99">
        <v>2025</v>
      </c>
      <c r="B167" s="100">
        <v>11</v>
      </c>
      <c r="C167" s="101">
        <v>45981</v>
      </c>
      <c r="D167" s="101" t="str">
        <f t="shared" si="13"/>
        <v>PPS00009914Навоий_Дильноза опа</v>
      </c>
      <c r="E167" s="99" t="s">
        <v>560</v>
      </c>
      <c r="F167" s="102" t="s">
        <v>332</v>
      </c>
      <c r="G167" s="102" t="s">
        <v>333</v>
      </c>
      <c r="H167" s="99" t="s">
        <v>255</v>
      </c>
      <c r="I167" s="102" t="s">
        <v>454</v>
      </c>
      <c r="J167" s="102" t="s">
        <v>21</v>
      </c>
      <c r="K167" s="103">
        <v>30</v>
      </c>
      <c r="L167" s="104">
        <v>40621</v>
      </c>
      <c r="M167" s="104">
        <v>1218630</v>
      </c>
      <c r="N167" s="39">
        <f t="shared" si="23"/>
        <v>450000</v>
      </c>
      <c r="O167" s="107">
        <f>+M167*$O$1</f>
        <v>219353.4</v>
      </c>
      <c r="P167" s="108">
        <f>+N167+O167</f>
        <v>669353.4</v>
      </c>
      <c r="Q167" s="39">
        <v>100</v>
      </c>
      <c r="R167" s="39">
        <f t="shared" si="15"/>
        <v>1218630</v>
      </c>
      <c r="S167" s="42">
        <f t="shared" si="16"/>
        <v>0</v>
      </c>
    </row>
    <row r="168" spans="1:19">
      <c r="A168" s="99">
        <v>2025</v>
      </c>
      <c r="B168" s="100">
        <v>11</v>
      </c>
      <c r="C168" s="101">
        <v>45981</v>
      </c>
      <c r="D168" s="101" t="str">
        <f t="shared" si="13"/>
        <v>PPS00009917Навоий_Дильноза опа</v>
      </c>
      <c r="E168" s="99" t="s">
        <v>561</v>
      </c>
      <c r="F168" s="102" t="s">
        <v>332</v>
      </c>
      <c r="G168" s="102" t="s">
        <v>333</v>
      </c>
      <c r="H168" s="99" t="s">
        <v>255</v>
      </c>
      <c r="I168" s="102" t="s">
        <v>439</v>
      </c>
      <c r="J168" s="102" t="s">
        <v>21</v>
      </c>
      <c r="K168" s="103">
        <v>30</v>
      </c>
      <c r="L168" s="104">
        <v>40621</v>
      </c>
      <c r="M168" s="104">
        <v>1218630</v>
      </c>
      <c r="N168" s="39">
        <f t="shared" si="23"/>
        <v>450000</v>
      </c>
      <c r="O168" s="107">
        <f>+M168*$O$1</f>
        <v>219353.4</v>
      </c>
      <c r="P168" s="108">
        <f>+N168+O168</f>
        <v>669353.4</v>
      </c>
      <c r="Q168" s="39">
        <v>100</v>
      </c>
      <c r="R168" s="39">
        <f t="shared" si="15"/>
        <v>1218630</v>
      </c>
      <c r="S168" s="42">
        <f t="shared" si="16"/>
        <v>0</v>
      </c>
    </row>
    <row r="169" spans="1:19">
      <c r="A169" s="99">
        <v>2025</v>
      </c>
      <c r="B169" s="100">
        <v>11</v>
      </c>
      <c r="C169" s="101">
        <v>45982</v>
      </c>
      <c r="D169" s="101" t="str">
        <f t="shared" si="13"/>
        <v>PPS00009933Навоий_Дильноза опа</v>
      </c>
      <c r="E169" s="99" t="s">
        <v>562</v>
      </c>
      <c r="F169" s="102" t="s">
        <v>332</v>
      </c>
      <c r="G169" s="102" t="s">
        <v>333</v>
      </c>
      <c r="H169" s="99" t="s">
        <v>255</v>
      </c>
      <c r="I169" s="102" t="s">
        <v>563</v>
      </c>
      <c r="J169" s="102" t="s">
        <v>21</v>
      </c>
      <c r="K169" s="103">
        <v>50</v>
      </c>
      <c r="L169" s="104">
        <v>40621</v>
      </c>
      <c r="M169" s="104">
        <v>2031050</v>
      </c>
      <c r="N169" s="39">
        <f t="shared" si="23"/>
        <v>750000</v>
      </c>
      <c r="O169" s="107">
        <f>+M169*$O$1</f>
        <v>365589</v>
      </c>
      <c r="P169" s="108">
        <f>+N169+O169</f>
        <v>1115589</v>
      </c>
      <c r="Q169" s="39">
        <v>100</v>
      </c>
      <c r="R169" s="39">
        <f t="shared" si="15"/>
        <v>2031050</v>
      </c>
      <c r="S169" s="42">
        <f t="shared" si="16"/>
        <v>0</v>
      </c>
    </row>
    <row r="170" spans="1:19">
      <c r="A170" s="99">
        <v>2025</v>
      </c>
      <c r="B170" s="100">
        <v>11</v>
      </c>
      <c r="C170" s="101">
        <v>45985</v>
      </c>
      <c r="D170" s="101" t="str">
        <f t="shared" si="13"/>
        <v>PPS00009951Навоий_Дильноза опа</v>
      </c>
      <c r="E170" s="99" t="s">
        <v>564</v>
      </c>
      <c r="F170" s="102" t="s">
        <v>332</v>
      </c>
      <c r="G170" s="102" t="s">
        <v>333</v>
      </c>
      <c r="H170" s="99" t="s">
        <v>255</v>
      </c>
      <c r="I170" s="102" t="s">
        <v>565</v>
      </c>
      <c r="J170" s="102" t="s">
        <v>21</v>
      </c>
      <c r="K170" s="103">
        <v>10</v>
      </c>
      <c r="L170" s="104">
        <v>40621</v>
      </c>
      <c r="M170" s="104">
        <v>406210</v>
      </c>
      <c r="N170" s="39">
        <f t="shared" si="23"/>
        <v>150000</v>
      </c>
      <c r="O170" s="107">
        <f>+M170*$O$1</f>
        <v>73117.8</v>
      </c>
      <c r="P170" s="108">
        <f>+N170+O170</f>
        <v>223117.8</v>
      </c>
      <c r="Q170" s="39">
        <v>100</v>
      </c>
      <c r="R170" s="39">
        <f t="shared" si="15"/>
        <v>406210</v>
      </c>
      <c r="S170" s="42">
        <f t="shared" si="16"/>
        <v>0</v>
      </c>
    </row>
    <row r="171" spans="1:19">
      <c r="A171" s="99">
        <v>2025</v>
      </c>
      <c r="B171" s="100">
        <v>11</v>
      </c>
      <c r="C171" s="101">
        <v>45985</v>
      </c>
      <c r="D171" s="101" t="str">
        <f t="shared" si="13"/>
        <v>PPS00009978Жиззах_Саодат опа</v>
      </c>
      <c r="E171" s="99" t="s">
        <v>566</v>
      </c>
      <c r="F171" s="102" t="s">
        <v>336</v>
      </c>
      <c r="G171" s="102" t="s">
        <v>337</v>
      </c>
      <c r="H171" s="99" t="s">
        <v>255</v>
      </c>
      <c r="I171" s="102" t="s">
        <v>424</v>
      </c>
      <c r="J171" s="102" t="s">
        <v>21</v>
      </c>
      <c r="K171" s="103">
        <v>50</v>
      </c>
      <c r="L171" s="104">
        <v>40621</v>
      </c>
      <c r="M171" s="104">
        <v>2031050</v>
      </c>
      <c r="N171" s="39">
        <f t="shared" si="23"/>
        <v>750000</v>
      </c>
      <c r="O171" s="107">
        <f>+M171*$O$1</f>
        <v>365589</v>
      </c>
      <c r="P171" s="108">
        <f>+N171+O171</f>
        <v>1115589</v>
      </c>
      <c r="Q171" s="39">
        <v>100</v>
      </c>
      <c r="R171" s="39">
        <f t="shared" si="15"/>
        <v>2031050</v>
      </c>
      <c r="S171" s="42">
        <f t="shared" si="16"/>
        <v>0</v>
      </c>
    </row>
    <row r="172" spans="1:19">
      <c r="A172" s="99">
        <v>2025</v>
      </c>
      <c r="B172" s="100">
        <v>11</v>
      </c>
      <c r="C172" s="101">
        <v>45985</v>
      </c>
      <c r="D172" s="101" t="str">
        <f t="shared" si="13"/>
        <v>PPS00009983Тошкент_Мохира опа</v>
      </c>
      <c r="E172" s="99" t="s">
        <v>567</v>
      </c>
      <c r="F172" s="102" t="s">
        <v>414</v>
      </c>
      <c r="G172" s="102" t="s">
        <v>305</v>
      </c>
      <c r="H172" s="99" t="s">
        <v>255</v>
      </c>
      <c r="I172" s="102" t="s">
        <v>456</v>
      </c>
      <c r="J172" s="102" t="s">
        <v>21</v>
      </c>
      <c r="K172" s="103">
        <v>30</v>
      </c>
      <c r="L172" s="104">
        <v>40621</v>
      </c>
      <c r="M172" s="104">
        <v>1218630</v>
      </c>
      <c r="N172" s="39">
        <f t="shared" si="23"/>
        <v>450000</v>
      </c>
      <c r="O172" s="107">
        <f>+M172*$O$1</f>
        <v>219353.4</v>
      </c>
      <c r="P172" s="108">
        <f>+N172+O172</f>
        <v>669353.4</v>
      </c>
      <c r="Q172" s="39">
        <v>100</v>
      </c>
      <c r="R172" s="39">
        <f t="shared" si="15"/>
        <v>1218630</v>
      </c>
      <c r="S172" s="42">
        <f t="shared" si="16"/>
        <v>0</v>
      </c>
    </row>
    <row r="173" spans="1:19">
      <c r="A173" s="99">
        <v>2025</v>
      </c>
      <c r="B173" s="100">
        <v>11</v>
      </c>
      <c r="C173" s="101">
        <v>45985</v>
      </c>
      <c r="D173" s="101" t="str">
        <f t="shared" si="13"/>
        <v>PPS00009999Жиззах_Саодат опа</v>
      </c>
      <c r="E173" s="99" t="s">
        <v>568</v>
      </c>
      <c r="F173" s="102" t="s">
        <v>336</v>
      </c>
      <c r="G173" s="102" t="s">
        <v>337</v>
      </c>
      <c r="H173" s="99" t="s">
        <v>255</v>
      </c>
      <c r="I173" s="102" t="s">
        <v>340</v>
      </c>
      <c r="J173" s="102" t="s">
        <v>21</v>
      </c>
      <c r="K173" s="103">
        <v>50</v>
      </c>
      <c r="L173" s="104">
        <v>40621</v>
      </c>
      <c r="M173" s="104">
        <v>2031050</v>
      </c>
      <c r="N173" s="39">
        <f t="shared" si="23"/>
        <v>750000</v>
      </c>
      <c r="O173" s="107">
        <f>+M173*$O$1</f>
        <v>365589</v>
      </c>
      <c r="P173" s="108">
        <f>+N173+O173</f>
        <v>1115589</v>
      </c>
      <c r="Q173" s="39">
        <v>100</v>
      </c>
      <c r="R173" s="39">
        <f t="shared" si="15"/>
        <v>2031050</v>
      </c>
      <c r="S173" s="42">
        <f t="shared" si="16"/>
        <v>0</v>
      </c>
    </row>
    <row r="174" spans="1:19">
      <c r="A174" s="99">
        <v>2025</v>
      </c>
      <c r="B174" s="100">
        <v>11</v>
      </c>
      <c r="C174" s="101">
        <v>45985</v>
      </c>
      <c r="D174" s="101" t="str">
        <f t="shared" si="13"/>
        <v>PPS00010012Таш.Обл_Шахло опа</v>
      </c>
      <c r="E174" s="99" t="s">
        <v>569</v>
      </c>
      <c r="F174" s="102" t="s">
        <v>489</v>
      </c>
      <c r="G174" s="102" t="s">
        <v>464</v>
      </c>
      <c r="H174" s="99" t="s">
        <v>255</v>
      </c>
      <c r="I174" s="102" t="s">
        <v>490</v>
      </c>
      <c r="J174" s="102" t="s">
        <v>466</v>
      </c>
      <c r="K174" s="103">
        <v>20</v>
      </c>
      <c r="L174" s="104">
        <v>120000</v>
      </c>
      <c r="M174" s="104">
        <v>2400000</v>
      </c>
      <c r="N174" s="39">
        <f>+K174*35000</f>
        <v>700000</v>
      </c>
      <c r="O174" s="107">
        <f>+M174*$O$1</f>
        <v>432000</v>
      </c>
      <c r="P174" s="108">
        <f>+N174+O174</f>
        <v>1132000</v>
      </c>
      <c r="Q174" s="39">
        <v>100</v>
      </c>
      <c r="R174" s="39">
        <f t="shared" si="15"/>
        <v>2400000</v>
      </c>
      <c r="S174" s="42">
        <f t="shared" si="16"/>
        <v>0</v>
      </c>
    </row>
    <row r="175" spans="1:19">
      <c r="A175" s="99">
        <v>2025</v>
      </c>
      <c r="B175" s="100">
        <v>11</v>
      </c>
      <c r="C175" s="101">
        <v>45985</v>
      </c>
      <c r="D175" s="101" t="str">
        <f t="shared" si="13"/>
        <v>PPS00010021Жиззах_Саодат опа</v>
      </c>
      <c r="E175" s="99" t="s">
        <v>570</v>
      </c>
      <c r="F175" s="102" t="s">
        <v>496</v>
      </c>
      <c r="G175" s="102" t="s">
        <v>337</v>
      </c>
      <c r="H175" s="99" t="s">
        <v>255</v>
      </c>
      <c r="I175" s="102" t="s">
        <v>571</v>
      </c>
      <c r="J175" s="102" t="s">
        <v>21</v>
      </c>
      <c r="K175" s="103">
        <v>16</v>
      </c>
      <c r="L175" s="104">
        <v>40621</v>
      </c>
      <c r="M175" s="104">
        <v>649936</v>
      </c>
      <c r="N175" s="39">
        <f t="shared" ref="N175:N177" si="24">+K175*15000</f>
        <v>240000</v>
      </c>
      <c r="O175" s="107">
        <f>+M175*$O$1</f>
        <v>116988.48</v>
      </c>
      <c r="P175" s="108">
        <f>+N175+O175</f>
        <v>356988.48</v>
      </c>
      <c r="Q175" s="39">
        <v>100</v>
      </c>
      <c r="R175" s="39">
        <f t="shared" si="15"/>
        <v>649936</v>
      </c>
      <c r="S175" s="42">
        <f t="shared" si="16"/>
        <v>0</v>
      </c>
    </row>
    <row r="176" spans="1:19">
      <c r="A176" s="99">
        <v>2025</v>
      </c>
      <c r="B176" s="100">
        <v>11</v>
      </c>
      <c r="C176" s="101">
        <v>45985</v>
      </c>
      <c r="D176" s="101" t="str">
        <f t="shared" si="13"/>
        <v>PPS00010021Жиззах_Саодат опа</v>
      </c>
      <c r="E176" s="99" t="s">
        <v>570</v>
      </c>
      <c r="F176" s="102" t="s">
        <v>496</v>
      </c>
      <c r="G176" s="102" t="s">
        <v>337</v>
      </c>
      <c r="H176" s="99" t="s">
        <v>255</v>
      </c>
      <c r="I176" s="102" t="s">
        <v>571</v>
      </c>
      <c r="J176" s="102" t="s">
        <v>21</v>
      </c>
      <c r="K176" s="103">
        <v>4</v>
      </c>
      <c r="L176" s="104">
        <v>36955.08</v>
      </c>
      <c r="M176" s="104">
        <v>147820.32</v>
      </c>
      <c r="N176" s="39">
        <f t="shared" si="24"/>
        <v>60000</v>
      </c>
      <c r="O176" s="107">
        <f>+M176*$O$1</f>
        <v>26607.657599999999</v>
      </c>
      <c r="P176" s="108">
        <f>+N176+O176</f>
        <v>86607.657600000006</v>
      </c>
      <c r="Q176" s="39">
        <v>100</v>
      </c>
      <c r="R176" s="39">
        <f t="shared" si="15"/>
        <v>147820.32</v>
      </c>
      <c r="S176" s="42">
        <f t="shared" si="16"/>
        <v>0</v>
      </c>
    </row>
    <row r="177" spans="1:19">
      <c r="A177" s="99">
        <v>2025</v>
      </c>
      <c r="B177" s="100">
        <v>11</v>
      </c>
      <c r="C177" s="101">
        <v>45985</v>
      </c>
      <c r="D177" s="101" t="str">
        <f t="shared" si="13"/>
        <v>PPS00010026Навоий_Дильноза опа</v>
      </c>
      <c r="E177" s="99" t="s">
        <v>572</v>
      </c>
      <c r="F177" s="102" t="s">
        <v>332</v>
      </c>
      <c r="G177" s="102" t="s">
        <v>333</v>
      </c>
      <c r="H177" s="99" t="s">
        <v>255</v>
      </c>
      <c r="I177" s="102" t="s">
        <v>573</v>
      </c>
      <c r="J177" s="102" t="s">
        <v>21</v>
      </c>
      <c r="K177" s="103">
        <v>40</v>
      </c>
      <c r="L177" s="104">
        <v>40621</v>
      </c>
      <c r="M177" s="104">
        <v>1624840</v>
      </c>
      <c r="N177" s="39">
        <f t="shared" si="24"/>
        <v>600000</v>
      </c>
      <c r="O177" s="107">
        <f>+M177*$O$1</f>
        <v>292471.2</v>
      </c>
      <c r="P177" s="108">
        <f>+N177+O177</f>
        <v>892471.2</v>
      </c>
      <c r="Q177" s="39">
        <v>100</v>
      </c>
      <c r="R177" s="39">
        <f t="shared" si="15"/>
        <v>1624840</v>
      </c>
      <c r="S177" s="42">
        <f t="shared" si="16"/>
        <v>0</v>
      </c>
    </row>
    <row r="178" spans="1:19">
      <c r="A178" s="99">
        <v>2025</v>
      </c>
      <c r="B178" s="100">
        <v>11</v>
      </c>
      <c r="C178" s="101">
        <v>45986</v>
      </c>
      <c r="D178" s="101" t="str">
        <f t="shared" si="13"/>
        <v>PPS00010055Кашкадарьё_Феруз ака</v>
      </c>
      <c r="E178" s="99" t="s">
        <v>574</v>
      </c>
      <c r="F178" s="102" t="s">
        <v>575</v>
      </c>
      <c r="G178" s="102" t="s">
        <v>502</v>
      </c>
      <c r="H178" s="99" t="s">
        <v>255</v>
      </c>
      <c r="I178" s="102" t="s">
        <v>576</v>
      </c>
      <c r="J178" s="102" t="s">
        <v>38</v>
      </c>
      <c r="K178" s="103">
        <v>50</v>
      </c>
      <c r="L178" s="104">
        <v>65000</v>
      </c>
      <c r="M178" s="104">
        <v>3250000</v>
      </c>
      <c r="N178" s="39">
        <f>+K178*20000</f>
        <v>1000000</v>
      </c>
      <c r="O178" s="107">
        <f>+M178*$O$1</f>
        <v>585000</v>
      </c>
      <c r="P178" s="108">
        <f>+N178+O178</f>
        <v>1585000</v>
      </c>
      <c r="Q178" s="39">
        <v>100</v>
      </c>
      <c r="R178" s="39">
        <f t="shared" si="15"/>
        <v>3250000</v>
      </c>
      <c r="S178" s="42">
        <f t="shared" si="16"/>
        <v>0</v>
      </c>
    </row>
    <row r="179" spans="1:19">
      <c r="A179" s="99">
        <v>2025</v>
      </c>
      <c r="B179" s="100">
        <v>12</v>
      </c>
      <c r="C179" s="101">
        <v>45992</v>
      </c>
      <c r="D179" s="101" t="str">
        <f t="shared" si="13"/>
        <v>PPS00010215Навоий_Дильноза опа</v>
      </c>
      <c r="E179" s="99" t="s">
        <v>577</v>
      </c>
      <c r="F179" s="102" t="s">
        <v>332</v>
      </c>
      <c r="G179" s="102" t="s">
        <v>333</v>
      </c>
      <c r="H179" s="99" t="s">
        <v>255</v>
      </c>
      <c r="I179" s="102" t="s">
        <v>573</v>
      </c>
      <c r="J179" s="102" t="s">
        <v>21</v>
      </c>
      <c r="K179" s="103">
        <v>100</v>
      </c>
      <c r="L179" s="104">
        <v>40621</v>
      </c>
      <c r="M179" s="104">
        <v>4062100</v>
      </c>
      <c r="N179" s="39">
        <f t="shared" ref="N179:N183" si="25">+K179*15000</f>
        <v>1500000</v>
      </c>
      <c r="O179" s="107">
        <f>+M179*$O$1</f>
        <v>731178</v>
      </c>
      <c r="P179" s="108">
        <f>+N179+O179</f>
        <v>2231178</v>
      </c>
      <c r="Q179" s="39">
        <v>100</v>
      </c>
      <c r="R179" s="39">
        <f t="shared" si="15"/>
        <v>4062100</v>
      </c>
      <c r="S179" s="42">
        <f t="shared" si="16"/>
        <v>0</v>
      </c>
    </row>
    <row r="180" spans="1:19">
      <c r="A180" s="99">
        <v>2025</v>
      </c>
      <c r="B180" s="100">
        <v>12</v>
      </c>
      <c r="C180" s="101">
        <v>45992</v>
      </c>
      <c r="D180" s="101" t="str">
        <f t="shared" si="13"/>
        <v>PPS00010219Навоий_Дильноза опа</v>
      </c>
      <c r="E180" s="99" t="s">
        <v>578</v>
      </c>
      <c r="F180" s="102" t="s">
        <v>332</v>
      </c>
      <c r="G180" s="102" t="s">
        <v>333</v>
      </c>
      <c r="H180" s="99" t="s">
        <v>255</v>
      </c>
      <c r="I180" s="102" t="s">
        <v>554</v>
      </c>
      <c r="J180" s="102" t="s">
        <v>21</v>
      </c>
      <c r="K180" s="103">
        <v>20</v>
      </c>
      <c r="L180" s="104">
        <v>40621</v>
      </c>
      <c r="M180" s="104">
        <v>812420</v>
      </c>
      <c r="N180" s="39">
        <f t="shared" si="25"/>
        <v>300000</v>
      </c>
      <c r="O180" s="107">
        <f>+M180*$O$1</f>
        <v>146235.6</v>
      </c>
      <c r="P180" s="108">
        <f>+N180+O180</f>
        <v>446235.6</v>
      </c>
      <c r="Q180" s="39">
        <v>100</v>
      </c>
      <c r="R180" s="39">
        <f t="shared" si="15"/>
        <v>812420</v>
      </c>
      <c r="S180" s="42">
        <f t="shared" si="16"/>
        <v>0</v>
      </c>
    </row>
    <row r="181" spans="1:19">
      <c r="A181" s="99">
        <v>2025</v>
      </c>
      <c r="B181" s="100">
        <v>12</v>
      </c>
      <c r="C181" s="101">
        <v>45992</v>
      </c>
      <c r="D181" s="101" t="str">
        <f t="shared" si="13"/>
        <v>PPS00010228Сурхондарьё_Сарвар ака</v>
      </c>
      <c r="E181" s="99" t="s">
        <v>579</v>
      </c>
      <c r="F181" s="102" t="s">
        <v>298</v>
      </c>
      <c r="G181" s="102" t="s">
        <v>253</v>
      </c>
      <c r="H181" s="99" t="s">
        <v>255</v>
      </c>
      <c r="I181" s="102" t="s">
        <v>322</v>
      </c>
      <c r="J181" s="102" t="s">
        <v>21</v>
      </c>
      <c r="K181" s="103">
        <v>60</v>
      </c>
      <c r="L181" s="104">
        <v>40621</v>
      </c>
      <c r="M181" s="104">
        <v>2437260</v>
      </c>
      <c r="N181" s="39">
        <f t="shared" si="25"/>
        <v>900000</v>
      </c>
      <c r="O181" s="107">
        <f>+M181*$O$1</f>
        <v>438706.8</v>
      </c>
      <c r="P181" s="108">
        <f>+N181+O181</f>
        <v>1338706.8</v>
      </c>
      <c r="Q181" s="39">
        <v>100</v>
      </c>
      <c r="R181" s="39">
        <f t="shared" si="15"/>
        <v>2437260</v>
      </c>
      <c r="S181" s="42">
        <f t="shared" si="16"/>
        <v>0</v>
      </c>
    </row>
    <row r="182" spans="1:19">
      <c r="A182" s="99">
        <v>2025</v>
      </c>
      <c r="B182" s="100">
        <v>12</v>
      </c>
      <c r="C182" s="101">
        <v>45993</v>
      </c>
      <c r="D182" s="101" t="str">
        <f t="shared" si="13"/>
        <v>PPS00010267Тошкент_Мохира опа</v>
      </c>
      <c r="E182" s="99" t="s">
        <v>580</v>
      </c>
      <c r="F182" s="102" t="s">
        <v>556</v>
      </c>
      <c r="G182" s="102" t="s">
        <v>305</v>
      </c>
      <c r="H182" s="99" t="s">
        <v>255</v>
      </c>
      <c r="I182" s="102" t="s">
        <v>581</v>
      </c>
      <c r="J182" s="102" t="s">
        <v>21</v>
      </c>
      <c r="K182" s="103">
        <v>20</v>
      </c>
      <c r="L182" s="104">
        <v>40621</v>
      </c>
      <c r="M182" s="104">
        <v>812420</v>
      </c>
      <c r="N182" s="39">
        <f t="shared" si="25"/>
        <v>300000</v>
      </c>
      <c r="O182" s="107">
        <f>+M182*$O$1</f>
        <v>146235.6</v>
      </c>
      <c r="P182" s="108">
        <f>+N182+O182</f>
        <v>446235.6</v>
      </c>
      <c r="Q182" s="39">
        <v>100</v>
      </c>
      <c r="R182" s="39">
        <f t="shared" si="15"/>
        <v>812420</v>
      </c>
      <c r="S182" s="42">
        <f t="shared" si="16"/>
        <v>0</v>
      </c>
    </row>
    <row r="183" spans="1:19">
      <c r="A183" s="99">
        <v>2025</v>
      </c>
      <c r="B183" s="100">
        <v>12</v>
      </c>
      <c r="C183" s="101">
        <v>45994</v>
      </c>
      <c r="D183" s="101" t="str">
        <f t="shared" si="13"/>
        <v>PPS00010283Навоий_Дильноза опа</v>
      </c>
      <c r="E183" s="99" t="s">
        <v>582</v>
      </c>
      <c r="F183" s="102" t="s">
        <v>553</v>
      </c>
      <c r="G183" s="102" t="s">
        <v>333</v>
      </c>
      <c r="H183" s="99" t="s">
        <v>255</v>
      </c>
      <c r="I183" s="102" t="s">
        <v>565</v>
      </c>
      <c r="J183" s="102" t="s">
        <v>21</v>
      </c>
      <c r="K183" s="103">
        <v>10</v>
      </c>
      <c r="L183" s="104">
        <v>40621</v>
      </c>
      <c r="M183" s="104">
        <v>406210</v>
      </c>
      <c r="N183" s="39">
        <f t="shared" si="25"/>
        <v>150000</v>
      </c>
      <c r="O183" s="107">
        <f>+M183*$O$1</f>
        <v>73117.8</v>
      </c>
      <c r="P183" s="108">
        <f>+N183+O183</f>
        <v>223117.8</v>
      </c>
      <c r="Q183" s="39">
        <v>100</v>
      </c>
      <c r="R183" s="39">
        <f t="shared" si="15"/>
        <v>406210</v>
      </c>
      <c r="S183" s="42">
        <f t="shared" si="16"/>
        <v>0</v>
      </c>
    </row>
    <row r="184" spans="1:19">
      <c r="A184" s="99">
        <v>2025</v>
      </c>
      <c r="B184" s="100">
        <v>12</v>
      </c>
      <c r="C184" s="101">
        <v>45994</v>
      </c>
      <c r="D184" s="101" t="str">
        <f t="shared" si="13"/>
        <v>PPS00010286Кашкадарьё_Феруз ака</v>
      </c>
      <c r="E184" s="99" t="s">
        <v>583</v>
      </c>
      <c r="F184" s="102" t="s">
        <v>501</v>
      </c>
      <c r="G184" s="102" t="s">
        <v>502</v>
      </c>
      <c r="H184" s="99" t="s">
        <v>255</v>
      </c>
      <c r="I184" s="102" t="s">
        <v>508</v>
      </c>
      <c r="J184" s="102" t="s">
        <v>38</v>
      </c>
      <c r="K184" s="103">
        <v>30</v>
      </c>
      <c r="L184" s="104">
        <v>65000</v>
      </c>
      <c r="M184" s="104">
        <v>1950000</v>
      </c>
      <c r="N184" s="39">
        <f>+K184*20000</f>
        <v>600000</v>
      </c>
      <c r="O184" s="107">
        <f>+M184*$O$1</f>
        <v>351000</v>
      </c>
      <c r="P184" s="108">
        <f>+N184+O184</f>
        <v>951000</v>
      </c>
      <c r="Q184" s="39">
        <v>100</v>
      </c>
      <c r="R184" s="39">
        <f t="shared" si="15"/>
        <v>1950000</v>
      </c>
      <c r="S184" s="42">
        <f t="shared" si="16"/>
        <v>0</v>
      </c>
    </row>
    <row r="185" spans="1:19">
      <c r="A185" s="99">
        <v>2025</v>
      </c>
      <c r="B185" s="100">
        <v>12</v>
      </c>
      <c r="C185" s="101">
        <v>45995</v>
      </c>
      <c r="D185" s="101" t="str">
        <f t="shared" si="13"/>
        <v>PPS00010312Сурхондарьё_Сарвар ака</v>
      </c>
      <c r="E185" s="99" t="s">
        <v>584</v>
      </c>
      <c r="F185" s="102" t="s">
        <v>298</v>
      </c>
      <c r="G185" s="102" t="s">
        <v>253</v>
      </c>
      <c r="H185" s="99" t="s">
        <v>255</v>
      </c>
      <c r="I185" s="102" t="s">
        <v>585</v>
      </c>
      <c r="J185" s="102" t="s">
        <v>21</v>
      </c>
      <c r="K185" s="103">
        <v>60</v>
      </c>
      <c r="L185" s="104">
        <v>40621</v>
      </c>
      <c r="M185" s="104">
        <v>2437260</v>
      </c>
      <c r="N185" s="39">
        <f t="shared" ref="N185:N188" si="26">+K185*15000</f>
        <v>900000</v>
      </c>
      <c r="O185" s="107">
        <f>+M185*$O$1</f>
        <v>438706.8</v>
      </c>
      <c r="P185" s="108">
        <f>+N185+O185</f>
        <v>1338706.8</v>
      </c>
      <c r="Q185" s="39">
        <v>52</v>
      </c>
      <c r="R185" s="39">
        <f t="shared" si="15"/>
        <v>1267375.2</v>
      </c>
      <c r="S185" s="42">
        <f t="shared" si="16"/>
        <v>1169884.8</v>
      </c>
    </row>
    <row r="186" spans="1:19">
      <c r="A186" s="99">
        <v>2025</v>
      </c>
      <c r="B186" s="100">
        <v>12</v>
      </c>
      <c r="C186" s="101">
        <v>45995</v>
      </c>
      <c r="D186" s="101" t="str">
        <f t="shared" si="13"/>
        <v>PPS00010303Тошкент_Мохира опа</v>
      </c>
      <c r="E186" s="99" t="s">
        <v>586</v>
      </c>
      <c r="F186" s="102" t="s">
        <v>556</v>
      </c>
      <c r="G186" s="102" t="s">
        <v>305</v>
      </c>
      <c r="H186" s="99" t="s">
        <v>255</v>
      </c>
      <c r="I186" s="102" t="s">
        <v>587</v>
      </c>
      <c r="J186" s="102" t="s">
        <v>21</v>
      </c>
      <c r="K186" s="103">
        <v>10</v>
      </c>
      <c r="L186" s="104">
        <v>40621</v>
      </c>
      <c r="M186" s="104">
        <v>406210</v>
      </c>
      <c r="N186" s="39">
        <f t="shared" si="26"/>
        <v>150000</v>
      </c>
      <c r="O186" s="107">
        <f>+M186*$O$1</f>
        <v>73117.8</v>
      </c>
      <c r="P186" s="108">
        <f>+N186+O186</f>
        <v>223117.8</v>
      </c>
      <c r="Q186" s="39">
        <v>100</v>
      </c>
      <c r="R186" s="39">
        <f t="shared" si="15"/>
        <v>406210</v>
      </c>
      <c r="S186" s="42">
        <f t="shared" si="16"/>
        <v>0</v>
      </c>
    </row>
    <row r="187" spans="1:19">
      <c r="A187" s="99">
        <v>2025</v>
      </c>
      <c r="B187" s="100">
        <v>12</v>
      </c>
      <c r="C187" s="101">
        <v>45995</v>
      </c>
      <c r="D187" s="101" t="str">
        <f t="shared" si="13"/>
        <v>PPS00010325Навоий_Дильноза опа</v>
      </c>
      <c r="E187" s="99" t="s">
        <v>588</v>
      </c>
      <c r="F187" s="102" t="s">
        <v>553</v>
      </c>
      <c r="G187" s="102" t="s">
        <v>333</v>
      </c>
      <c r="H187" s="99" t="s">
        <v>255</v>
      </c>
      <c r="I187" s="102" t="s">
        <v>589</v>
      </c>
      <c r="J187" s="102" t="s">
        <v>21</v>
      </c>
      <c r="K187" s="103">
        <v>20</v>
      </c>
      <c r="L187" s="104">
        <v>40621</v>
      </c>
      <c r="M187" s="104">
        <v>812420</v>
      </c>
      <c r="N187" s="39">
        <f t="shared" si="26"/>
        <v>300000</v>
      </c>
      <c r="O187" s="107">
        <f>+M187*$O$1</f>
        <v>146235.6</v>
      </c>
      <c r="P187" s="108">
        <f>+N187+O187</f>
        <v>446235.6</v>
      </c>
      <c r="Q187" s="39">
        <v>100</v>
      </c>
      <c r="R187" s="39">
        <f t="shared" si="15"/>
        <v>812420</v>
      </c>
      <c r="S187" s="42">
        <f t="shared" si="16"/>
        <v>0</v>
      </c>
    </row>
    <row r="188" spans="1:19">
      <c r="A188" s="99">
        <v>2025</v>
      </c>
      <c r="B188" s="100">
        <v>12</v>
      </c>
      <c r="C188" s="101">
        <v>45995</v>
      </c>
      <c r="D188" s="101" t="str">
        <f t="shared" si="13"/>
        <v>PPS00010329Навоий_Дильноза опа</v>
      </c>
      <c r="E188" s="99" t="s">
        <v>590</v>
      </c>
      <c r="F188" s="102" t="s">
        <v>332</v>
      </c>
      <c r="G188" s="102" t="s">
        <v>333</v>
      </c>
      <c r="H188" s="99" t="s">
        <v>255</v>
      </c>
      <c r="I188" s="102" t="s">
        <v>62</v>
      </c>
      <c r="J188" s="102" t="s">
        <v>21</v>
      </c>
      <c r="K188" s="103">
        <v>20</v>
      </c>
      <c r="L188" s="104">
        <v>40621</v>
      </c>
      <c r="M188" s="104">
        <v>812420</v>
      </c>
      <c r="N188" s="39">
        <f t="shared" si="26"/>
        <v>300000</v>
      </c>
      <c r="O188" s="107">
        <f>+M188*$O$1</f>
        <v>146235.6</v>
      </c>
      <c r="P188" s="108">
        <f>+N188+O188</f>
        <v>446235.6</v>
      </c>
      <c r="Q188" s="39">
        <v>100</v>
      </c>
      <c r="R188" s="39">
        <f t="shared" si="15"/>
        <v>812420</v>
      </c>
      <c r="S188" s="42">
        <f t="shared" si="16"/>
        <v>0</v>
      </c>
    </row>
    <row r="189" spans="1:19">
      <c r="A189" s="99">
        <v>2025</v>
      </c>
      <c r="B189" s="100">
        <v>12</v>
      </c>
      <c r="C189" s="101">
        <v>45996</v>
      </c>
      <c r="D189" s="101" t="str">
        <f t="shared" si="13"/>
        <v>PPS00010343Кашкадарьё_Феруз ака</v>
      </c>
      <c r="E189" s="99" t="s">
        <v>591</v>
      </c>
      <c r="F189" s="102" t="s">
        <v>575</v>
      </c>
      <c r="G189" s="102" t="s">
        <v>502</v>
      </c>
      <c r="H189" s="99" t="s">
        <v>255</v>
      </c>
      <c r="I189" s="102" t="s">
        <v>592</v>
      </c>
      <c r="J189" s="102" t="s">
        <v>38</v>
      </c>
      <c r="K189" s="103">
        <v>10</v>
      </c>
      <c r="L189" s="104">
        <v>65000</v>
      </c>
      <c r="M189" s="104">
        <v>650000</v>
      </c>
      <c r="N189" s="39">
        <f>+K189*20000</f>
        <v>200000</v>
      </c>
      <c r="O189" s="107">
        <f>+M189*$O$1</f>
        <v>117000</v>
      </c>
      <c r="P189" s="108">
        <f>+N189+O189</f>
        <v>317000</v>
      </c>
      <c r="Q189" s="39">
        <v>100</v>
      </c>
      <c r="R189" s="39">
        <f t="shared" si="15"/>
        <v>650000</v>
      </c>
      <c r="S189" s="42">
        <f t="shared" si="16"/>
        <v>0</v>
      </c>
    </row>
    <row r="190" spans="1:19">
      <c r="A190" s="99">
        <v>2025</v>
      </c>
      <c r="B190" s="100">
        <v>12</v>
      </c>
      <c r="C190" s="101">
        <v>45996</v>
      </c>
      <c r="D190" s="101" t="str">
        <f t="shared" si="13"/>
        <v>PPS00010354Бухоро_Рустам ака</v>
      </c>
      <c r="E190" s="99" t="s">
        <v>593</v>
      </c>
      <c r="F190" s="102" t="s">
        <v>258</v>
      </c>
      <c r="G190" s="102" t="s">
        <v>259</v>
      </c>
      <c r="H190" s="99" t="s">
        <v>255</v>
      </c>
      <c r="I190" s="102" t="s">
        <v>296</v>
      </c>
      <c r="J190" s="102" t="s">
        <v>21</v>
      </c>
      <c r="K190" s="103">
        <v>50</v>
      </c>
      <c r="L190" s="104">
        <v>40621</v>
      </c>
      <c r="M190" s="104">
        <v>2031050</v>
      </c>
      <c r="N190" s="39">
        <f t="shared" ref="N190:N196" si="27">+K190*15000</f>
        <v>750000</v>
      </c>
      <c r="O190" s="107">
        <f>+M190*$O$1</f>
        <v>365589</v>
      </c>
      <c r="P190" s="108">
        <f>+N190+O190</f>
        <v>1115589</v>
      </c>
      <c r="Q190" s="39">
        <v>100</v>
      </c>
      <c r="R190" s="39">
        <f t="shared" si="15"/>
        <v>2031050</v>
      </c>
      <c r="S190" s="42">
        <f t="shared" si="16"/>
        <v>0</v>
      </c>
    </row>
    <row r="191" spans="1:19">
      <c r="A191" s="99">
        <v>2025</v>
      </c>
      <c r="B191" s="100">
        <v>12</v>
      </c>
      <c r="C191" s="101">
        <v>45996</v>
      </c>
      <c r="D191" s="101" t="str">
        <f t="shared" si="13"/>
        <v>PPS00010372Навоий_Дильноза опа</v>
      </c>
      <c r="E191" s="99" t="s">
        <v>594</v>
      </c>
      <c r="F191" s="102" t="s">
        <v>332</v>
      </c>
      <c r="G191" s="102" t="s">
        <v>333</v>
      </c>
      <c r="H191" s="99" t="s">
        <v>255</v>
      </c>
      <c r="I191" s="102" t="s">
        <v>350</v>
      </c>
      <c r="J191" s="102" t="s">
        <v>21</v>
      </c>
      <c r="K191" s="103">
        <v>40</v>
      </c>
      <c r="L191" s="104">
        <v>40621</v>
      </c>
      <c r="M191" s="104">
        <v>1624840</v>
      </c>
      <c r="N191" s="39">
        <f t="shared" si="27"/>
        <v>600000</v>
      </c>
      <c r="O191" s="107">
        <f>+M191*$O$1</f>
        <v>292471.2</v>
      </c>
      <c r="P191" s="108">
        <f>+N191+O191</f>
        <v>892471.2</v>
      </c>
      <c r="Q191" s="39">
        <v>100</v>
      </c>
      <c r="R191" s="39">
        <f t="shared" si="15"/>
        <v>1624840</v>
      </c>
      <c r="S191" s="42">
        <f t="shared" si="16"/>
        <v>0</v>
      </c>
    </row>
    <row r="192" spans="1:19">
      <c r="A192" s="99">
        <v>2025</v>
      </c>
      <c r="B192" s="100">
        <v>12</v>
      </c>
      <c r="C192" s="101">
        <v>46000</v>
      </c>
      <c r="D192" s="101" t="str">
        <f t="shared" si="13"/>
        <v>PPS00010377Сурхондарьё_Сарвар ака</v>
      </c>
      <c r="E192" s="99" t="s">
        <v>595</v>
      </c>
      <c r="F192" s="102" t="s">
        <v>298</v>
      </c>
      <c r="G192" s="102" t="s">
        <v>253</v>
      </c>
      <c r="H192" s="99" t="s">
        <v>255</v>
      </c>
      <c r="I192" s="102" t="s">
        <v>596</v>
      </c>
      <c r="J192" s="102" t="s">
        <v>21</v>
      </c>
      <c r="K192" s="103">
        <v>60</v>
      </c>
      <c r="L192" s="104">
        <v>40621</v>
      </c>
      <c r="M192" s="104">
        <v>2437260</v>
      </c>
      <c r="N192" s="39">
        <f t="shared" si="27"/>
        <v>900000</v>
      </c>
      <c r="O192" s="107">
        <f>+M192*$O$1</f>
        <v>438706.8</v>
      </c>
      <c r="P192" s="108">
        <f>+N192+O192</f>
        <v>1338706.8</v>
      </c>
      <c r="Q192" s="39">
        <v>100</v>
      </c>
      <c r="R192" s="39">
        <f t="shared" si="15"/>
        <v>2437260</v>
      </c>
      <c r="S192" s="42">
        <f t="shared" si="16"/>
        <v>0</v>
      </c>
    </row>
    <row r="193" spans="1:19">
      <c r="A193" s="99">
        <v>2025</v>
      </c>
      <c r="B193" s="100">
        <v>12</v>
      </c>
      <c r="C193" s="101">
        <v>46000</v>
      </c>
      <c r="D193" s="101" t="str">
        <f t="shared" si="13"/>
        <v>PPS00010384Жиззах_Саодат опа</v>
      </c>
      <c r="E193" s="99" t="s">
        <v>597</v>
      </c>
      <c r="F193" s="102" t="s">
        <v>496</v>
      </c>
      <c r="G193" s="102" t="s">
        <v>337</v>
      </c>
      <c r="H193" s="99" t="s">
        <v>255</v>
      </c>
      <c r="I193" s="102" t="s">
        <v>571</v>
      </c>
      <c r="J193" s="102" t="s">
        <v>21</v>
      </c>
      <c r="K193" s="103">
        <v>48</v>
      </c>
      <c r="L193" s="104">
        <v>40621</v>
      </c>
      <c r="M193" s="104">
        <v>1949808</v>
      </c>
      <c r="N193" s="39">
        <f t="shared" si="27"/>
        <v>720000</v>
      </c>
      <c r="O193" s="107">
        <f>+M193*$O$1</f>
        <v>350965.44</v>
      </c>
      <c r="P193" s="108">
        <f>+N193+O193</f>
        <v>1070965.44</v>
      </c>
      <c r="Q193" s="39">
        <v>100</v>
      </c>
      <c r="R193" s="39">
        <f t="shared" si="15"/>
        <v>1949808</v>
      </c>
      <c r="S193" s="42">
        <f t="shared" si="16"/>
        <v>0</v>
      </c>
    </row>
    <row r="194" spans="1:19">
      <c r="A194" s="99">
        <v>2025</v>
      </c>
      <c r="B194" s="100">
        <v>12</v>
      </c>
      <c r="C194" s="101">
        <v>46000</v>
      </c>
      <c r="D194" s="101" t="str">
        <f t="shared" si="13"/>
        <v>PPS00010387Жиззах_Саодат опа</v>
      </c>
      <c r="E194" s="99" t="s">
        <v>598</v>
      </c>
      <c r="F194" s="102" t="s">
        <v>336</v>
      </c>
      <c r="G194" s="102" t="s">
        <v>337</v>
      </c>
      <c r="H194" s="99" t="s">
        <v>255</v>
      </c>
      <c r="I194" s="102" t="s">
        <v>445</v>
      </c>
      <c r="J194" s="102" t="s">
        <v>21</v>
      </c>
      <c r="K194" s="103">
        <v>70</v>
      </c>
      <c r="L194" s="104">
        <v>40621</v>
      </c>
      <c r="M194" s="104">
        <v>2843470</v>
      </c>
      <c r="N194" s="39">
        <f t="shared" si="27"/>
        <v>1050000</v>
      </c>
      <c r="O194" s="107">
        <f>+M194*$O$1</f>
        <v>511824.6</v>
      </c>
      <c r="P194" s="108">
        <f>+N194+O194</f>
        <v>1561824.6</v>
      </c>
      <c r="Q194" s="39">
        <v>100</v>
      </c>
      <c r="R194" s="39">
        <f t="shared" si="15"/>
        <v>2843470</v>
      </c>
      <c r="S194" s="42">
        <f t="shared" si="16"/>
        <v>0</v>
      </c>
    </row>
    <row r="195" spans="1:19">
      <c r="A195" s="99">
        <v>2025</v>
      </c>
      <c r="B195" s="100">
        <v>12</v>
      </c>
      <c r="C195" s="101">
        <v>46000</v>
      </c>
      <c r="D195" s="101" t="str">
        <f t="shared" si="13"/>
        <v>PPS00010393Жиззах_Саодат опа</v>
      </c>
      <c r="E195" s="99" t="s">
        <v>599</v>
      </c>
      <c r="F195" s="102" t="s">
        <v>336</v>
      </c>
      <c r="G195" s="102" t="s">
        <v>337</v>
      </c>
      <c r="H195" s="99" t="s">
        <v>255</v>
      </c>
      <c r="I195" s="102" t="s">
        <v>346</v>
      </c>
      <c r="J195" s="102" t="s">
        <v>21</v>
      </c>
      <c r="K195" s="103">
        <v>20</v>
      </c>
      <c r="L195" s="104">
        <v>40621</v>
      </c>
      <c r="M195" s="104">
        <v>812420</v>
      </c>
      <c r="N195" s="39">
        <f t="shared" si="27"/>
        <v>300000</v>
      </c>
      <c r="O195" s="107">
        <f>+M195*$O$1</f>
        <v>146235.6</v>
      </c>
      <c r="P195" s="108">
        <f>+N195+O195</f>
        <v>446235.6</v>
      </c>
      <c r="Q195" s="39">
        <v>100</v>
      </c>
      <c r="R195" s="39">
        <f t="shared" si="15"/>
        <v>812420</v>
      </c>
      <c r="S195" s="42">
        <f t="shared" si="16"/>
        <v>0</v>
      </c>
    </row>
    <row r="196" spans="1:19">
      <c r="A196" s="99">
        <v>2025</v>
      </c>
      <c r="B196" s="100">
        <v>12</v>
      </c>
      <c r="C196" s="101">
        <v>46000</v>
      </c>
      <c r="D196" s="101" t="str">
        <f t="shared" ref="D196:D259" si="28">+E196&amp;G196</f>
        <v>PPS00010400Навоий_Дильноза опа</v>
      </c>
      <c r="E196" s="99" t="s">
        <v>600</v>
      </c>
      <c r="F196" s="102" t="s">
        <v>553</v>
      </c>
      <c r="G196" s="102" t="s">
        <v>333</v>
      </c>
      <c r="H196" s="99" t="s">
        <v>255</v>
      </c>
      <c r="I196" s="102" t="s">
        <v>358</v>
      </c>
      <c r="J196" s="102" t="s">
        <v>21</v>
      </c>
      <c r="K196" s="103">
        <v>20</v>
      </c>
      <c r="L196" s="104">
        <v>40621</v>
      </c>
      <c r="M196" s="104">
        <v>812420</v>
      </c>
      <c r="N196" s="39">
        <f t="shared" si="27"/>
        <v>300000</v>
      </c>
      <c r="O196" s="107">
        <f>+M196*$O$1</f>
        <v>146235.6</v>
      </c>
      <c r="P196" s="108">
        <f>+N196+O196</f>
        <v>446235.6</v>
      </c>
      <c r="Q196" s="39">
        <v>100</v>
      </c>
      <c r="R196" s="39">
        <f t="shared" ref="R196:R259" si="29">+M196*Q196%</f>
        <v>812420</v>
      </c>
      <c r="S196" s="42">
        <f t="shared" ref="S196:S259" si="30">M196-R196</f>
        <v>0</v>
      </c>
    </row>
    <row r="197" spans="1:19">
      <c r="A197" s="99">
        <v>2025</v>
      </c>
      <c r="B197" s="100">
        <v>12</v>
      </c>
      <c r="C197" s="101">
        <v>46000</v>
      </c>
      <c r="D197" s="101" t="str">
        <f t="shared" si="28"/>
        <v>PPS00010410Кашкадарьё_Феруз ака</v>
      </c>
      <c r="E197" s="99" t="s">
        <v>601</v>
      </c>
      <c r="F197" s="102" t="s">
        <v>501</v>
      </c>
      <c r="G197" s="102" t="s">
        <v>502</v>
      </c>
      <c r="H197" s="99" t="s">
        <v>255</v>
      </c>
      <c r="I197" s="102" t="s">
        <v>602</v>
      </c>
      <c r="J197" s="102" t="s">
        <v>38</v>
      </c>
      <c r="K197" s="103">
        <v>20</v>
      </c>
      <c r="L197" s="104">
        <v>65000</v>
      </c>
      <c r="M197" s="104">
        <v>1300000</v>
      </c>
      <c r="N197" s="39">
        <f>+K197*20000</f>
        <v>400000</v>
      </c>
      <c r="O197" s="107">
        <f>+M197*$O$1</f>
        <v>234000</v>
      </c>
      <c r="P197" s="108">
        <f>+N197+O197</f>
        <v>634000</v>
      </c>
      <c r="Q197" s="39">
        <v>100</v>
      </c>
      <c r="R197" s="39">
        <f t="shared" si="29"/>
        <v>1300000</v>
      </c>
      <c r="S197" s="42">
        <f t="shared" si="30"/>
        <v>0</v>
      </c>
    </row>
    <row r="198" spans="1:19">
      <c r="A198" s="99">
        <v>2025</v>
      </c>
      <c r="B198" s="100">
        <v>12</v>
      </c>
      <c r="C198" s="101">
        <v>46002</v>
      </c>
      <c r="D198" s="101" t="str">
        <f t="shared" si="28"/>
        <v>PPS00010462Сурхондарьё_Сарвар ака</v>
      </c>
      <c r="E198" s="99" t="s">
        <v>603</v>
      </c>
      <c r="F198" s="102" t="s">
        <v>298</v>
      </c>
      <c r="G198" s="102" t="s">
        <v>253</v>
      </c>
      <c r="H198" s="99" t="s">
        <v>255</v>
      </c>
      <c r="I198" s="102" t="s">
        <v>604</v>
      </c>
      <c r="J198" s="102" t="s">
        <v>21</v>
      </c>
      <c r="K198" s="103">
        <v>120</v>
      </c>
      <c r="L198" s="104">
        <v>40621</v>
      </c>
      <c r="M198" s="104">
        <v>4874520</v>
      </c>
      <c r="N198" s="39">
        <f>+K198*15000</f>
        <v>1800000</v>
      </c>
      <c r="O198" s="107">
        <f>+M198*$O$1</f>
        <v>877413.6</v>
      </c>
      <c r="P198" s="108">
        <f>+N198+O198</f>
        <v>2677413.6</v>
      </c>
      <c r="Q198" s="39">
        <v>100</v>
      </c>
      <c r="R198" s="39">
        <f t="shared" si="29"/>
        <v>4874520</v>
      </c>
      <c r="S198" s="42">
        <f t="shared" si="30"/>
        <v>0</v>
      </c>
    </row>
    <row r="199" spans="1:19">
      <c r="A199" s="99">
        <v>2025</v>
      </c>
      <c r="B199" s="100">
        <v>12</v>
      </c>
      <c r="C199" s="101">
        <v>46003</v>
      </c>
      <c r="D199" s="101" t="str">
        <f t="shared" si="28"/>
        <v>PPS00010477Бухоро_Мадина опа</v>
      </c>
      <c r="E199" s="99" t="s">
        <v>605</v>
      </c>
      <c r="F199" s="102" t="s">
        <v>606</v>
      </c>
      <c r="G199" s="102" t="s">
        <v>607</v>
      </c>
      <c r="H199" s="99" t="s">
        <v>255</v>
      </c>
      <c r="I199" s="102" t="s">
        <v>608</v>
      </c>
      <c r="J199" s="102" t="s">
        <v>46</v>
      </c>
      <c r="K199" s="103">
        <v>20</v>
      </c>
      <c r="L199" s="104">
        <v>64700</v>
      </c>
      <c r="M199" s="104">
        <v>1294000</v>
      </c>
      <c r="N199" s="39">
        <f>20000*K199</f>
        <v>400000</v>
      </c>
      <c r="O199" s="107">
        <f>+M199*$O$1</f>
        <v>232920</v>
      </c>
      <c r="P199" s="108">
        <f>+N199+O199</f>
        <v>632920</v>
      </c>
      <c r="Q199" s="39">
        <v>30</v>
      </c>
      <c r="R199" s="39">
        <f t="shared" si="29"/>
        <v>388200</v>
      </c>
      <c r="S199" s="42">
        <f t="shared" si="30"/>
        <v>905800</v>
      </c>
    </row>
    <row r="200" spans="1:19">
      <c r="A200" s="99">
        <v>2025</v>
      </c>
      <c r="B200" s="100">
        <v>12</v>
      </c>
      <c r="C200" s="101">
        <v>46006</v>
      </c>
      <c r="D200" s="101" t="str">
        <f t="shared" si="28"/>
        <v>PPS00010491Хоразм_Саййора опа</v>
      </c>
      <c r="E200" s="99" t="s">
        <v>609</v>
      </c>
      <c r="F200" s="102" t="s">
        <v>610</v>
      </c>
      <c r="G200" s="102" t="s">
        <v>611</v>
      </c>
      <c r="H200" s="99" t="s">
        <v>255</v>
      </c>
      <c r="I200" s="102" t="s">
        <v>612</v>
      </c>
      <c r="J200" s="102" t="s">
        <v>21</v>
      </c>
      <c r="K200" s="103">
        <v>81</v>
      </c>
      <c r="L200" s="104">
        <v>40621</v>
      </c>
      <c r="M200" s="104">
        <v>3290301</v>
      </c>
      <c r="N200" s="39">
        <f t="shared" ref="N200:N202" si="31">+K200*15000</f>
        <v>1215000</v>
      </c>
      <c r="O200" s="107">
        <f>+M200*$O$1</f>
        <v>592254.17999999993</v>
      </c>
      <c r="P200" s="108">
        <f>+N200+O200</f>
        <v>1807254.18</v>
      </c>
      <c r="Q200" s="39">
        <v>100</v>
      </c>
      <c r="R200" s="39">
        <f t="shared" si="29"/>
        <v>3290301</v>
      </c>
      <c r="S200" s="42">
        <f t="shared" si="30"/>
        <v>0</v>
      </c>
    </row>
    <row r="201" spans="1:19">
      <c r="A201" s="99">
        <v>2025</v>
      </c>
      <c r="B201" s="100">
        <v>12</v>
      </c>
      <c r="C201" s="101">
        <v>46006</v>
      </c>
      <c r="D201" s="101" t="str">
        <f t="shared" si="28"/>
        <v>PPS00010496Жиззах_Саодат опа</v>
      </c>
      <c r="E201" s="99" t="s">
        <v>613</v>
      </c>
      <c r="F201" s="102" t="s">
        <v>496</v>
      </c>
      <c r="G201" s="102" t="s">
        <v>337</v>
      </c>
      <c r="H201" s="99" t="s">
        <v>255</v>
      </c>
      <c r="I201" s="102" t="s">
        <v>538</v>
      </c>
      <c r="J201" s="102" t="s">
        <v>21</v>
      </c>
      <c r="K201" s="103">
        <v>20</v>
      </c>
      <c r="L201" s="104">
        <v>40621</v>
      </c>
      <c r="M201" s="104">
        <v>812420</v>
      </c>
      <c r="N201" s="39">
        <f t="shared" si="31"/>
        <v>300000</v>
      </c>
      <c r="O201" s="107">
        <f>+M201*$O$1</f>
        <v>146235.6</v>
      </c>
      <c r="P201" s="108">
        <f>+N201+O201</f>
        <v>446235.6</v>
      </c>
      <c r="Q201" s="39">
        <v>100</v>
      </c>
      <c r="R201" s="39">
        <f t="shared" si="29"/>
        <v>812420</v>
      </c>
      <c r="S201" s="42">
        <f t="shared" si="30"/>
        <v>0</v>
      </c>
    </row>
    <row r="202" spans="1:19">
      <c r="A202" s="99">
        <v>2025</v>
      </c>
      <c r="B202" s="100">
        <v>12</v>
      </c>
      <c r="C202" s="101">
        <v>46006</v>
      </c>
      <c r="D202" s="101" t="str">
        <f t="shared" si="28"/>
        <v>PPS00010523Жиззах_Саодат опа</v>
      </c>
      <c r="E202" s="99" t="s">
        <v>614</v>
      </c>
      <c r="F202" s="102" t="s">
        <v>336</v>
      </c>
      <c r="G202" s="102" t="s">
        <v>337</v>
      </c>
      <c r="H202" s="99" t="s">
        <v>255</v>
      </c>
      <c r="I202" s="102" t="s">
        <v>340</v>
      </c>
      <c r="J202" s="102" t="s">
        <v>21</v>
      </c>
      <c r="K202" s="103">
        <v>50</v>
      </c>
      <c r="L202" s="104">
        <v>40621</v>
      </c>
      <c r="M202" s="104">
        <v>2031050</v>
      </c>
      <c r="N202" s="39">
        <f t="shared" si="31"/>
        <v>750000</v>
      </c>
      <c r="O202" s="107">
        <f>+M202*$O$1</f>
        <v>365589</v>
      </c>
      <c r="P202" s="108">
        <f>+N202+O202</f>
        <v>1115589</v>
      </c>
      <c r="Q202" s="39">
        <v>100</v>
      </c>
      <c r="R202" s="39">
        <f t="shared" si="29"/>
        <v>2031050</v>
      </c>
      <c r="S202" s="42">
        <f t="shared" si="30"/>
        <v>0</v>
      </c>
    </row>
    <row r="203" spans="1:19">
      <c r="A203" s="99">
        <v>2025</v>
      </c>
      <c r="B203" s="100">
        <v>12</v>
      </c>
      <c r="C203" s="101">
        <v>46007</v>
      </c>
      <c r="D203" s="101" t="str">
        <f t="shared" si="28"/>
        <v>PPS00010547Таш.Обл_Шахло опа</v>
      </c>
      <c r="E203" s="99" t="s">
        <v>615</v>
      </c>
      <c r="F203" s="102" t="s">
        <v>463</v>
      </c>
      <c r="G203" s="102" t="s">
        <v>464</v>
      </c>
      <c r="H203" s="99" t="s">
        <v>255</v>
      </c>
      <c r="I203" s="102" t="s">
        <v>465</v>
      </c>
      <c r="J203" s="102" t="s">
        <v>466</v>
      </c>
      <c r="K203" s="103">
        <v>60</v>
      </c>
      <c r="L203" s="104">
        <v>120000</v>
      </c>
      <c r="M203" s="104">
        <v>7200000</v>
      </c>
      <c r="N203" s="39">
        <f>+K203*35000</f>
        <v>2100000</v>
      </c>
      <c r="O203" s="107">
        <f>+M203*$O$1</f>
        <v>1296000</v>
      </c>
      <c r="P203" s="108">
        <f>+N203+O203</f>
        <v>3396000</v>
      </c>
      <c r="Q203" s="39">
        <v>100</v>
      </c>
      <c r="R203" s="39">
        <f t="shared" si="29"/>
        <v>7200000</v>
      </c>
      <c r="S203" s="42">
        <f t="shared" si="30"/>
        <v>0</v>
      </c>
    </row>
    <row r="204" spans="1:19">
      <c r="A204" s="99">
        <v>2025</v>
      </c>
      <c r="B204" s="100">
        <v>12</v>
      </c>
      <c r="C204" s="101">
        <v>46007</v>
      </c>
      <c r="D204" s="101" t="str">
        <f t="shared" si="28"/>
        <v>PPS00010552Кашкадарьё_Феруз ака</v>
      </c>
      <c r="E204" s="99" t="s">
        <v>616</v>
      </c>
      <c r="F204" s="102" t="s">
        <v>575</v>
      </c>
      <c r="G204" s="102" t="s">
        <v>502</v>
      </c>
      <c r="H204" s="99" t="s">
        <v>255</v>
      </c>
      <c r="I204" s="102" t="s">
        <v>617</v>
      </c>
      <c r="J204" s="102" t="s">
        <v>38</v>
      </c>
      <c r="K204" s="103">
        <v>30</v>
      </c>
      <c r="L204" s="104">
        <v>65000</v>
      </c>
      <c r="M204" s="104">
        <v>1950000</v>
      </c>
      <c r="N204" s="39">
        <f t="shared" ref="N204:N205" si="32">+K204*20000</f>
        <v>600000</v>
      </c>
      <c r="O204" s="107">
        <f>+M204*$O$1</f>
        <v>351000</v>
      </c>
      <c r="P204" s="108">
        <f>+N204+O204</f>
        <v>951000</v>
      </c>
      <c r="Q204" s="39">
        <v>100</v>
      </c>
      <c r="R204" s="39">
        <f t="shared" si="29"/>
        <v>1950000</v>
      </c>
      <c r="S204" s="42">
        <f t="shared" si="30"/>
        <v>0</v>
      </c>
    </row>
    <row r="205" spans="1:19">
      <c r="A205" s="99">
        <v>2025</v>
      </c>
      <c r="B205" s="100">
        <v>12</v>
      </c>
      <c r="C205" s="101">
        <v>46008</v>
      </c>
      <c r="D205" s="101" t="str">
        <f t="shared" si="28"/>
        <v>PPS00010580Кашкадарьё_Феруз ака</v>
      </c>
      <c r="E205" s="99" t="s">
        <v>618</v>
      </c>
      <c r="F205" s="102" t="s">
        <v>501</v>
      </c>
      <c r="G205" s="102" t="s">
        <v>502</v>
      </c>
      <c r="H205" s="99" t="s">
        <v>255</v>
      </c>
      <c r="I205" s="102" t="s">
        <v>522</v>
      </c>
      <c r="J205" s="102" t="s">
        <v>38</v>
      </c>
      <c r="K205" s="103">
        <v>30</v>
      </c>
      <c r="L205" s="104">
        <v>65000</v>
      </c>
      <c r="M205" s="104">
        <v>1950000</v>
      </c>
      <c r="N205" s="39">
        <f t="shared" si="32"/>
        <v>600000</v>
      </c>
      <c r="O205" s="107">
        <f>+M205*$O$1</f>
        <v>351000</v>
      </c>
      <c r="P205" s="108">
        <f>+N205+O205</f>
        <v>951000</v>
      </c>
      <c r="Q205" s="39">
        <v>100</v>
      </c>
      <c r="R205" s="39">
        <f t="shared" si="29"/>
        <v>1950000</v>
      </c>
      <c r="S205" s="42">
        <f t="shared" si="30"/>
        <v>0</v>
      </c>
    </row>
    <row r="206" spans="1:19">
      <c r="A206" s="99">
        <v>2025</v>
      </c>
      <c r="B206" s="100">
        <v>12</v>
      </c>
      <c r="C206" s="101">
        <v>46008</v>
      </c>
      <c r="D206" s="101" t="str">
        <f t="shared" si="28"/>
        <v>PPS00010604Тошкент_Наргиза опа (СВ)</v>
      </c>
      <c r="E206" s="99" t="s">
        <v>619</v>
      </c>
      <c r="F206" s="102" t="s">
        <v>620</v>
      </c>
      <c r="G206" s="102" t="s">
        <v>621</v>
      </c>
      <c r="H206" s="99" t="s">
        <v>255</v>
      </c>
      <c r="I206" s="102" t="s">
        <v>622</v>
      </c>
      <c r="J206" s="102" t="s">
        <v>466</v>
      </c>
      <c r="K206" s="103">
        <v>5</v>
      </c>
      <c r="L206" s="104">
        <v>120000</v>
      </c>
      <c r="M206" s="104">
        <v>600000</v>
      </c>
      <c r="N206" s="39">
        <f>+K206*35000</f>
        <v>175000</v>
      </c>
      <c r="O206" s="107">
        <f>+M206*$O$1</f>
        <v>108000</v>
      </c>
      <c r="P206" s="108">
        <f>+N206+O206</f>
        <v>283000</v>
      </c>
      <c r="Q206" s="39">
        <v>100</v>
      </c>
      <c r="R206" s="39">
        <f t="shared" si="29"/>
        <v>600000</v>
      </c>
      <c r="S206" s="42">
        <f t="shared" si="30"/>
        <v>0</v>
      </c>
    </row>
    <row r="207" spans="1:19">
      <c r="A207" s="99">
        <v>2025</v>
      </c>
      <c r="B207" s="100">
        <v>12</v>
      </c>
      <c r="C207" s="101">
        <v>46013</v>
      </c>
      <c r="D207" s="101" t="str">
        <f t="shared" si="28"/>
        <v>PPS00010637Бухоро_Рустам ака</v>
      </c>
      <c r="E207" s="99" t="s">
        <v>623</v>
      </c>
      <c r="F207" s="102" t="s">
        <v>258</v>
      </c>
      <c r="G207" s="102" t="s">
        <v>259</v>
      </c>
      <c r="H207" s="99" t="s">
        <v>255</v>
      </c>
      <c r="I207" s="102" t="s">
        <v>324</v>
      </c>
      <c r="J207" s="102" t="s">
        <v>21</v>
      </c>
      <c r="K207" s="103">
        <v>190</v>
      </c>
      <c r="L207" s="104">
        <v>40621</v>
      </c>
      <c r="M207" s="104">
        <v>7717990</v>
      </c>
      <c r="N207" s="39">
        <f t="shared" ref="N207:N213" si="33">+K207*15000</f>
        <v>2850000</v>
      </c>
      <c r="O207" s="107">
        <f>+M207*$O$1</f>
        <v>1389238.2</v>
      </c>
      <c r="P207" s="108">
        <f>+N207+O207</f>
        <v>4239238.2</v>
      </c>
      <c r="Q207" s="39">
        <v>100</v>
      </c>
      <c r="R207" s="39">
        <f t="shared" si="29"/>
        <v>7717990</v>
      </c>
      <c r="S207" s="42">
        <f t="shared" si="30"/>
        <v>0</v>
      </c>
    </row>
    <row r="208" spans="1:19">
      <c r="A208" s="99">
        <v>2025</v>
      </c>
      <c r="B208" s="100">
        <v>12</v>
      </c>
      <c r="C208" s="101">
        <v>46013</v>
      </c>
      <c r="D208" s="101" t="str">
        <f t="shared" si="28"/>
        <v>PPS00010654Тошкент_Мохира опа</v>
      </c>
      <c r="E208" s="99" t="s">
        <v>624</v>
      </c>
      <c r="F208" s="102" t="s">
        <v>556</v>
      </c>
      <c r="G208" s="102" t="s">
        <v>305</v>
      </c>
      <c r="H208" s="99" t="s">
        <v>255</v>
      </c>
      <c r="I208" s="102" t="s">
        <v>66</v>
      </c>
      <c r="J208" s="102" t="s">
        <v>21</v>
      </c>
      <c r="K208" s="103">
        <v>20</v>
      </c>
      <c r="L208" s="104">
        <v>40621</v>
      </c>
      <c r="M208" s="104">
        <v>812420</v>
      </c>
      <c r="N208" s="39">
        <f t="shared" si="33"/>
        <v>300000</v>
      </c>
      <c r="O208" s="107">
        <f>+M208*$O$1</f>
        <v>146235.6</v>
      </c>
      <c r="P208" s="108">
        <f>+N208+O208</f>
        <v>446235.6</v>
      </c>
      <c r="Q208" s="39">
        <v>100</v>
      </c>
      <c r="R208" s="39">
        <f t="shared" si="29"/>
        <v>812420</v>
      </c>
      <c r="S208" s="42">
        <f t="shared" si="30"/>
        <v>0</v>
      </c>
    </row>
    <row r="209" spans="1:19">
      <c r="A209" s="99">
        <v>2025</v>
      </c>
      <c r="B209" s="100">
        <v>12</v>
      </c>
      <c r="C209" s="101">
        <v>46014</v>
      </c>
      <c r="D209" s="101" t="str">
        <f t="shared" si="28"/>
        <v>PPS00010701Тошкент_Мохира опа</v>
      </c>
      <c r="E209" s="99" t="s">
        <v>625</v>
      </c>
      <c r="F209" s="102" t="s">
        <v>311</v>
      </c>
      <c r="G209" s="102" t="s">
        <v>305</v>
      </c>
      <c r="H209" s="99" t="s">
        <v>255</v>
      </c>
      <c r="I209" s="102" t="s">
        <v>312</v>
      </c>
      <c r="J209" s="102" t="s">
        <v>21</v>
      </c>
      <c r="K209" s="103">
        <v>20</v>
      </c>
      <c r="L209" s="104">
        <v>40621</v>
      </c>
      <c r="M209" s="104">
        <v>812420</v>
      </c>
      <c r="N209" s="39">
        <f t="shared" si="33"/>
        <v>300000</v>
      </c>
      <c r="O209" s="107">
        <f>+M209*$O$1</f>
        <v>146235.6</v>
      </c>
      <c r="P209" s="108">
        <f>+N209+O209</f>
        <v>446235.6</v>
      </c>
      <c r="Q209" s="39">
        <v>100</v>
      </c>
      <c r="R209" s="39">
        <f t="shared" si="29"/>
        <v>812420</v>
      </c>
      <c r="S209" s="42">
        <f t="shared" si="30"/>
        <v>0</v>
      </c>
    </row>
    <row r="210" spans="1:19">
      <c r="A210" s="99">
        <v>2025</v>
      </c>
      <c r="B210" s="100">
        <v>12</v>
      </c>
      <c r="C210" s="101">
        <v>46016</v>
      </c>
      <c r="D210" s="101" t="str">
        <f t="shared" si="28"/>
        <v>PPS00010743Жиззах_Саодат опа</v>
      </c>
      <c r="E210" s="99" t="s">
        <v>626</v>
      </c>
      <c r="F210" s="102" t="s">
        <v>336</v>
      </c>
      <c r="G210" s="102" t="s">
        <v>337</v>
      </c>
      <c r="H210" s="99" t="s">
        <v>255</v>
      </c>
      <c r="I210" s="102" t="s">
        <v>424</v>
      </c>
      <c r="J210" s="102" t="s">
        <v>21</v>
      </c>
      <c r="K210" s="103">
        <v>20</v>
      </c>
      <c r="L210" s="104">
        <v>40621</v>
      </c>
      <c r="M210" s="104">
        <v>812420</v>
      </c>
      <c r="N210" s="39">
        <f t="shared" si="33"/>
        <v>300000</v>
      </c>
      <c r="O210" s="107">
        <f>+M210*$O$1</f>
        <v>146235.6</v>
      </c>
      <c r="P210" s="108">
        <f>+N210+O210</f>
        <v>446235.6</v>
      </c>
      <c r="Q210" s="39">
        <v>100</v>
      </c>
      <c r="R210" s="39">
        <f t="shared" si="29"/>
        <v>812420</v>
      </c>
      <c r="S210" s="42">
        <f t="shared" si="30"/>
        <v>0</v>
      </c>
    </row>
    <row r="211" spans="1:19">
      <c r="A211" s="99">
        <v>2025</v>
      </c>
      <c r="B211" s="100">
        <v>12</v>
      </c>
      <c r="C211" s="101">
        <v>46016</v>
      </c>
      <c r="D211" s="101" t="str">
        <f t="shared" si="28"/>
        <v>PPS00010746Жиззах_Саодат опа</v>
      </c>
      <c r="E211" s="99" t="s">
        <v>627</v>
      </c>
      <c r="F211" s="102" t="s">
        <v>336</v>
      </c>
      <c r="G211" s="102" t="s">
        <v>337</v>
      </c>
      <c r="H211" s="99" t="s">
        <v>255</v>
      </c>
      <c r="I211" s="102" t="s">
        <v>346</v>
      </c>
      <c r="J211" s="102" t="s">
        <v>21</v>
      </c>
      <c r="K211" s="103">
        <v>25</v>
      </c>
      <c r="L211" s="104">
        <v>40621</v>
      </c>
      <c r="M211" s="104">
        <v>1015525</v>
      </c>
      <c r="N211" s="39">
        <f t="shared" si="33"/>
        <v>375000</v>
      </c>
      <c r="O211" s="107">
        <f>+M211*$O$1</f>
        <v>182794.5</v>
      </c>
      <c r="P211" s="108">
        <f>+N211+O211</f>
        <v>557794.5</v>
      </c>
      <c r="Q211" s="39">
        <v>100</v>
      </c>
      <c r="R211" s="39">
        <f t="shared" si="29"/>
        <v>1015525</v>
      </c>
      <c r="S211" s="42">
        <f t="shared" si="30"/>
        <v>0</v>
      </c>
    </row>
    <row r="212" spans="1:19">
      <c r="A212" s="99">
        <v>2026</v>
      </c>
      <c r="B212" s="100">
        <v>1</v>
      </c>
      <c r="C212" s="101">
        <v>46027</v>
      </c>
      <c r="D212" s="101" t="str">
        <f t="shared" si="28"/>
        <v>PPS00000004Сурхондарьё_Сарвар ака</v>
      </c>
      <c r="E212" s="99" t="s">
        <v>628</v>
      </c>
      <c r="F212" s="102" t="s">
        <v>298</v>
      </c>
      <c r="G212" s="102" t="s">
        <v>253</v>
      </c>
      <c r="H212" s="99" t="s">
        <v>255</v>
      </c>
      <c r="I212" s="102" t="s">
        <v>256</v>
      </c>
      <c r="J212" s="102" t="s">
        <v>21</v>
      </c>
      <c r="K212" s="103">
        <v>120</v>
      </c>
      <c r="L212" s="104">
        <v>40621</v>
      </c>
      <c r="M212" s="104">
        <v>4874520</v>
      </c>
      <c r="N212" s="39">
        <f t="shared" si="33"/>
        <v>1800000</v>
      </c>
      <c r="O212" s="107">
        <f>+M212*$O$1</f>
        <v>877413.6</v>
      </c>
      <c r="P212" s="108">
        <f>+N212+O212</f>
        <v>2677413.6</v>
      </c>
      <c r="Q212" s="39">
        <v>41</v>
      </c>
      <c r="R212" s="39">
        <f t="shared" si="29"/>
        <v>1998553.2</v>
      </c>
      <c r="S212" s="42">
        <f t="shared" si="30"/>
        <v>2875966.8</v>
      </c>
    </row>
    <row r="213" spans="1:19">
      <c r="A213" s="99">
        <v>2026</v>
      </c>
      <c r="B213" s="100">
        <v>1</v>
      </c>
      <c r="C213" s="101">
        <v>46027</v>
      </c>
      <c r="D213" s="101" t="str">
        <f t="shared" si="28"/>
        <v>PPS00000010Тошкент_Мохира опа</v>
      </c>
      <c r="E213" s="99" t="s">
        <v>629</v>
      </c>
      <c r="F213" s="102" t="s">
        <v>414</v>
      </c>
      <c r="G213" s="102" t="s">
        <v>305</v>
      </c>
      <c r="H213" s="99" t="s">
        <v>255</v>
      </c>
      <c r="I213" s="102" t="s">
        <v>415</v>
      </c>
      <c r="J213" s="102" t="s">
        <v>21</v>
      </c>
      <c r="K213" s="103">
        <v>50</v>
      </c>
      <c r="L213" s="104">
        <v>40621</v>
      </c>
      <c r="M213" s="104">
        <v>2031050</v>
      </c>
      <c r="N213" s="39">
        <f t="shared" si="33"/>
        <v>750000</v>
      </c>
      <c r="O213" s="107">
        <f>+M213*$O$1</f>
        <v>365589</v>
      </c>
      <c r="P213" s="108">
        <f>+N213+O213</f>
        <v>1115589</v>
      </c>
      <c r="Q213" s="39">
        <v>100</v>
      </c>
      <c r="R213" s="39">
        <f t="shared" si="29"/>
        <v>2031050</v>
      </c>
      <c r="S213" s="42">
        <f t="shared" si="30"/>
        <v>0</v>
      </c>
    </row>
    <row r="214" spans="1:19">
      <c r="A214" s="99">
        <v>2026</v>
      </c>
      <c r="B214" s="100">
        <v>1</v>
      </c>
      <c r="C214" s="101">
        <v>46027</v>
      </c>
      <c r="D214" s="101" t="str">
        <f t="shared" si="28"/>
        <v>PPS00000025Кашкадарьё_Феруз ака</v>
      </c>
      <c r="E214" s="99" t="s">
        <v>630</v>
      </c>
      <c r="F214" s="102" t="s">
        <v>501</v>
      </c>
      <c r="G214" s="102" t="s">
        <v>502</v>
      </c>
      <c r="H214" s="99" t="s">
        <v>255</v>
      </c>
      <c r="I214" s="102" t="s">
        <v>503</v>
      </c>
      <c r="J214" s="102" t="s">
        <v>38</v>
      </c>
      <c r="K214" s="103">
        <v>30</v>
      </c>
      <c r="L214" s="104">
        <v>65000</v>
      </c>
      <c r="M214" s="104">
        <v>1950000</v>
      </c>
      <c r="N214" s="39">
        <f>+K214*20000</f>
        <v>600000</v>
      </c>
      <c r="O214" s="107">
        <f>+M214*$O$1</f>
        <v>351000</v>
      </c>
      <c r="P214" s="108">
        <f>+N214+O214</f>
        <v>951000</v>
      </c>
      <c r="Q214" s="39">
        <v>100</v>
      </c>
      <c r="R214" s="39">
        <f t="shared" si="29"/>
        <v>1950000</v>
      </c>
      <c r="S214" s="42">
        <f t="shared" si="30"/>
        <v>0</v>
      </c>
    </row>
    <row r="215" spans="1:19">
      <c r="A215" s="99">
        <v>2026</v>
      </c>
      <c r="B215" s="100">
        <v>1</v>
      </c>
      <c r="C215" s="101">
        <v>46027</v>
      </c>
      <c r="D215" s="101" t="str">
        <f t="shared" si="28"/>
        <v>PPS00000028Жиззах_Саодат опа</v>
      </c>
      <c r="E215" s="99" t="s">
        <v>631</v>
      </c>
      <c r="F215" s="102" t="s">
        <v>496</v>
      </c>
      <c r="G215" s="102" t="s">
        <v>337</v>
      </c>
      <c r="H215" s="99" t="s">
        <v>255</v>
      </c>
      <c r="I215" s="102" t="s">
        <v>538</v>
      </c>
      <c r="J215" s="102" t="s">
        <v>21</v>
      </c>
      <c r="K215" s="103">
        <v>20</v>
      </c>
      <c r="L215" s="104">
        <v>40621</v>
      </c>
      <c r="M215" s="104">
        <v>812420</v>
      </c>
      <c r="N215" s="39">
        <f t="shared" ref="N215:N217" si="34">+K215*15000</f>
        <v>300000</v>
      </c>
      <c r="O215" s="107">
        <f>+M215*$O$1</f>
        <v>146235.6</v>
      </c>
      <c r="P215" s="108">
        <f>+N215+O215</f>
        <v>446235.6</v>
      </c>
      <c r="Q215" s="39">
        <v>100</v>
      </c>
      <c r="R215" s="39">
        <f t="shared" si="29"/>
        <v>812420</v>
      </c>
      <c r="S215" s="42">
        <f t="shared" si="30"/>
        <v>0</v>
      </c>
    </row>
    <row r="216" spans="1:19">
      <c r="A216" s="99">
        <v>2026</v>
      </c>
      <c r="B216" s="100">
        <v>1</v>
      </c>
      <c r="C216" s="101">
        <v>46028</v>
      </c>
      <c r="D216" s="101" t="str">
        <f t="shared" si="28"/>
        <v>PPS00000051Навоий_Дильноза опа</v>
      </c>
      <c r="E216" s="99" t="s">
        <v>632</v>
      </c>
      <c r="F216" s="102" t="s">
        <v>332</v>
      </c>
      <c r="G216" s="102" t="s">
        <v>333</v>
      </c>
      <c r="H216" s="99" t="s">
        <v>255</v>
      </c>
      <c r="I216" s="102" t="s">
        <v>117</v>
      </c>
      <c r="J216" s="102" t="s">
        <v>21</v>
      </c>
      <c r="K216" s="103">
        <v>49</v>
      </c>
      <c r="L216" s="104">
        <v>40621</v>
      </c>
      <c r="M216" s="104">
        <v>1990429</v>
      </c>
      <c r="N216" s="39">
        <f t="shared" si="34"/>
        <v>735000</v>
      </c>
      <c r="O216" s="107">
        <f>+M216*$O$1</f>
        <v>358277.22</v>
      </c>
      <c r="P216" s="108">
        <f>+N216+O216</f>
        <v>1093277.22</v>
      </c>
      <c r="Q216" s="39">
        <v>100</v>
      </c>
      <c r="R216" s="39">
        <f t="shared" si="29"/>
        <v>1990429</v>
      </c>
      <c r="S216" s="42">
        <f t="shared" si="30"/>
        <v>0</v>
      </c>
    </row>
    <row r="217" spans="1:19">
      <c r="A217" s="99">
        <v>2026</v>
      </c>
      <c r="B217" s="100">
        <v>1</v>
      </c>
      <c r="C217" s="101">
        <v>46028</v>
      </c>
      <c r="D217" s="101" t="str">
        <f t="shared" si="28"/>
        <v>PPS00000051Навоий_Дильноза опа</v>
      </c>
      <c r="E217" s="99" t="s">
        <v>632</v>
      </c>
      <c r="F217" s="102" t="s">
        <v>332</v>
      </c>
      <c r="G217" s="102" t="s">
        <v>333</v>
      </c>
      <c r="H217" s="99" t="s">
        <v>255</v>
      </c>
      <c r="I217" s="102" t="s">
        <v>117</v>
      </c>
      <c r="J217" s="102" t="s">
        <v>21</v>
      </c>
      <c r="K217" s="103">
        <v>1</v>
      </c>
      <c r="L217" s="104">
        <v>40621</v>
      </c>
      <c r="M217" s="104">
        <v>40621</v>
      </c>
      <c r="N217" s="39">
        <f t="shared" si="34"/>
        <v>15000</v>
      </c>
      <c r="O217" s="107">
        <f>+M217*$O$1</f>
        <v>7311.78</v>
      </c>
      <c r="P217" s="108">
        <f>+N217+O217</f>
        <v>22311.78</v>
      </c>
      <c r="Q217" s="39">
        <v>100</v>
      </c>
      <c r="R217" s="39">
        <f t="shared" si="29"/>
        <v>40621</v>
      </c>
      <c r="S217" s="42">
        <f t="shared" si="30"/>
        <v>0</v>
      </c>
    </row>
    <row r="218" spans="1:19">
      <c r="A218" s="99">
        <v>2026</v>
      </c>
      <c r="B218" s="100">
        <v>1</v>
      </c>
      <c r="C218" s="101">
        <v>46029</v>
      </c>
      <c r="D218" s="101" t="str">
        <f t="shared" si="28"/>
        <v>PPS00000084Таш.Обл_Шахло опа</v>
      </c>
      <c r="E218" s="99" t="s">
        <v>633</v>
      </c>
      <c r="F218" s="102" t="s">
        <v>463</v>
      </c>
      <c r="G218" s="102" t="s">
        <v>464</v>
      </c>
      <c r="H218" s="99" t="s">
        <v>255</v>
      </c>
      <c r="I218" s="102" t="s">
        <v>465</v>
      </c>
      <c r="J218" s="102" t="s">
        <v>46</v>
      </c>
      <c r="K218" s="103">
        <v>40</v>
      </c>
      <c r="L218" s="104">
        <v>64700</v>
      </c>
      <c r="M218" s="104">
        <v>2588000</v>
      </c>
      <c r="N218" s="39">
        <f t="shared" ref="N218:N219" si="35">20000*K218</f>
        <v>800000</v>
      </c>
      <c r="O218" s="107">
        <f>+M218*$O$1</f>
        <v>465840</v>
      </c>
      <c r="P218" s="108">
        <f>+N218+O218</f>
        <v>1265840</v>
      </c>
      <c r="Q218" s="39">
        <v>100</v>
      </c>
      <c r="R218" s="39">
        <f t="shared" si="29"/>
        <v>2588000</v>
      </c>
      <c r="S218" s="42">
        <f t="shared" si="30"/>
        <v>0</v>
      </c>
    </row>
    <row r="219" spans="1:19">
      <c r="A219" s="99">
        <v>2026</v>
      </c>
      <c r="B219" s="100">
        <v>1</v>
      </c>
      <c r="C219" s="101">
        <v>46030</v>
      </c>
      <c r="D219" s="101" t="str">
        <f t="shared" si="28"/>
        <v>PPS00000129Бухоро_Мадина опа</v>
      </c>
      <c r="E219" s="99" t="s">
        <v>634</v>
      </c>
      <c r="F219" s="102" t="s">
        <v>606</v>
      </c>
      <c r="G219" s="102" t="s">
        <v>607</v>
      </c>
      <c r="H219" s="99" t="s">
        <v>255</v>
      </c>
      <c r="I219" s="102" t="s">
        <v>635</v>
      </c>
      <c r="J219" s="102" t="s">
        <v>46</v>
      </c>
      <c r="K219" s="103">
        <v>20</v>
      </c>
      <c r="L219" s="104">
        <v>64700</v>
      </c>
      <c r="M219" s="104">
        <v>1294000</v>
      </c>
      <c r="N219" s="39">
        <f t="shared" si="35"/>
        <v>400000</v>
      </c>
      <c r="O219" s="107">
        <f>+M219*$O$1</f>
        <v>232920</v>
      </c>
      <c r="P219" s="108">
        <f>+N219+O219</f>
        <v>632920</v>
      </c>
      <c r="Q219" s="39">
        <v>100</v>
      </c>
      <c r="R219" s="39">
        <f t="shared" si="29"/>
        <v>1294000</v>
      </c>
      <c r="S219" s="42">
        <f t="shared" si="30"/>
        <v>0</v>
      </c>
    </row>
    <row r="220" spans="1:19">
      <c r="A220" s="99">
        <v>2026</v>
      </c>
      <c r="B220" s="100">
        <v>1</v>
      </c>
      <c r="C220" s="101">
        <v>46030</v>
      </c>
      <c r="D220" s="101" t="str">
        <f t="shared" si="28"/>
        <v>PPS00000142Жиззах_Саодат опа</v>
      </c>
      <c r="E220" s="99" t="s">
        <v>636</v>
      </c>
      <c r="F220" s="102" t="s">
        <v>496</v>
      </c>
      <c r="G220" s="102" t="s">
        <v>337</v>
      </c>
      <c r="H220" s="99" t="s">
        <v>255</v>
      </c>
      <c r="I220" s="102" t="s">
        <v>424</v>
      </c>
      <c r="J220" s="102" t="s">
        <v>21</v>
      </c>
      <c r="K220" s="103">
        <v>50</v>
      </c>
      <c r="L220" s="104">
        <v>40621</v>
      </c>
      <c r="M220" s="104">
        <v>2031050</v>
      </c>
      <c r="N220" s="39">
        <f t="shared" ref="N220:N221" si="36">+K220*15000</f>
        <v>750000</v>
      </c>
      <c r="O220" s="107">
        <f>+M220*$O$1</f>
        <v>365589</v>
      </c>
      <c r="P220" s="108">
        <f>+N220+O220</f>
        <v>1115589</v>
      </c>
      <c r="Q220" s="39">
        <v>100</v>
      </c>
      <c r="R220" s="39">
        <f t="shared" si="29"/>
        <v>2031050</v>
      </c>
      <c r="S220" s="42">
        <f t="shared" si="30"/>
        <v>0</v>
      </c>
    </row>
    <row r="221" spans="1:19">
      <c r="A221" s="99">
        <v>2026</v>
      </c>
      <c r="B221" s="100">
        <v>1</v>
      </c>
      <c r="C221" s="101">
        <v>46031</v>
      </c>
      <c r="D221" s="101" t="str">
        <f t="shared" si="28"/>
        <v>PPS00000150Жиззах_Саодат опа</v>
      </c>
      <c r="E221" s="99" t="s">
        <v>637</v>
      </c>
      <c r="F221" s="102" t="s">
        <v>638</v>
      </c>
      <c r="G221" s="102" t="s">
        <v>337</v>
      </c>
      <c r="H221" s="99" t="s">
        <v>255</v>
      </c>
      <c r="I221" s="102" t="s">
        <v>639</v>
      </c>
      <c r="J221" s="102" t="s">
        <v>21</v>
      </c>
      <c r="K221" s="103">
        <v>20</v>
      </c>
      <c r="L221" s="104">
        <v>40621</v>
      </c>
      <c r="M221" s="104">
        <v>812420</v>
      </c>
      <c r="N221" s="39">
        <f t="shared" si="36"/>
        <v>300000</v>
      </c>
      <c r="O221" s="107">
        <f>+M221*$O$1</f>
        <v>146235.6</v>
      </c>
      <c r="P221" s="108">
        <f>+N221+O221</f>
        <v>446235.6</v>
      </c>
      <c r="Q221" s="39">
        <v>100</v>
      </c>
      <c r="R221" s="39">
        <f t="shared" si="29"/>
        <v>812420</v>
      </c>
      <c r="S221" s="42">
        <f t="shared" si="30"/>
        <v>0</v>
      </c>
    </row>
    <row r="222" spans="1:19">
      <c r="A222" s="99">
        <v>2026</v>
      </c>
      <c r="B222" s="100">
        <v>1</v>
      </c>
      <c r="C222" s="101">
        <v>46031</v>
      </c>
      <c r="D222" s="101" t="str">
        <f t="shared" si="28"/>
        <v>PPS00000162Таш.Обл_Шахло опа</v>
      </c>
      <c r="E222" s="99" t="s">
        <v>640</v>
      </c>
      <c r="F222" s="102" t="s">
        <v>463</v>
      </c>
      <c r="G222" s="102" t="s">
        <v>464</v>
      </c>
      <c r="H222" s="99" t="s">
        <v>255</v>
      </c>
      <c r="I222" s="102" t="s">
        <v>479</v>
      </c>
      <c r="J222" s="102" t="s">
        <v>466</v>
      </c>
      <c r="K222" s="103">
        <v>10</v>
      </c>
      <c r="L222" s="104">
        <v>120000</v>
      </c>
      <c r="M222" s="104">
        <v>1200000</v>
      </c>
      <c r="N222" s="39">
        <f t="shared" ref="N222:N223" si="37">+K222*35000</f>
        <v>350000</v>
      </c>
      <c r="O222" s="107">
        <f>+M222*$O$1</f>
        <v>216000</v>
      </c>
      <c r="P222" s="108">
        <f>+N222+O222</f>
        <v>566000</v>
      </c>
      <c r="Q222" s="39">
        <v>100</v>
      </c>
      <c r="R222" s="39">
        <f t="shared" si="29"/>
        <v>1200000</v>
      </c>
      <c r="S222" s="42">
        <f t="shared" si="30"/>
        <v>0</v>
      </c>
    </row>
    <row r="223" spans="1:19">
      <c r="A223" s="99">
        <v>2026</v>
      </c>
      <c r="B223" s="100">
        <v>1</v>
      </c>
      <c r="C223" s="101">
        <v>46031</v>
      </c>
      <c r="D223" s="101" t="str">
        <f t="shared" si="28"/>
        <v>PPS00000162Таш.Обл_Шахло опа</v>
      </c>
      <c r="E223" s="99" t="s">
        <v>640</v>
      </c>
      <c r="F223" s="102" t="s">
        <v>463</v>
      </c>
      <c r="G223" s="102" t="s">
        <v>464</v>
      </c>
      <c r="H223" s="99" t="s">
        <v>255</v>
      </c>
      <c r="I223" s="102" t="s">
        <v>479</v>
      </c>
      <c r="J223" s="102" t="s">
        <v>466</v>
      </c>
      <c r="K223" s="103">
        <v>30</v>
      </c>
      <c r="L223" s="104">
        <v>120000</v>
      </c>
      <c r="M223" s="104">
        <v>3600000</v>
      </c>
      <c r="N223" s="39">
        <f t="shared" si="37"/>
        <v>1050000</v>
      </c>
      <c r="O223" s="107">
        <f>+M223*$O$1</f>
        <v>648000</v>
      </c>
      <c r="P223" s="108">
        <f>+N223+O223</f>
        <v>1698000</v>
      </c>
      <c r="Q223" s="39">
        <v>100</v>
      </c>
      <c r="R223" s="39">
        <f t="shared" si="29"/>
        <v>3600000</v>
      </c>
      <c r="S223" s="42">
        <f t="shared" si="30"/>
        <v>0</v>
      </c>
    </row>
    <row r="224" spans="1:19">
      <c r="A224" s="99">
        <v>2026</v>
      </c>
      <c r="B224" s="100">
        <v>1</v>
      </c>
      <c r="C224" s="101">
        <v>46031</v>
      </c>
      <c r="D224" s="101" t="str">
        <f t="shared" si="28"/>
        <v>PPS00000162Таш.Обл_Шахло опа</v>
      </c>
      <c r="E224" s="99" t="s">
        <v>640</v>
      </c>
      <c r="F224" s="102" t="s">
        <v>463</v>
      </c>
      <c r="G224" s="102" t="s">
        <v>464</v>
      </c>
      <c r="H224" s="99" t="s">
        <v>255</v>
      </c>
      <c r="I224" s="102" t="s">
        <v>479</v>
      </c>
      <c r="J224" s="102" t="s">
        <v>46</v>
      </c>
      <c r="K224" s="103">
        <v>40</v>
      </c>
      <c r="L224" s="104">
        <v>64700</v>
      </c>
      <c r="M224" s="104">
        <v>2588000</v>
      </c>
      <c r="N224" s="39">
        <f>20000*K224</f>
        <v>800000</v>
      </c>
      <c r="O224" s="107">
        <f>+M224*$O$1</f>
        <v>465840</v>
      </c>
      <c r="P224" s="108">
        <f>+N224+O224</f>
        <v>1265840</v>
      </c>
      <c r="Q224" s="39">
        <v>100</v>
      </c>
      <c r="R224" s="39">
        <f t="shared" si="29"/>
        <v>2588000</v>
      </c>
      <c r="S224" s="42">
        <f t="shared" si="30"/>
        <v>0</v>
      </c>
    </row>
    <row r="225" spans="1:19">
      <c r="A225" s="99">
        <v>2026</v>
      </c>
      <c r="B225" s="100">
        <v>1</v>
      </c>
      <c r="C225" s="101">
        <v>46034</v>
      </c>
      <c r="D225" s="101" t="str">
        <f t="shared" si="28"/>
        <v>PPS00000192Сурхондарьё_Сарвар ака</v>
      </c>
      <c r="E225" s="99" t="s">
        <v>641</v>
      </c>
      <c r="F225" s="102" t="s">
        <v>298</v>
      </c>
      <c r="G225" s="102" t="s">
        <v>253</v>
      </c>
      <c r="H225" s="99" t="s">
        <v>255</v>
      </c>
      <c r="I225" s="102" t="s">
        <v>322</v>
      </c>
      <c r="J225" s="102" t="s">
        <v>21</v>
      </c>
      <c r="K225" s="103">
        <v>120</v>
      </c>
      <c r="L225" s="104">
        <v>40621</v>
      </c>
      <c r="M225" s="104">
        <v>4874520</v>
      </c>
      <c r="N225" s="39">
        <f t="shared" ref="N225:N230" si="38">+K225*15000</f>
        <v>1800000</v>
      </c>
      <c r="O225" s="107">
        <f>+M225*$O$1</f>
        <v>877413.6</v>
      </c>
      <c r="P225" s="108">
        <f>+N225+O225</f>
        <v>2677413.6</v>
      </c>
      <c r="Q225" s="39">
        <v>100</v>
      </c>
      <c r="R225" s="39">
        <f t="shared" si="29"/>
        <v>4874520</v>
      </c>
      <c r="S225" s="42">
        <f t="shared" si="30"/>
        <v>0</v>
      </c>
    </row>
    <row r="226" spans="1:19">
      <c r="A226" s="99">
        <v>2026</v>
      </c>
      <c r="B226" s="100">
        <v>1</v>
      </c>
      <c r="C226" s="101">
        <v>46034</v>
      </c>
      <c r="D226" s="101" t="str">
        <f t="shared" si="28"/>
        <v>PPS00000198Жиззах_Саодат опа</v>
      </c>
      <c r="E226" s="99" t="s">
        <v>642</v>
      </c>
      <c r="F226" s="102" t="s">
        <v>496</v>
      </c>
      <c r="G226" s="102" t="s">
        <v>337</v>
      </c>
      <c r="H226" s="99" t="s">
        <v>255</v>
      </c>
      <c r="I226" s="102" t="s">
        <v>538</v>
      </c>
      <c r="J226" s="102" t="s">
        <v>21</v>
      </c>
      <c r="K226" s="103">
        <v>40</v>
      </c>
      <c r="L226" s="104">
        <v>40621</v>
      </c>
      <c r="M226" s="104">
        <v>1624840</v>
      </c>
      <c r="N226" s="39">
        <f t="shared" si="38"/>
        <v>600000</v>
      </c>
      <c r="O226" s="107">
        <f>+M226*$O$1</f>
        <v>292471.2</v>
      </c>
      <c r="P226" s="108">
        <f>+N226+O226</f>
        <v>892471.2</v>
      </c>
      <c r="Q226" s="39">
        <v>100</v>
      </c>
      <c r="R226" s="39">
        <f t="shared" si="29"/>
        <v>1624840</v>
      </c>
      <c r="S226" s="42">
        <f t="shared" si="30"/>
        <v>0</v>
      </c>
    </row>
    <row r="227" spans="1:19">
      <c r="A227" s="99">
        <v>2026</v>
      </c>
      <c r="B227" s="100">
        <v>1</v>
      </c>
      <c r="C227" s="101">
        <v>46034</v>
      </c>
      <c r="D227" s="101" t="str">
        <f t="shared" si="28"/>
        <v>PPS00000203Тошкент_Мохира опа</v>
      </c>
      <c r="E227" s="99" t="s">
        <v>643</v>
      </c>
      <c r="F227" s="102" t="s">
        <v>304</v>
      </c>
      <c r="G227" s="102" t="s">
        <v>305</v>
      </c>
      <c r="H227" s="99" t="s">
        <v>255</v>
      </c>
      <c r="I227" s="102" t="s">
        <v>644</v>
      </c>
      <c r="J227" s="102" t="s">
        <v>21</v>
      </c>
      <c r="K227" s="103">
        <v>20</v>
      </c>
      <c r="L227" s="104">
        <v>40621</v>
      </c>
      <c r="M227" s="104">
        <v>812420</v>
      </c>
      <c r="N227" s="39">
        <f t="shared" si="38"/>
        <v>300000</v>
      </c>
      <c r="O227" s="107">
        <f>+M227*$O$1</f>
        <v>146235.6</v>
      </c>
      <c r="P227" s="108">
        <f>+N227+O227</f>
        <v>446235.6</v>
      </c>
      <c r="Q227" s="39">
        <v>100</v>
      </c>
      <c r="R227" s="39">
        <f t="shared" si="29"/>
        <v>812420</v>
      </c>
      <c r="S227" s="42">
        <f t="shared" si="30"/>
        <v>0</v>
      </c>
    </row>
    <row r="228" spans="1:19">
      <c r="A228" s="99">
        <v>2026</v>
      </c>
      <c r="B228" s="100">
        <v>1</v>
      </c>
      <c r="C228" s="101">
        <v>46034</v>
      </c>
      <c r="D228" s="101" t="str">
        <f t="shared" si="28"/>
        <v>PPS00000207Тошкент_Мохира опа</v>
      </c>
      <c r="E228" s="99" t="s">
        <v>645</v>
      </c>
      <c r="F228" s="102" t="s">
        <v>311</v>
      </c>
      <c r="G228" s="102" t="s">
        <v>305</v>
      </c>
      <c r="H228" s="99" t="s">
        <v>255</v>
      </c>
      <c r="I228" s="102" t="s">
        <v>330</v>
      </c>
      <c r="J228" s="102" t="s">
        <v>21</v>
      </c>
      <c r="K228" s="103">
        <v>50</v>
      </c>
      <c r="L228" s="104">
        <v>40621</v>
      </c>
      <c r="M228" s="104">
        <v>2031050</v>
      </c>
      <c r="N228" s="39">
        <f t="shared" si="38"/>
        <v>750000</v>
      </c>
      <c r="O228" s="107">
        <f>+M228*$O$1</f>
        <v>365589</v>
      </c>
      <c r="P228" s="108">
        <f>+N228+O228</f>
        <v>1115589</v>
      </c>
      <c r="Q228" s="39">
        <v>100</v>
      </c>
      <c r="R228" s="39">
        <f t="shared" si="29"/>
        <v>2031050</v>
      </c>
      <c r="S228" s="42">
        <f t="shared" si="30"/>
        <v>0</v>
      </c>
    </row>
    <row r="229" spans="1:19">
      <c r="A229" s="99">
        <v>2026</v>
      </c>
      <c r="B229" s="100">
        <v>1</v>
      </c>
      <c r="C229" s="101">
        <v>46034</v>
      </c>
      <c r="D229" s="101" t="str">
        <f t="shared" si="28"/>
        <v>PPS00000240Тошкент_Мохира опа</v>
      </c>
      <c r="E229" s="99" t="s">
        <v>647</v>
      </c>
      <c r="F229" s="102" t="s">
        <v>311</v>
      </c>
      <c r="G229" s="102" t="s">
        <v>305</v>
      </c>
      <c r="H229" s="99" t="s">
        <v>255</v>
      </c>
      <c r="I229" s="102" t="s">
        <v>648</v>
      </c>
      <c r="J229" s="102" t="s">
        <v>21</v>
      </c>
      <c r="K229" s="103">
        <v>50</v>
      </c>
      <c r="L229" s="104">
        <v>40621</v>
      </c>
      <c r="M229" s="104">
        <v>2031050</v>
      </c>
      <c r="N229" s="39">
        <f t="shared" si="38"/>
        <v>750000</v>
      </c>
      <c r="O229" s="107">
        <f>+M229*$O$1</f>
        <v>365589</v>
      </c>
      <c r="P229" s="108">
        <f>+N229+O229</f>
        <v>1115589</v>
      </c>
      <c r="Q229" s="39">
        <v>100</v>
      </c>
      <c r="R229" s="39">
        <f t="shared" si="29"/>
        <v>2031050</v>
      </c>
      <c r="S229" s="42">
        <f t="shared" si="30"/>
        <v>0</v>
      </c>
    </row>
    <row r="230" spans="1:19">
      <c r="A230" s="99">
        <v>2026</v>
      </c>
      <c r="B230" s="100">
        <v>1</v>
      </c>
      <c r="C230" s="101">
        <v>46035</v>
      </c>
      <c r="D230" s="101" t="str">
        <f t="shared" si="28"/>
        <v>PPS00000263Сурхондарьё_Сарвар ака</v>
      </c>
      <c r="E230" s="99" t="s">
        <v>649</v>
      </c>
      <c r="F230" s="102" t="s">
        <v>298</v>
      </c>
      <c r="G230" s="102" t="s">
        <v>253</v>
      </c>
      <c r="H230" s="99" t="s">
        <v>255</v>
      </c>
      <c r="I230" s="102" t="s">
        <v>435</v>
      </c>
      <c r="J230" s="102" t="s">
        <v>21</v>
      </c>
      <c r="K230" s="103">
        <v>60</v>
      </c>
      <c r="L230" s="104">
        <v>40621</v>
      </c>
      <c r="M230" s="104">
        <v>2437260</v>
      </c>
      <c r="N230" s="39">
        <f t="shared" si="38"/>
        <v>900000</v>
      </c>
      <c r="O230" s="107">
        <f>+M230*$O$1</f>
        <v>438706.8</v>
      </c>
      <c r="P230" s="108">
        <f>+N230+O230</f>
        <v>1338706.8</v>
      </c>
      <c r="Q230" s="39">
        <v>100</v>
      </c>
      <c r="R230" s="39">
        <f t="shared" si="29"/>
        <v>2437260</v>
      </c>
      <c r="S230" s="42">
        <f t="shared" si="30"/>
        <v>0</v>
      </c>
    </row>
    <row r="231" spans="1:19">
      <c r="A231" s="99">
        <v>2026</v>
      </c>
      <c r="B231" s="100">
        <v>1</v>
      </c>
      <c r="C231" s="101">
        <v>46035</v>
      </c>
      <c r="D231" s="101" t="str">
        <f t="shared" si="28"/>
        <v>PPS00000268Кашкадарьё_Феруз ака</v>
      </c>
      <c r="E231" s="99" t="s">
        <v>650</v>
      </c>
      <c r="F231" s="102" t="s">
        <v>501</v>
      </c>
      <c r="G231" s="102" t="s">
        <v>502</v>
      </c>
      <c r="H231" s="99" t="s">
        <v>255</v>
      </c>
      <c r="I231" s="102" t="s">
        <v>651</v>
      </c>
      <c r="J231" s="102" t="s">
        <v>38</v>
      </c>
      <c r="K231" s="103">
        <v>10</v>
      </c>
      <c r="L231" s="104">
        <v>65000</v>
      </c>
      <c r="M231" s="104">
        <v>650000</v>
      </c>
      <c r="N231" s="39">
        <f>+K231*20000</f>
        <v>200000</v>
      </c>
      <c r="O231" s="107">
        <f>+M231*$O$1</f>
        <v>117000</v>
      </c>
      <c r="P231" s="108">
        <f>+N231+O231</f>
        <v>317000</v>
      </c>
      <c r="Q231" s="39">
        <v>100</v>
      </c>
      <c r="R231" s="39">
        <f t="shared" si="29"/>
        <v>650000</v>
      </c>
      <c r="S231" s="42">
        <f t="shared" si="30"/>
        <v>0</v>
      </c>
    </row>
    <row r="232" spans="1:19">
      <c r="A232" s="99">
        <v>2026</v>
      </c>
      <c r="B232" s="100">
        <v>1</v>
      </c>
      <c r="C232" s="101">
        <v>46035</v>
      </c>
      <c r="D232" s="101" t="str">
        <f t="shared" si="28"/>
        <v>PPS00000284Тошкент_Мохира опа</v>
      </c>
      <c r="E232" s="99" t="s">
        <v>652</v>
      </c>
      <c r="F232" s="102" t="s">
        <v>311</v>
      </c>
      <c r="G232" s="102" t="s">
        <v>305</v>
      </c>
      <c r="H232" s="99" t="s">
        <v>255</v>
      </c>
      <c r="I232" s="102" t="s">
        <v>312</v>
      </c>
      <c r="J232" s="102" t="s">
        <v>21</v>
      </c>
      <c r="K232" s="103">
        <v>20</v>
      </c>
      <c r="L232" s="104">
        <v>40621</v>
      </c>
      <c r="M232" s="104">
        <v>812420</v>
      </c>
      <c r="N232" s="39">
        <f t="shared" ref="N232:N245" si="39">+K232*15000</f>
        <v>300000</v>
      </c>
      <c r="O232" s="107">
        <f>+M232*$O$1</f>
        <v>146235.6</v>
      </c>
      <c r="P232" s="108">
        <f>+N232+O232</f>
        <v>446235.6</v>
      </c>
      <c r="Q232" s="39">
        <v>100</v>
      </c>
      <c r="R232" s="39">
        <f t="shared" si="29"/>
        <v>812420</v>
      </c>
      <c r="S232" s="42">
        <f t="shared" si="30"/>
        <v>0</v>
      </c>
    </row>
    <row r="233" spans="1:19">
      <c r="A233" s="99">
        <v>2026</v>
      </c>
      <c r="B233" s="100">
        <v>1</v>
      </c>
      <c r="C233" s="101">
        <v>46036</v>
      </c>
      <c r="D233" s="101" t="str">
        <f t="shared" si="28"/>
        <v>PPS00000301Тошкент_Мохира опа</v>
      </c>
      <c r="E233" s="99" t="s">
        <v>653</v>
      </c>
      <c r="F233" s="102" t="s">
        <v>414</v>
      </c>
      <c r="G233" s="102" t="s">
        <v>305</v>
      </c>
      <c r="H233" s="99" t="s">
        <v>255</v>
      </c>
      <c r="I233" s="102" t="s">
        <v>415</v>
      </c>
      <c r="J233" s="102" t="s">
        <v>21</v>
      </c>
      <c r="K233" s="103">
        <v>30</v>
      </c>
      <c r="L233" s="104">
        <v>40621</v>
      </c>
      <c r="M233" s="104">
        <v>1218630</v>
      </c>
      <c r="N233" s="39">
        <f t="shared" si="39"/>
        <v>450000</v>
      </c>
      <c r="O233" s="107">
        <f>+M233*$O$1</f>
        <v>219353.4</v>
      </c>
      <c r="P233" s="108">
        <f>+N233+O233</f>
        <v>669353.4</v>
      </c>
      <c r="Q233" s="39">
        <v>100</v>
      </c>
      <c r="R233" s="39">
        <f t="shared" si="29"/>
        <v>1218630</v>
      </c>
      <c r="S233" s="42">
        <f t="shared" si="30"/>
        <v>0</v>
      </c>
    </row>
    <row r="234" spans="1:19">
      <c r="A234" s="99">
        <v>2026</v>
      </c>
      <c r="B234" s="100">
        <v>1</v>
      </c>
      <c r="C234" s="101">
        <v>46036</v>
      </c>
      <c r="D234" s="101" t="str">
        <f t="shared" si="28"/>
        <v>PPS00000308Сурхондарьё_Людмила опа</v>
      </c>
      <c r="E234" s="99" t="s">
        <v>654</v>
      </c>
      <c r="F234" s="102" t="s">
        <v>354</v>
      </c>
      <c r="G234" s="102" t="s">
        <v>355</v>
      </c>
      <c r="H234" s="99" t="s">
        <v>255</v>
      </c>
      <c r="I234" s="102" t="s">
        <v>655</v>
      </c>
      <c r="J234" s="102" t="s">
        <v>21</v>
      </c>
      <c r="K234" s="103">
        <v>30</v>
      </c>
      <c r="L234" s="104">
        <v>40621</v>
      </c>
      <c r="M234" s="104">
        <v>1218630</v>
      </c>
      <c r="N234" s="39">
        <f t="shared" si="39"/>
        <v>450000</v>
      </c>
      <c r="O234" s="107">
        <f>+M234*$O$1</f>
        <v>219353.4</v>
      </c>
      <c r="P234" s="108">
        <f>+N234+O234</f>
        <v>669353.4</v>
      </c>
      <c r="Q234" s="39">
        <v>100</v>
      </c>
      <c r="R234" s="39">
        <f t="shared" si="29"/>
        <v>1218630</v>
      </c>
      <c r="S234" s="42">
        <f t="shared" si="30"/>
        <v>0</v>
      </c>
    </row>
    <row r="235" spans="1:19">
      <c r="A235" s="99">
        <v>2026</v>
      </c>
      <c r="B235" s="100">
        <v>1</v>
      </c>
      <c r="C235" s="101">
        <v>46036</v>
      </c>
      <c r="D235" s="101" t="str">
        <f t="shared" si="28"/>
        <v>PPS00000316Тошкент_Мохира опа</v>
      </c>
      <c r="E235" s="99" t="s">
        <v>656</v>
      </c>
      <c r="F235" s="102" t="s">
        <v>414</v>
      </c>
      <c r="G235" s="102" t="s">
        <v>305</v>
      </c>
      <c r="H235" s="99" t="s">
        <v>255</v>
      </c>
      <c r="I235" s="102" t="s">
        <v>422</v>
      </c>
      <c r="J235" s="102" t="s">
        <v>21</v>
      </c>
      <c r="K235" s="103">
        <v>30</v>
      </c>
      <c r="L235" s="104">
        <v>40621</v>
      </c>
      <c r="M235" s="104">
        <v>1218630</v>
      </c>
      <c r="N235" s="39">
        <f t="shared" si="39"/>
        <v>450000</v>
      </c>
      <c r="O235" s="107">
        <f>+M235*$O$1</f>
        <v>219353.4</v>
      </c>
      <c r="P235" s="108">
        <f>+N235+O235</f>
        <v>669353.4</v>
      </c>
      <c r="Q235" s="39">
        <v>100</v>
      </c>
      <c r="R235" s="39">
        <f t="shared" si="29"/>
        <v>1218630</v>
      </c>
      <c r="S235" s="42">
        <f t="shared" si="30"/>
        <v>0</v>
      </c>
    </row>
    <row r="236" spans="1:19">
      <c r="A236" s="99">
        <v>2026</v>
      </c>
      <c r="B236" s="100">
        <v>1</v>
      </c>
      <c r="C236" s="101">
        <v>46037</v>
      </c>
      <c r="D236" s="101" t="str">
        <f t="shared" si="28"/>
        <v>PPS00000350Тошкент_Мохира опа</v>
      </c>
      <c r="E236" s="99" t="s">
        <v>657</v>
      </c>
      <c r="F236" s="102" t="s">
        <v>414</v>
      </c>
      <c r="G236" s="102" t="s">
        <v>305</v>
      </c>
      <c r="H236" s="99" t="s">
        <v>255</v>
      </c>
      <c r="I236" s="102" t="s">
        <v>658</v>
      </c>
      <c r="J236" s="102" t="s">
        <v>21</v>
      </c>
      <c r="K236" s="103">
        <v>50</v>
      </c>
      <c r="L236" s="104">
        <v>40621</v>
      </c>
      <c r="M236" s="104">
        <v>2031050</v>
      </c>
      <c r="N236" s="39">
        <f t="shared" si="39"/>
        <v>750000</v>
      </c>
      <c r="O236" s="107">
        <f>+M236*$O$1</f>
        <v>365589</v>
      </c>
      <c r="P236" s="108">
        <f>+N236+O236</f>
        <v>1115589</v>
      </c>
      <c r="Q236" s="39">
        <v>100</v>
      </c>
      <c r="R236" s="39">
        <f t="shared" si="29"/>
        <v>2031050</v>
      </c>
      <c r="S236" s="42">
        <f t="shared" si="30"/>
        <v>0</v>
      </c>
    </row>
    <row r="237" spans="1:19">
      <c r="A237" s="99">
        <v>2026</v>
      </c>
      <c r="B237" s="100">
        <v>1</v>
      </c>
      <c r="C237" s="101">
        <v>46037</v>
      </c>
      <c r="D237" s="101" t="str">
        <f t="shared" si="28"/>
        <v>PPS00000354Навоий_Дильноза опа</v>
      </c>
      <c r="E237" s="99" t="s">
        <v>659</v>
      </c>
      <c r="F237" s="102" t="s">
        <v>332</v>
      </c>
      <c r="G237" s="102" t="s">
        <v>333</v>
      </c>
      <c r="H237" s="99" t="s">
        <v>255</v>
      </c>
      <c r="I237" s="102" t="s">
        <v>439</v>
      </c>
      <c r="J237" s="102" t="s">
        <v>21</v>
      </c>
      <c r="K237" s="103">
        <v>20</v>
      </c>
      <c r="L237" s="104">
        <v>40621</v>
      </c>
      <c r="M237" s="104">
        <v>812420</v>
      </c>
      <c r="N237" s="39">
        <f t="shared" si="39"/>
        <v>300000</v>
      </c>
      <c r="O237" s="107">
        <f>+M237*$O$1</f>
        <v>146235.6</v>
      </c>
      <c r="P237" s="108">
        <f>+N237+O237</f>
        <v>446235.6</v>
      </c>
      <c r="Q237" s="39">
        <v>100</v>
      </c>
      <c r="R237" s="39">
        <f t="shared" si="29"/>
        <v>812420</v>
      </c>
      <c r="S237" s="42">
        <f t="shared" si="30"/>
        <v>0</v>
      </c>
    </row>
    <row r="238" spans="1:19">
      <c r="A238" s="99">
        <v>2026</v>
      </c>
      <c r="B238" s="100">
        <v>1</v>
      </c>
      <c r="C238" s="101">
        <v>46038</v>
      </c>
      <c r="D238" s="101" t="str">
        <f t="shared" si="28"/>
        <v>PPS00000373Тошкент_Мохира опа</v>
      </c>
      <c r="E238" s="99" t="s">
        <v>660</v>
      </c>
      <c r="F238" s="102" t="s">
        <v>661</v>
      </c>
      <c r="G238" s="102" t="s">
        <v>305</v>
      </c>
      <c r="H238" s="99" t="s">
        <v>255</v>
      </c>
      <c r="I238" s="102" t="s">
        <v>307</v>
      </c>
      <c r="J238" s="102" t="s">
        <v>21</v>
      </c>
      <c r="K238" s="103">
        <v>48</v>
      </c>
      <c r="L238" s="104">
        <v>40621</v>
      </c>
      <c r="M238" s="104">
        <v>1949808</v>
      </c>
      <c r="N238" s="39">
        <f t="shared" si="39"/>
        <v>720000</v>
      </c>
      <c r="O238" s="107">
        <f>+M238*$O$1</f>
        <v>350965.44</v>
      </c>
      <c r="P238" s="108">
        <f>+N238+O238</f>
        <v>1070965.44</v>
      </c>
      <c r="Q238" s="39">
        <v>100</v>
      </c>
      <c r="R238" s="39">
        <f t="shared" si="29"/>
        <v>1949808</v>
      </c>
      <c r="S238" s="42">
        <f t="shared" si="30"/>
        <v>0</v>
      </c>
    </row>
    <row r="239" spans="1:19">
      <c r="A239" s="99">
        <v>2026</v>
      </c>
      <c r="B239" s="100">
        <v>1</v>
      </c>
      <c r="C239" s="101">
        <v>46038</v>
      </c>
      <c r="D239" s="101" t="str">
        <f t="shared" si="28"/>
        <v>PPS00000382Сурхондарьё_Сарвар ака</v>
      </c>
      <c r="E239" s="99" t="s">
        <v>662</v>
      </c>
      <c r="F239" s="102" t="s">
        <v>298</v>
      </c>
      <c r="G239" s="102" t="s">
        <v>253</v>
      </c>
      <c r="H239" s="99" t="s">
        <v>255</v>
      </c>
      <c r="I239" s="102" t="s">
        <v>663</v>
      </c>
      <c r="J239" s="102" t="s">
        <v>21</v>
      </c>
      <c r="K239" s="103">
        <v>60</v>
      </c>
      <c r="L239" s="104">
        <v>40621</v>
      </c>
      <c r="M239" s="104">
        <v>2437260</v>
      </c>
      <c r="N239" s="39">
        <f t="shared" si="39"/>
        <v>900000</v>
      </c>
      <c r="O239" s="107">
        <f>+M239*$O$1</f>
        <v>438706.8</v>
      </c>
      <c r="P239" s="108">
        <f>+N239+O239</f>
        <v>1338706.8</v>
      </c>
      <c r="Q239" s="39">
        <v>100</v>
      </c>
      <c r="R239" s="39">
        <f t="shared" si="29"/>
        <v>2437260</v>
      </c>
      <c r="S239" s="42">
        <f t="shared" si="30"/>
        <v>0</v>
      </c>
    </row>
    <row r="240" spans="1:19">
      <c r="A240" s="99">
        <v>2026</v>
      </c>
      <c r="B240" s="100">
        <v>1</v>
      </c>
      <c r="C240" s="101">
        <v>46038</v>
      </c>
      <c r="D240" s="101" t="str">
        <f t="shared" si="28"/>
        <v>PPS00000385Бухоро_Рустам ака</v>
      </c>
      <c r="E240" s="99" t="s">
        <v>664</v>
      </c>
      <c r="F240" s="102" t="s">
        <v>258</v>
      </c>
      <c r="G240" s="102" t="s">
        <v>259</v>
      </c>
      <c r="H240" s="99" t="s">
        <v>255</v>
      </c>
      <c r="I240" s="102" t="s">
        <v>665</v>
      </c>
      <c r="J240" s="102" t="s">
        <v>21</v>
      </c>
      <c r="K240" s="103">
        <v>20</v>
      </c>
      <c r="L240" s="104">
        <v>40621</v>
      </c>
      <c r="M240" s="104">
        <v>812420</v>
      </c>
      <c r="N240" s="39">
        <f t="shared" si="39"/>
        <v>300000</v>
      </c>
      <c r="O240" s="107">
        <f>+M240*$O$1</f>
        <v>146235.6</v>
      </c>
      <c r="P240" s="108">
        <f>+N240+O240</f>
        <v>446235.6</v>
      </c>
      <c r="Q240" s="39">
        <v>100</v>
      </c>
      <c r="R240" s="39">
        <f t="shared" si="29"/>
        <v>812420</v>
      </c>
      <c r="S240" s="42">
        <f t="shared" si="30"/>
        <v>0</v>
      </c>
    </row>
    <row r="241" spans="1:19">
      <c r="A241" s="99">
        <v>2026</v>
      </c>
      <c r="B241" s="100">
        <v>1</v>
      </c>
      <c r="C241" s="101">
        <v>46041</v>
      </c>
      <c r="D241" s="101" t="str">
        <f t="shared" si="28"/>
        <v>PPS00000397Бухоро_Рустам ака</v>
      </c>
      <c r="E241" s="99" t="s">
        <v>666</v>
      </c>
      <c r="F241" s="102" t="s">
        <v>258</v>
      </c>
      <c r="G241" s="102" t="s">
        <v>259</v>
      </c>
      <c r="H241" s="99" t="s">
        <v>255</v>
      </c>
      <c r="I241" s="102" t="s">
        <v>263</v>
      </c>
      <c r="J241" s="102" t="s">
        <v>21</v>
      </c>
      <c r="K241" s="103">
        <v>40</v>
      </c>
      <c r="L241" s="104">
        <v>40621</v>
      </c>
      <c r="M241" s="104">
        <v>1624840</v>
      </c>
      <c r="N241" s="39">
        <f t="shared" si="39"/>
        <v>600000</v>
      </c>
      <c r="O241" s="107">
        <f>+M241*$O$1</f>
        <v>292471.2</v>
      </c>
      <c r="P241" s="108">
        <f>+N241+O241</f>
        <v>892471.2</v>
      </c>
      <c r="Q241" s="39">
        <v>100</v>
      </c>
      <c r="R241" s="39">
        <f t="shared" si="29"/>
        <v>1624840</v>
      </c>
      <c r="S241" s="42">
        <f t="shared" si="30"/>
        <v>0</v>
      </c>
    </row>
    <row r="242" spans="1:19">
      <c r="A242" s="99">
        <v>2026</v>
      </c>
      <c r="B242" s="100">
        <v>1</v>
      </c>
      <c r="C242" s="101">
        <v>46041</v>
      </c>
      <c r="D242" s="101" t="str">
        <f t="shared" si="28"/>
        <v>PPS00000404Тошкент_Мохира опа</v>
      </c>
      <c r="E242" s="99" t="s">
        <v>667</v>
      </c>
      <c r="F242" s="102" t="s">
        <v>311</v>
      </c>
      <c r="G242" s="102" t="s">
        <v>305</v>
      </c>
      <c r="H242" s="99" t="s">
        <v>255</v>
      </c>
      <c r="I242" s="102" t="s">
        <v>668</v>
      </c>
      <c r="J242" s="102" t="s">
        <v>21</v>
      </c>
      <c r="K242" s="103">
        <v>20</v>
      </c>
      <c r="L242" s="104">
        <v>40621</v>
      </c>
      <c r="M242" s="104">
        <v>812420</v>
      </c>
      <c r="N242" s="39">
        <f t="shared" si="39"/>
        <v>300000</v>
      </c>
      <c r="O242" s="107">
        <f>+M242*$O$1</f>
        <v>146235.6</v>
      </c>
      <c r="P242" s="108">
        <f>+N242+O242</f>
        <v>446235.6</v>
      </c>
      <c r="Q242" s="39">
        <v>100</v>
      </c>
      <c r="R242" s="39">
        <f t="shared" si="29"/>
        <v>812420</v>
      </c>
      <c r="S242" s="42">
        <f t="shared" si="30"/>
        <v>0</v>
      </c>
    </row>
    <row r="243" spans="1:19">
      <c r="A243" s="99">
        <v>2026</v>
      </c>
      <c r="B243" s="100">
        <v>1</v>
      </c>
      <c r="C243" s="101">
        <v>46041</v>
      </c>
      <c r="D243" s="101" t="str">
        <f t="shared" si="28"/>
        <v>PPS00000423Навоий_Дильноза опа</v>
      </c>
      <c r="E243" s="99" t="s">
        <v>669</v>
      </c>
      <c r="F243" s="102" t="s">
        <v>332</v>
      </c>
      <c r="G243" s="102" t="s">
        <v>333</v>
      </c>
      <c r="H243" s="99" t="s">
        <v>255</v>
      </c>
      <c r="I243" s="102" t="s">
        <v>117</v>
      </c>
      <c r="J243" s="102" t="s">
        <v>21</v>
      </c>
      <c r="K243" s="103">
        <v>60</v>
      </c>
      <c r="L243" s="104">
        <v>40621</v>
      </c>
      <c r="M243" s="104">
        <v>2437260</v>
      </c>
      <c r="N243" s="39">
        <f t="shared" si="39"/>
        <v>900000</v>
      </c>
      <c r="O243" s="107">
        <f>+M243*$O$1</f>
        <v>438706.8</v>
      </c>
      <c r="P243" s="108">
        <f>+N243+O243</f>
        <v>1338706.8</v>
      </c>
      <c r="Q243" s="39">
        <v>100</v>
      </c>
      <c r="R243" s="39">
        <f t="shared" si="29"/>
        <v>2437260</v>
      </c>
      <c r="S243" s="42">
        <f t="shared" si="30"/>
        <v>0</v>
      </c>
    </row>
    <row r="244" spans="1:19">
      <c r="A244" s="99">
        <v>2026</v>
      </c>
      <c r="B244" s="100">
        <v>1</v>
      </c>
      <c r="C244" s="101">
        <v>46041</v>
      </c>
      <c r="D244" s="101" t="str">
        <f t="shared" si="28"/>
        <v>PPS00000457Навоий_Дильноза опа</v>
      </c>
      <c r="E244" s="99" t="s">
        <v>670</v>
      </c>
      <c r="F244" s="102" t="s">
        <v>332</v>
      </c>
      <c r="G244" s="102" t="s">
        <v>333</v>
      </c>
      <c r="H244" s="99" t="s">
        <v>255</v>
      </c>
      <c r="I244" s="102" t="s">
        <v>454</v>
      </c>
      <c r="J244" s="102" t="s">
        <v>21</v>
      </c>
      <c r="K244" s="103">
        <v>40</v>
      </c>
      <c r="L244" s="104">
        <v>40621</v>
      </c>
      <c r="M244" s="104">
        <v>1624840</v>
      </c>
      <c r="N244" s="39">
        <f t="shared" si="39"/>
        <v>600000</v>
      </c>
      <c r="O244" s="107">
        <f>+M244*$O$1</f>
        <v>292471.2</v>
      </c>
      <c r="P244" s="108">
        <f>+N244+O244</f>
        <v>892471.2</v>
      </c>
      <c r="Q244" s="39">
        <v>100</v>
      </c>
      <c r="R244" s="39">
        <f t="shared" si="29"/>
        <v>1624840</v>
      </c>
      <c r="S244" s="42">
        <f t="shared" si="30"/>
        <v>0</v>
      </c>
    </row>
    <row r="245" spans="1:19">
      <c r="A245" s="99">
        <v>2026</v>
      </c>
      <c r="B245" s="100">
        <v>1</v>
      </c>
      <c r="C245" s="101">
        <v>46041</v>
      </c>
      <c r="D245" s="101" t="str">
        <f t="shared" si="28"/>
        <v>PPS00000463Жиззах_Саодат опа</v>
      </c>
      <c r="E245" s="99" t="s">
        <v>671</v>
      </c>
      <c r="F245" s="102" t="s">
        <v>496</v>
      </c>
      <c r="G245" s="102" t="s">
        <v>337</v>
      </c>
      <c r="H245" s="99" t="s">
        <v>255</v>
      </c>
      <c r="I245" s="102" t="s">
        <v>538</v>
      </c>
      <c r="J245" s="102" t="s">
        <v>21</v>
      </c>
      <c r="K245" s="103">
        <v>80</v>
      </c>
      <c r="L245" s="104">
        <v>40621</v>
      </c>
      <c r="M245" s="104">
        <v>3249680</v>
      </c>
      <c r="N245" s="39">
        <f t="shared" si="39"/>
        <v>1200000</v>
      </c>
      <c r="O245" s="107">
        <f>+M245*$O$1</f>
        <v>584942.4</v>
      </c>
      <c r="P245" s="108">
        <f>+N245+O245</f>
        <v>1784942.4</v>
      </c>
      <c r="Q245" s="39">
        <v>100</v>
      </c>
      <c r="R245" s="39">
        <f t="shared" si="29"/>
        <v>3249680</v>
      </c>
      <c r="S245" s="42">
        <f t="shared" si="30"/>
        <v>0</v>
      </c>
    </row>
    <row r="246" spans="1:19">
      <c r="A246" s="99">
        <v>2026</v>
      </c>
      <c r="B246" s="100">
        <v>1</v>
      </c>
      <c r="C246" s="101">
        <v>46042</v>
      </c>
      <c r="D246" s="101" t="str">
        <f t="shared" si="28"/>
        <v>PPS00000467Тошкент_Зилола опа</v>
      </c>
      <c r="E246" s="99" t="s">
        <v>672</v>
      </c>
      <c r="F246" s="102" t="s">
        <v>673</v>
      </c>
      <c r="G246" s="102" t="s">
        <v>674</v>
      </c>
      <c r="H246" s="99" t="s">
        <v>255</v>
      </c>
      <c r="I246" s="102" t="s">
        <v>312</v>
      </c>
      <c r="J246" s="102" t="s">
        <v>466</v>
      </c>
      <c r="K246" s="103">
        <v>30</v>
      </c>
      <c r="L246" s="104">
        <v>120000</v>
      </c>
      <c r="M246" s="104">
        <v>3600000</v>
      </c>
      <c r="N246" s="39">
        <f>+K246*35000</f>
        <v>1050000</v>
      </c>
      <c r="O246" s="107">
        <f>+M246*$O$1</f>
        <v>648000</v>
      </c>
      <c r="P246" s="108">
        <f>+N246+O246</f>
        <v>1698000</v>
      </c>
      <c r="Q246" s="39">
        <v>100</v>
      </c>
      <c r="R246" s="39">
        <f t="shared" si="29"/>
        <v>3600000</v>
      </c>
      <c r="S246" s="42">
        <f t="shared" si="30"/>
        <v>0</v>
      </c>
    </row>
    <row r="247" spans="1:19">
      <c r="A247" s="99">
        <v>2026</v>
      </c>
      <c r="B247" s="100">
        <v>1</v>
      </c>
      <c r="C247" s="101">
        <v>46042</v>
      </c>
      <c r="D247" s="101" t="str">
        <f t="shared" si="28"/>
        <v>PPS00000472Жиззах_Саодат опа</v>
      </c>
      <c r="E247" s="99" t="s">
        <v>675</v>
      </c>
      <c r="F247" s="102" t="s">
        <v>638</v>
      </c>
      <c r="G247" s="102" t="s">
        <v>337</v>
      </c>
      <c r="H247" s="99" t="s">
        <v>255</v>
      </c>
      <c r="I247" s="102" t="s">
        <v>639</v>
      </c>
      <c r="J247" s="102" t="s">
        <v>21</v>
      </c>
      <c r="K247" s="103">
        <v>60</v>
      </c>
      <c r="L247" s="104">
        <v>40621</v>
      </c>
      <c r="M247" s="104">
        <v>2437260</v>
      </c>
      <c r="N247" s="39">
        <f>+K247*15000</f>
        <v>900000</v>
      </c>
      <c r="O247" s="107">
        <f>+M247*$O$1</f>
        <v>438706.8</v>
      </c>
      <c r="P247" s="108">
        <f>+N247+O247</f>
        <v>1338706.8</v>
      </c>
      <c r="Q247" s="39">
        <v>100</v>
      </c>
      <c r="R247" s="39">
        <f t="shared" si="29"/>
        <v>2437260</v>
      </c>
      <c r="S247" s="42">
        <f t="shared" si="30"/>
        <v>0</v>
      </c>
    </row>
    <row r="248" spans="1:19">
      <c r="A248" s="99">
        <v>2026</v>
      </c>
      <c r="B248" s="100">
        <v>1</v>
      </c>
      <c r="C248" s="101">
        <v>46042</v>
      </c>
      <c r="D248" s="101" t="str">
        <f t="shared" si="28"/>
        <v>PPS00000485Таш.Обл_Шахло опа</v>
      </c>
      <c r="E248" s="99" t="s">
        <v>676</v>
      </c>
      <c r="F248" s="102" t="s">
        <v>677</v>
      </c>
      <c r="G248" s="102" t="s">
        <v>464</v>
      </c>
      <c r="H248" s="99" t="s">
        <v>255</v>
      </c>
      <c r="I248" s="102" t="s">
        <v>678</v>
      </c>
      <c r="J248" s="102" t="s">
        <v>46</v>
      </c>
      <c r="K248" s="103">
        <v>10</v>
      </c>
      <c r="L248" s="104">
        <v>64700</v>
      </c>
      <c r="M248" s="104">
        <v>647000</v>
      </c>
      <c r="N248" s="39">
        <f>20000*K248</f>
        <v>200000</v>
      </c>
      <c r="O248" s="107">
        <f>+M248*$O$1</f>
        <v>116460</v>
      </c>
      <c r="P248" s="108">
        <f>+N248+O248</f>
        <v>316460</v>
      </c>
      <c r="Q248" s="39">
        <v>100</v>
      </c>
      <c r="R248" s="39">
        <f t="shared" si="29"/>
        <v>647000</v>
      </c>
      <c r="S248" s="42">
        <f t="shared" si="30"/>
        <v>0</v>
      </c>
    </row>
    <row r="249" spans="1:19">
      <c r="A249" s="99">
        <v>2026</v>
      </c>
      <c r="B249" s="100">
        <v>1</v>
      </c>
      <c r="C249" s="101">
        <v>46042</v>
      </c>
      <c r="D249" s="101" t="str">
        <f t="shared" si="28"/>
        <v>PPS00000485Таш.Обл_Шахло опа</v>
      </c>
      <c r="E249" s="99" t="s">
        <v>676</v>
      </c>
      <c r="F249" s="102" t="s">
        <v>677</v>
      </c>
      <c r="G249" s="102" t="s">
        <v>464</v>
      </c>
      <c r="H249" s="99" t="s">
        <v>255</v>
      </c>
      <c r="I249" s="102" t="s">
        <v>678</v>
      </c>
      <c r="J249" s="102" t="s">
        <v>466</v>
      </c>
      <c r="K249" s="103">
        <v>10</v>
      </c>
      <c r="L249" s="104">
        <v>120000</v>
      </c>
      <c r="M249" s="104">
        <v>1200000</v>
      </c>
      <c r="N249" s="39">
        <f>+K249*35000</f>
        <v>350000</v>
      </c>
      <c r="O249" s="107">
        <f>+M249*$O$1</f>
        <v>216000</v>
      </c>
      <c r="P249" s="108">
        <f>+N249+O249</f>
        <v>566000</v>
      </c>
      <c r="Q249" s="39">
        <v>100</v>
      </c>
      <c r="R249" s="39">
        <f t="shared" si="29"/>
        <v>1200000</v>
      </c>
      <c r="S249" s="42">
        <f t="shared" si="30"/>
        <v>0</v>
      </c>
    </row>
    <row r="250" spans="1:19">
      <c r="A250" s="99">
        <v>2026</v>
      </c>
      <c r="B250" s="100">
        <v>1</v>
      </c>
      <c r="C250" s="101">
        <v>46043</v>
      </c>
      <c r="D250" s="101" t="str">
        <f t="shared" si="28"/>
        <v>PPS00000502Бухоро_Рустам ака</v>
      </c>
      <c r="E250" s="99" t="s">
        <v>679</v>
      </c>
      <c r="F250" s="102" t="s">
        <v>258</v>
      </c>
      <c r="G250" s="102" t="s">
        <v>259</v>
      </c>
      <c r="H250" s="99" t="s">
        <v>255</v>
      </c>
      <c r="I250" s="102" t="s">
        <v>680</v>
      </c>
      <c r="J250" s="102" t="s">
        <v>21</v>
      </c>
      <c r="K250" s="103">
        <v>20</v>
      </c>
      <c r="L250" s="104">
        <v>40621</v>
      </c>
      <c r="M250" s="104">
        <v>812420</v>
      </c>
      <c r="N250" s="39">
        <f t="shared" ref="N250:N251" si="40">+K250*15000</f>
        <v>300000</v>
      </c>
      <c r="O250" s="107">
        <f>+M250*$O$1</f>
        <v>146235.6</v>
      </c>
      <c r="P250" s="108">
        <f>+N250+O250</f>
        <v>446235.6</v>
      </c>
      <c r="Q250" s="39">
        <v>100</v>
      </c>
      <c r="R250" s="39">
        <f t="shared" si="29"/>
        <v>812420</v>
      </c>
      <c r="S250" s="42">
        <f t="shared" si="30"/>
        <v>0</v>
      </c>
    </row>
    <row r="251" spans="1:19">
      <c r="A251" s="99">
        <v>2026</v>
      </c>
      <c r="B251" s="100">
        <v>1</v>
      </c>
      <c r="C251" s="101">
        <v>46043</v>
      </c>
      <c r="D251" s="101" t="str">
        <f t="shared" si="28"/>
        <v>PPS00000504Тошкент_Мохира опа</v>
      </c>
      <c r="E251" s="99" t="s">
        <v>681</v>
      </c>
      <c r="F251" s="102" t="s">
        <v>556</v>
      </c>
      <c r="G251" s="102" t="s">
        <v>305</v>
      </c>
      <c r="H251" s="99" t="s">
        <v>255</v>
      </c>
      <c r="I251" s="102" t="s">
        <v>581</v>
      </c>
      <c r="J251" s="102" t="s">
        <v>21</v>
      </c>
      <c r="K251" s="103">
        <v>25</v>
      </c>
      <c r="L251" s="104">
        <v>40621</v>
      </c>
      <c r="M251" s="104">
        <v>1015525</v>
      </c>
      <c r="N251" s="39">
        <f t="shared" si="40"/>
        <v>375000</v>
      </c>
      <c r="O251" s="107">
        <f>+M251*$O$1</f>
        <v>182794.5</v>
      </c>
      <c r="P251" s="108">
        <f>+N251+O251</f>
        <v>557794.5</v>
      </c>
      <c r="Q251" s="39">
        <v>100</v>
      </c>
      <c r="R251" s="39">
        <f t="shared" si="29"/>
        <v>1015525</v>
      </c>
      <c r="S251" s="42">
        <f t="shared" si="30"/>
        <v>0</v>
      </c>
    </row>
    <row r="252" spans="1:19">
      <c r="A252" s="99">
        <v>2026</v>
      </c>
      <c r="B252" s="100">
        <v>1</v>
      </c>
      <c r="C252" s="101">
        <v>46043</v>
      </c>
      <c r="D252" s="101" t="str">
        <f t="shared" si="28"/>
        <v>PPS00000511Тошкент_Зилола опа</v>
      </c>
      <c r="E252" s="99" t="s">
        <v>683</v>
      </c>
      <c r="F252" s="102" t="s">
        <v>673</v>
      </c>
      <c r="G252" s="102" t="s">
        <v>674</v>
      </c>
      <c r="H252" s="99" t="s">
        <v>255</v>
      </c>
      <c r="I252" s="102" t="s">
        <v>684</v>
      </c>
      <c r="J252" s="102" t="s">
        <v>466</v>
      </c>
      <c r="K252" s="103">
        <v>10</v>
      </c>
      <c r="L252" s="104">
        <v>120000</v>
      </c>
      <c r="M252" s="104">
        <v>1200000</v>
      </c>
      <c r="N252" s="39">
        <f>+K252*35000</f>
        <v>350000</v>
      </c>
      <c r="O252" s="107">
        <f>+M252*$O$1</f>
        <v>216000</v>
      </c>
      <c r="P252" s="108">
        <f>+N252+O252</f>
        <v>566000</v>
      </c>
      <c r="Q252" s="39">
        <v>100</v>
      </c>
      <c r="R252" s="39">
        <f t="shared" si="29"/>
        <v>1200000</v>
      </c>
      <c r="S252" s="42">
        <f t="shared" si="30"/>
        <v>0</v>
      </c>
    </row>
    <row r="253" spans="1:19">
      <c r="A253" s="99">
        <v>2026</v>
      </c>
      <c r="B253" s="100">
        <v>1</v>
      </c>
      <c r="C253" s="101">
        <v>46044</v>
      </c>
      <c r="D253" s="101" t="str">
        <f t="shared" si="28"/>
        <v>PPS00000526Навоий_Дильноза опа</v>
      </c>
      <c r="E253" s="99" t="s">
        <v>685</v>
      </c>
      <c r="F253" s="102" t="s">
        <v>553</v>
      </c>
      <c r="G253" s="102" t="s">
        <v>333</v>
      </c>
      <c r="H253" s="99" t="s">
        <v>255</v>
      </c>
      <c r="I253" s="102" t="s">
        <v>686</v>
      </c>
      <c r="J253" s="102" t="s">
        <v>21</v>
      </c>
      <c r="K253" s="103">
        <v>15</v>
      </c>
      <c r="L253" s="104">
        <v>40621</v>
      </c>
      <c r="M253" s="104">
        <v>609315</v>
      </c>
      <c r="N253" s="39">
        <f>+K253*15000</f>
        <v>225000</v>
      </c>
      <c r="O253" s="107">
        <f>+M253*$O$1</f>
        <v>109676.7</v>
      </c>
      <c r="P253" s="108">
        <f>+N253+O253</f>
        <v>334676.7</v>
      </c>
      <c r="Q253" s="39">
        <v>100</v>
      </c>
      <c r="R253" s="39">
        <f t="shared" si="29"/>
        <v>609315</v>
      </c>
      <c r="S253" s="42">
        <f t="shared" si="30"/>
        <v>0</v>
      </c>
    </row>
    <row r="254" spans="1:19">
      <c r="A254" s="99">
        <v>2026</v>
      </c>
      <c r="B254" s="100">
        <v>1</v>
      </c>
      <c r="C254" s="101">
        <v>46044</v>
      </c>
      <c r="D254" s="101" t="str">
        <f t="shared" si="28"/>
        <v>PPS00000529Кашкадарьё_Феруз ака</v>
      </c>
      <c r="E254" s="99" t="s">
        <v>687</v>
      </c>
      <c r="F254" s="102" t="s">
        <v>575</v>
      </c>
      <c r="G254" s="102" t="s">
        <v>502</v>
      </c>
      <c r="H254" s="99" t="s">
        <v>255</v>
      </c>
      <c r="I254" s="102" t="s">
        <v>688</v>
      </c>
      <c r="J254" s="102" t="s">
        <v>38</v>
      </c>
      <c r="K254" s="103">
        <v>20</v>
      </c>
      <c r="L254" s="104">
        <v>65000</v>
      </c>
      <c r="M254" s="104">
        <v>1300000</v>
      </c>
      <c r="N254" s="39">
        <f>+K254*20000</f>
        <v>400000</v>
      </c>
      <c r="O254" s="107">
        <f>+M254*$O$1</f>
        <v>234000</v>
      </c>
      <c r="P254" s="108">
        <f>+N254+O254</f>
        <v>634000</v>
      </c>
      <c r="Q254" s="39">
        <v>100</v>
      </c>
      <c r="R254" s="39">
        <f t="shared" si="29"/>
        <v>1300000</v>
      </c>
      <c r="S254" s="42">
        <f t="shared" si="30"/>
        <v>0</v>
      </c>
    </row>
    <row r="255" spans="1:19">
      <c r="A255" s="99">
        <v>2026</v>
      </c>
      <c r="B255" s="100">
        <v>1</v>
      </c>
      <c r="C255" s="101">
        <v>46044</v>
      </c>
      <c r="D255" s="101" t="str">
        <f t="shared" si="28"/>
        <v>PPS00000532Бухоро_Рустам ака</v>
      </c>
      <c r="E255" s="99" t="s">
        <v>689</v>
      </c>
      <c r="F255" s="102" t="s">
        <v>258</v>
      </c>
      <c r="G255" s="102" t="s">
        <v>259</v>
      </c>
      <c r="H255" s="99" t="s">
        <v>255</v>
      </c>
      <c r="I255" s="102" t="s">
        <v>296</v>
      </c>
      <c r="J255" s="102" t="s">
        <v>21</v>
      </c>
      <c r="K255" s="103">
        <v>40</v>
      </c>
      <c r="L255" s="104">
        <v>40621</v>
      </c>
      <c r="M255" s="104">
        <v>1624840</v>
      </c>
      <c r="N255" s="39">
        <f t="shared" ref="N255:N259" si="41">+K255*15000</f>
        <v>600000</v>
      </c>
      <c r="O255" s="107">
        <f>+M255*$O$1</f>
        <v>292471.2</v>
      </c>
      <c r="P255" s="108">
        <f>+N255+O255</f>
        <v>892471.2</v>
      </c>
      <c r="Q255" s="39">
        <v>100</v>
      </c>
      <c r="R255" s="39">
        <f t="shared" si="29"/>
        <v>1624840</v>
      </c>
      <c r="S255" s="42">
        <f t="shared" si="30"/>
        <v>0</v>
      </c>
    </row>
    <row r="256" spans="1:19">
      <c r="A256" s="99">
        <v>2026</v>
      </c>
      <c r="B256" s="100">
        <v>1</v>
      </c>
      <c r="C256" s="101">
        <v>46044</v>
      </c>
      <c r="D256" s="101" t="str">
        <f t="shared" si="28"/>
        <v>PPS00000538Тошкент_Мохира опа</v>
      </c>
      <c r="E256" s="99" t="s">
        <v>690</v>
      </c>
      <c r="F256" s="102" t="s">
        <v>556</v>
      </c>
      <c r="G256" s="102" t="s">
        <v>305</v>
      </c>
      <c r="H256" s="99" t="s">
        <v>255</v>
      </c>
      <c r="I256" s="102" t="s">
        <v>691</v>
      </c>
      <c r="J256" s="102" t="s">
        <v>21</v>
      </c>
      <c r="K256" s="103">
        <v>10</v>
      </c>
      <c r="L256" s="104">
        <v>40621</v>
      </c>
      <c r="M256" s="104">
        <v>406210</v>
      </c>
      <c r="N256" s="39">
        <f t="shared" si="41"/>
        <v>150000</v>
      </c>
      <c r="O256" s="107">
        <f>+M256*$O$1</f>
        <v>73117.8</v>
      </c>
      <c r="P256" s="108">
        <f>+N256+O256</f>
        <v>223117.8</v>
      </c>
      <c r="Q256" s="39">
        <v>100</v>
      </c>
      <c r="R256" s="39">
        <f t="shared" si="29"/>
        <v>406210</v>
      </c>
      <c r="S256" s="42">
        <f t="shared" si="30"/>
        <v>0</v>
      </c>
    </row>
    <row r="257" spans="1:19">
      <c r="A257" s="99">
        <v>2026</v>
      </c>
      <c r="B257" s="100">
        <v>1</v>
      </c>
      <c r="C257" s="101">
        <v>46044</v>
      </c>
      <c r="D257" s="101" t="str">
        <f t="shared" si="28"/>
        <v>PPS00000539Навоий_Дильноза опа</v>
      </c>
      <c r="E257" s="99" t="s">
        <v>692</v>
      </c>
      <c r="F257" s="102" t="s">
        <v>332</v>
      </c>
      <c r="G257" s="102" t="s">
        <v>333</v>
      </c>
      <c r="H257" s="99" t="s">
        <v>255</v>
      </c>
      <c r="I257" s="102" t="s">
        <v>62</v>
      </c>
      <c r="J257" s="102" t="s">
        <v>21</v>
      </c>
      <c r="K257" s="103">
        <v>20</v>
      </c>
      <c r="L257" s="104">
        <v>40621</v>
      </c>
      <c r="M257" s="104">
        <v>812420</v>
      </c>
      <c r="N257" s="39">
        <f t="shared" si="41"/>
        <v>300000</v>
      </c>
      <c r="O257" s="107">
        <f>+M257*$O$1</f>
        <v>146235.6</v>
      </c>
      <c r="P257" s="108">
        <f>+N257+O257</f>
        <v>446235.6</v>
      </c>
      <c r="Q257" s="39">
        <v>100</v>
      </c>
      <c r="R257" s="39">
        <f t="shared" si="29"/>
        <v>812420</v>
      </c>
      <c r="S257" s="42">
        <f t="shared" si="30"/>
        <v>0</v>
      </c>
    </row>
    <row r="258" spans="1:19">
      <c r="A258" s="99">
        <v>2026</v>
      </c>
      <c r="B258" s="100">
        <v>1</v>
      </c>
      <c r="C258" s="101">
        <v>46044</v>
      </c>
      <c r="D258" s="101" t="str">
        <f t="shared" si="28"/>
        <v>PPS00000561Бухоро_Рустам ака</v>
      </c>
      <c r="E258" s="99" t="s">
        <v>693</v>
      </c>
      <c r="F258" s="102" t="s">
        <v>258</v>
      </c>
      <c r="G258" s="102" t="s">
        <v>259</v>
      </c>
      <c r="H258" s="99" t="s">
        <v>255</v>
      </c>
      <c r="I258" s="102" t="s">
        <v>368</v>
      </c>
      <c r="J258" s="102" t="s">
        <v>21</v>
      </c>
      <c r="K258" s="103">
        <v>120</v>
      </c>
      <c r="L258" s="104">
        <v>40621</v>
      </c>
      <c r="M258" s="104">
        <v>4874520</v>
      </c>
      <c r="N258" s="39">
        <f t="shared" si="41"/>
        <v>1800000</v>
      </c>
      <c r="O258" s="107">
        <f>+M258*$O$1</f>
        <v>877413.6</v>
      </c>
      <c r="P258" s="108">
        <f>+N258+O258</f>
        <v>2677413.6</v>
      </c>
      <c r="Q258" s="39">
        <v>100</v>
      </c>
      <c r="R258" s="39">
        <f t="shared" si="29"/>
        <v>4874520</v>
      </c>
      <c r="S258" s="42">
        <f t="shared" si="30"/>
        <v>0</v>
      </c>
    </row>
    <row r="259" spans="1:19">
      <c r="A259" s="99">
        <v>2026</v>
      </c>
      <c r="B259" s="100">
        <v>1</v>
      </c>
      <c r="C259" s="101">
        <v>46044</v>
      </c>
      <c r="D259" s="101" t="str">
        <f t="shared" si="28"/>
        <v>PPS00000567Навоий_Дильноза опа</v>
      </c>
      <c r="E259" s="99" t="s">
        <v>694</v>
      </c>
      <c r="F259" s="102" t="s">
        <v>332</v>
      </c>
      <c r="G259" s="102" t="s">
        <v>333</v>
      </c>
      <c r="H259" s="99" t="s">
        <v>255</v>
      </c>
      <c r="I259" s="102" t="s">
        <v>439</v>
      </c>
      <c r="J259" s="102" t="s">
        <v>21</v>
      </c>
      <c r="K259" s="103">
        <v>10</v>
      </c>
      <c r="L259" s="104">
        <v>40621</v>
      </c>
      <c r="M259" s="104">
        <v>406210</v>
      </c>
      <c r="N259" s="39">
        <f t="shared" si="41"/>
        <v>150000</v>
      </c>
      <c r="O259" s="107">
        <f>+M259*$O$1</f>
        <v>73117.8</v>
      </c>
      <c r="P259" s="108">
        <f>+N259+O259</f>
        <v>223117.8</v>
      </c>
      <c r="Q259" s="39">
        <v>100</v>
      </c>
      <c r="R259" s="39">
        <f t="shared" si="29"/>
        <v>406210</v>
      </c>
      <c r="S259" s="42">
        <f t="shared" si="30"/>
        <v>0</v>
      </c>
    </row>
    <row r="260" spans="1:19">
      <c r="A260" s="99">
        <v>2026</v>
      </c>
      <c r="B260" s="100">
        <v>1</v>
      </c>
      <c r="C260" s="101">
        <v>46048</v>
      </c>
      <c r="D260" s="101" t="str">
        <f t="shared" ref="D260:D323" si="42">+E260&amp;G260</f>
        <v>PPS00000633Таш.Обл_Шахло опа</v>
      </c>
      <c r="E260" s="99" t="s">
        <v>695</v>
      </c>
      <c r="F260" s="102" t="s">
        <v>547</v>
      </c>
      <c r="G260" s="102" t="s">
        <v>464</v>
      </c>
      <c r="H260" s="99" t="s">
        <v>255</v>
      </c>
      <c r="I260" s="102" t="s">
        <v>696</v>
      </c>
      <c r="J260" s="102" t="s">
        <v>46</v>
      </c>
      <c r="K260" s="103">
        <v>20</v>
      </c>
      <c r="L260" s="104">
        <v>64700</v>
      </c>
      <c r="M260" s="104">
        <v>1294000</v>
      </c>
      <c r="N260" s="39">
        <f>20000*K260</f>
        <v>400000</v>
      </c>
      <c r="O260" s="107">
        <f>+M260*$O$1</f>
        <v>232920</v>
      </c>
      <c r="P260" s="108">
        <f>+N260+O260</f>
        <v>632920</v>
      </c>
      <c r="Q260" s="39">
        <v>100</v>
      </c>
      <c r="R260" s="39">
        <f t="shared" ref="R260:R323" si="43">+M260*Q260%</f>
        <v>1294000</v>
      </c>
      <c r="S260" s="42">
        <f t="shared" ref="S260:S323" si="44">M260-R260</f>
        <v>0</v>
      </c>
    </row>
    <row r="261" spans="1:19">
      <c r="A261" s="99">
        <v>2026</v>
      </c>
      <c r="B261" s="100">
        <v>1</v>
      </c>
      <c r="C261" s="101">
        <v>46049</v>
      </c>
      <c r="D261" s="101" t="str">
        <f t="shared" si="42"/>
        <v>PPS00000668Навоий_Дильноза опа</v>
      </c>
      <c r="E261" s="99" t="s">
        <v>697</v>
      </c>
      <c r="F261" s="102" t="s">
        <v>332</v>
      </c>
      <c r="G261" s="102" t="s">
        <v>333</v>
      </c>
      <c r="H261" s="99" t="s">
        <v>255</v>
      </c>
      <c r="I261" s="102" t="s">
        <v>439</v>
      </c>
      <c r="J261" s="102" t="s">
        <v>21</v>
      </c>
      <c r="K261" s="103">
        <v>20</v>
      </c>
      <c r="L261" s="104">
        <v>40621</v>
      </c>
      <c r="M261" s="104">
        <v>812420</v>
      </c>
      <c r="N261" s="39">
        <f>+K261*15000</f>
        <v>300000</v>
      </c>
      <c r="O261" s="107">
        <f>+M261*$O$1</f>
        <v>146235.6</v>
      </c>
      <c r="P261" s="108">
        <f>+N261+O261</f>
        <v>446235.6</v>
      </c>
      <c r="Q261" s="39">
        <v>100</v>
      </c>
      <c r="R261" s="39">
        <f t="shared" si="43"/>
        <v>812420</v>
      </c>
      <c r="S261" s="42">
        <f t="shared" si="44"/>
        <v>0</v>
      </c>
    </row>
    <row r="262" spans="1:19">
      <c r="A262" s="99">
        <v>2026</v>
      </c>
      <c r="B262" s="100">
        <v>1</v>
      </c>
      <c r="C262" s="101">
        <v>46049</v>
      </c>
      <c r="D262" s="101" t="str">
        <f t="shared" si="42"/>
        <v>PPS00000670Кашкадарьё_Феруз ака</v>
      </c>
      <c r="E262" s="99" t="s">
        <v>698</v>
      </c>
      <c r="F262" s="102" t="s">
        <v>575</v>
      </c>
      <c r="G262" s="102" t="s">
        <v>502</v>
      </c>
      <c r="H262" s="99" t="s">
        <v>255</v>
      </c>
      <c r="I262" s="102" t="s">
        <v>617</v>
      </c>
      <c r="J262" s="102" t="s">
        <v>38</v>
      </c>
      <c r="K262" s="103">
        <v>30</v>
      </c>
      <c r="L262" s="104">
        <v>65000</v>
      </c>
      <c r="M262" s="104">
        <v>1950000</v>
      </c>
      <c r="N262" s="39">
        <f>+K262*20000</f>
        <v>600000</v>
      </c>
      <c r="O262" s="107">
        <f>+M262*$O$1</f>
        <v>351000</v>
      </c>
      <c r="P262" s="108">
        <f>+N262+O262</f>
        <v>951000</v>
      </c>
      <c r="Q262" s="39">
        <v>100</v>
      </c>
      <c r="R262" s="39">
        <f t="shared" si="43"/>
        <v>1950000</v>
      </c>
      <c r="S262" s="42">
        <f t="shared" si="44"/>
        <v>0</v>
      </c>
    </row>
    <row r="263" spans="1:19">
      <c r="A263" s="99">
        <v>2026</v>
      </c>
      <c r="B263" s="100">
        <v>1</v>
      </c>
      <c r="C263" s="101">
        <v>46049</v>
      </c>
      <c r="D263" s="101" t="str">
        <f t="shared" si="42"/>
        <v>PPS00000682Тошкент_Мохира опа</v>
      </c>
      <c r="E263" s="99" t="s">
        <v>699</v>
      </c>
      <c r="F263" s="102" t="s">
        <v>311</v>
      </c>
      <c r="G263" s="102" t="s">
        <v>305</v>
      </c>
      <c r="H263" s="99" t="s">
        <v>255</v>
      </c>
      <c r="I263" s="102" t="s">
        <v>312</v>
      </c>
      <c r="J263" s="102" t="s">
        <v>21</v>
      </c>
      <c r="K263" s="103">
        <v>20</v>
      </c>
      <c r="L263" s="104">
        <v>40621</v>
      </c>
      <c r="M263" s="104">
        <v>812420</v>
      </c>
      <c r="N263" s="39">
        <f>+K263*15000</f>
        <v>300000</v>
      </c>
      <c r="O263" s="107">
        <f>+M263*$O$1</f>
        <v>146235.6</v>
      </c>
      <c r="P263" s="108">
        <f>+N263+O263</f>
        <v>446235.6</v>
      </c>
      <c r="Q263" s="39">
        <v>100</v>
      </c>
      <c r="R263" s="39">
        <f t="shared" si="43"/>
        <v>812420</v>
      </c>
      <c r="S263" s="42">
        <f t="shared" si="44"/>
        <v>0</v>
      </c>
    </row>
    <row r="264" spans="1:19">
      <c r="A264" s="99">
        <v>2026</v>
      </c>
      <c r="B264" s="100">
        <v>1</v>
      </c>
      <c r="C264" s="101">
        <v>46050</v>
      </c>
      <c r="D264" s="101" t="str">
        <f t="shared" si="42"/>
        <v>PPS00000691Кашкадарьё_Феруз ака</v>
      </c>
      <c r="E264" s="99" t="s">
        <v>700</v>
      </c>
      <c r="F264" s="102" t="s">
        <v>575</v>
      </c>
      <c r="G264" s="102" t="s">
        <v>502</v>
      </c>
      <c r="H264" s="99" t="s">
        <v>255</v>
      </c>
      <c r="I264" s="102" t="s">
        <v>701</v>
      </c>
      <c r="J264" s="102" t="s">
        <v>38</v>
      </c>
      <c r="K264" s="103">
        <v>20</v>
      </c>
      <c r="L264" s="104">
        <v>65000</v>
      </c>
      <c r="M264" s="104">
        <v>1300000</v>
      </c>
      <c r="N264" s="39">
        <f>+K264*20000</f>
        <v>400000</v>
      </c>
      <c r="O264" s="107">
        <f>+M264*$O$1</f>
        <v>234000</v>
      </c>
      <c r="P264" s="108">
        <f>+N264+O264</f>
        <v>634000</v>
      </c>
      <c r="Q264" s="39">
        <v>100</v>
      </c>
      <c r="R264" s="39">
        <f t="shared" si="43"/>
        <v>1300000</v>
      </c>
      <c r="S264" s="42">
        <f t="shared" si="44"/>
        <v>0</v>
      </c>
    </row>
    <row r="265" spans="1:19">
      <c r="A265" s="99">
        <v>2026</v>
      </c>
      <c r="B265" s="100">
        <v>1</v>
      </c>
      <c r="C265" s="101">
        <v>46050</v>
      </c>
      <c r="D265" s="101" t="str">
        <f t="shared" si="42"/>
        <v>PPS00000701Сирдарьё_Зилола Опа</v>
      </c>
      <c r="E265" s="99" t="s">
        <v>702</v>
      </c>
      <c r="F265" s="102" t="s">
        <v>703</v>
      </c>
      <c r="G265" s="102" t="s">
        <v>704</v>
      </c>
      <c r="H265" s="99" t="s">
        <v>255</v>
      </c>
      <c r="I265" s="102" t="s">
        <v>705</v>
      </c>
      <c r="J265" s="102" t="s">
        <v>46</v>
      </c>
      <c r="K265" s="103">
        <v>10</v>
      </c>
      <c r="L265" s="104">
        <v>64700</v>
      </c>
      <c r="M265" s="104">
        <v>647000</v>
      </c>
      <c r="N265" s="39">
        <f>20000*K265</f>
        <v>200000</v>
      </c>
      <c r="O265" s="107">
        <f>+M265*$O$1</f>
        <v>116460</v>
      </c>
      <c r="P265" s="108">
        <f>+N265+O265</f>
        <v>316460</v>
      </c>
      <c r="Q265" s="39">
        <v>100</v>
      </c>
      <c r="R265" s="39">
        <f t="shared" si="43"/>
        <v>647000</v>
      </c>
      <c r="S265" s="42">
        <f t="shared" si="44"/>
        <v>0</v>
      </c>
    </row>
    <row r="266" spans="1:19">
      <c r="A266" s="99">
        <v>2026</v>
      </c>
      <c r="B266" s="100">
        <v>1</v>
      </c>
      <c r="C266" s="101">
        <v>46050</v>
      </c>
      <c r="D266" s="101" t="str">
        <f t="shared" si="42"/>
        <v>PPS00000725Сурхондарьё_Сарвар ака</v>
      </c>
      <c r="E266" s="99" t="s">
        <v>706</v>
      </c>
      <c r="F266" s="102" t="s">
        <v>298</v>
      </c>
      <c r="G266" s="102" t="s">
        <v>253</v>
      </c>
      <c r="H266" s="99" t="s">
        <v>255</v>
      </c>
      <c r="I266" s="102" t="s">
        <v>596</v>
      </c>
      <c r="J266" s="102" t="s">
        <v>21</v>
      </c>
      <c r="K266" s="103">
        <v>120</v>
      </c>
      <c r="L266" s="104">
        <v>40621</v>
      </c>
      <c r="M266" s="104">
        <v>4874520</v>
      </c>
      <c r="N266" s="39">
        <f t="shared" ref="N266:N267" si="45">+K266*15000</f>
        <v>1800000</v>
      </c>
      <c r="O266" s="107">
        <f>+M266*$O$1</f>
        <v>877413.6</v>
      </c>
      <c r="P266" s="108">
        <f>+N266+O266</f>
        <v>2677413.6</v>
      </c>
      <c r="Q266" s="39">
        <v>100</v>
      </c>
      <c r="R266" s="39">
        <f t="shared" si="43"/>
        <v>4874520</v>
      </c>
      <c r="S266" s="42">
        <f t="shared" si="44"/>
        <v>0</v>
      </c>
    </row>
    <row r="267" spans="1:19">
      <c r="A267" s="99">
        <v>2026</v>
      </c>
      <c r="B267" s="100">
        <v>1</v>
      </c>
      <c r="C267" s="101">
        <v>46051</v>
      </c>
      <c r="D267" s="101" t="str">
        <f t="shared" si="42"/>
        <v>PPS00000749Жиззах_Саодат опа</v>
      </c>
      <c r="E267" s="99" t="s">
        <v>708</v>
      </c>
      <c r="F267" s="102" t="s">
        <v>336</v>
      </c>
      <c r="G267" s="102" t="s">
        <v>337</v>
      </c>
      <c r="H267" s="99" t="s">
        <v>255</v>
      </c>
      <c r="I267" s="102" t="s">
        <v>445</v>
      </c>
      <c r="J267" s="102" t="s">
        <v>21</v>
      </c>
      <c r="K267" s="103">
        <v>50</v>
      </c>
      <c r="L267" s="104">
        <v>40621</v>
      </c>
      <c r="M267" s="104">
        <v>2031050</v>
      </c>
      <c r="N267" s="39">
        <f t="shared" si="45"/>
        <v>750000</v>
      </c>
      <c r="O267" s="107">
        <f>+M267*$O$1</f>
        <v>365589</v>
      </c>
      <c r="P267" s="108">
        <f>+N267+O267</f>
        <v>1115589</v>
      </c>
      <c r="Q267" s="39">
        <v>100</v>
      </c>
      <c r="R267" s="39">
        <f t="shared" si="43"/>
        <v>2031050</v>
      </c>
      <c r="S267" s="42">
        <f t="shared" si="44"/>
        <v>0</v>
      </c>
    </row>
    <row r="268" spans="1:19">
      <c r="A268" s="99">
        <v>2026</v>
      </c>
      <c r="B268" s="100">
        <v>1</v>
      </c>
      <c r="C268" s="101">
        <v>46051</v>
      </c>
      <c r="D268" s="101" t="str">
        <f t="shared" si="42"/>
        <v>PPS00000755Бухоро_Мадина опа</v>
      </c>
      <c r="E268" s="99" t="s">
        <v>709</v>
      </c>
      <c r="F268" s="102" t="s">
        <v>710</v>
      </c>
      <c r="G268" s="102" t="s">
        <v>607</v>
      </c>
      <c r="H268" s="99" t="s">
        <v>255</v>
      </c>
      <c r="I268" s="102" t="s">
        <v>711</v>
      </c>
      <c r="J268" s="102" t="s">
        <v>466</v>
      </c>
      <c r="K268" s="103">
        <v>10</v>
      </c>
      <c r="L268" s="104">
        <v>120000</v>
      </c>
      <c r="M268" s="104">
        <v>1200000</v>
      </c>
      <c r="N268" s="39">
        <f t="shared" ref="N268:N269" si="46">+K268*35000</f>
        <v>350000</v>
      </c>
      <c r="O268" s="107">
        <f>+M268*$O$1</f>
        <v>216000</v>
      </c>
      <c r="P268" s="108">
        <f>+N268+O268</f>
        <v>566000</v>
      </c>
      <c r="Q268" s="39">
        <v>100</v>
      </c>
      <c r="R268" s="39">
        <f t="shared" si="43"/>
        <v>1200000</v>
      </c>
      <c r="S268" s="42">
        <f t="shared" si="44"/>
        <v>0</v>
      </c>
    </row>
    <row r="269" spans="1:19">
      <c r="A269" s="99">
        <v>2026</v>
      </c>
      <c r="B269" s="100">
        <v>1</v>
      </c>
      <c r="C269" s="101">
        <v>46051</v>
      </c>
      <c r="D269" s="101" t="str">
        <f t="shared" si="42"/>
        <v>PPS00000756Тошкент_Зилола опа</v>
      </c>
      <c r="E269" s="99" t="s">
        <v>712</v>
      </c>
      <c r="F269" s="102" t="s">
        <v>673</v>
      </c>
      <c r="G269" s="102" t="s">
        <v>674</v>
      </c>
      <c r="H269" s="99" t="s">
        <v>255</v>
      </c>
      <c r="I269" s="102" t="s">
        <v>684</v>
      </c>
      <c r="J269" s="102" t="s">
        <v>466</v>
      </c>
      <c r="K269" s="103">
        <v>20</v>
      </c>
      <c r="L269" s="104">
        <v>120000</v>
      </c>
      <c r="M269" s="104">
        <v>2400000</v>
      </c>
      <c r="N269" s="39">
        <f t="shared" si="46"/>
        <v>700000</v>
      </c>
      <c r="O269" s="107">
        <f>+M269*$O$1</f>
        <v>432000</v>
      </c>
      <c r="P269" s="108">
        <f>+N269+O269</f>
        <v>1132000</v>
      </c>
      <c r="Q269" s="39">
        <v>100</v>
      </c>
      <c r="R269" s="39">
        <f t="shared" si="43"/>
        <v>2400000</v>
      </c>
      <c r="S269" s="42">
        <f t="shared" si="44"/>
        <v>0</v>
      </c>
    </row>
    <row r="270" spans="1:19">
      <c r="A270" s="99">
        <v>2026</v>
      </c>
      <c r="B270" s="100">
        <v>1</v>
      </c>
      <c r="C270" s="101">
        <v>46051</v>
      </c>
      <c r="D270" s="101" t="str">
        <f t="shared" si="42"/>
        <v>PPS00000762Навоий_Дильноза опа</v>
      </c>
      <c r="E270" s="99" t="s">
        <v>713</v>
      </c>
      <c r="F270" s="102" t="s">
        <v>332</v>
      </c>
      <c r="G270" s="102" t="s">
        <v>333</v>
      </c>
      <c r="H270" s="99" t="s">
        <v>255</v>
      </c>
      <c r="I270" s="102" t="s">
        <v>536</v>
      </c>
      <c r="J270" s="102" t="s">
        <v>21</v>
      </c>
      <c r="K270" s="103">
        <v>35</v>
      </c>
      <c r="L270" s="104">
        <v>40621</v>
      </c>
      <c r="M270" s="104">
        <v>1421735</v>
      </c>
      <c r="N270" s="39">
        <f t="shared" ref="N270:N271" si="47">+K270*15000</f>
        <v>525000</v>
      </c>
      <c r="O270" s="107">
        <f>+M270*$O$1</f>
        <v>255912.3</v>
      </c>
      <c r="P270" s="108">
        <f>+N270+O270</f>
        <v>780912.3</v>
      </c>
      <c r="Q270" s="39">
        <v>100</v>
      </c>
      <c r="R270" s="39">
        <f t="shared" si="43"/>
        <v>1421735</v>
      </c>
      <c r="S270" s="42">
        <f t="shared" si="44"/>
        <v>0</v>
      </c>
    </row>
    <row r="271" spans="1:19">
      <c r="A271" s="99">
        <v>2026</v>
      </c>
      <c r="B271" s="100">
        <v>1</v>
      </c>
      <c r="C271" s="101">
        <v>46051</v>
      </c>
      <c r="D271" s="101" t="str">
        <f t="shared" si="42"/>
        <v>PPS00000763Навоий_Дильноза опа</v>
      </c>
      <c r="E271" s="99" t="s">
        <v>714</v>
      </c>
      <c r="F271" s="102" t="s">
        <v>332</v>
      </c>
      <c r="G271" s="102" t="s">
        <v>333</v>
      </c>
      <c r="H271" s="99" t="s">
        <v>255</v>
      </c>
      <c r="I271" s="102" t="s">
        <v>526</v>
      </c>
      <c r="J271" s="102" t="s">
        <v>21</v>
      </c>
      <c r="K271" s="103">
        <v>33</v>
      </c>
      <c r="L271" s="104">
        <v>40621</v>
      </c>
      <c r="M271" s="104">
        <v>1340493</v>
      </c>
      <c r="N271" s="39">
        <f t="shared" si="47"/>
        <v>495000</v>
      </c>
      <c r="O271" s="107">
        <f>+M271*$O$1</f>
        <v>241288.74</v>
      </c>
      <c r="P271" s="108">
        <f>+N271+O271</f>
        <v>736288.74</v>
      </c>
      <c r="Q271" s="39">
        <v>100</v>
      </c>
      <c r="R271" s="39">
        <f t="shared" si="43"/>
        <v>1340493</v>
      </c>
      <c r="S271" s="42">
        <f t="shared" si="44"/>
        <v>0</v>
      </c>
    </row>
    <row r="272" spans="1:19">
      <c r="A272" s="99">
        <v>2026</v>
      </c>
      <c r="B272" s="100">
        <v>1</v>
      </c>
      <c r="C272" s="101">
        <v>46051</v>
      </c>
      <c r="D272" s="101" t="str">
        <f t="shared" si="42"/>
        <v>PPS00000765Сирдарьё_Зилола Опа</v>
      </c>
      <c r="E272" s="99" t="s">
        <v>715</v>
      </c>
      <c r="F272" s="102" t="s">
        <v>703</v>
      </c>
      <c r="G272" s="102" t="s">
        <v>704</v>
      </c>
      <c r="H272" s="99" t="s">
        <v>255</v>
      </c>
      <c r="I272" s="102" t="s">
        <v>320</v>
      </c>
      <c r="J272" s="102" t="s">
        <v>46</v>
      </c>
      <c r="K272" s="103">
        <v>10</v>
      </c>
      <c r="L272" s="104">
        <v>64700</v>
      </c>
      <c r="M272" s="104">
        <v>647000</v>
      </c>
      <c r="N272" s="39">
        <f>20000*K272</f>
        <v>200000</v>
      </c>
      <c r="O272" s="107">
        <f>+M272*$O$1</f>
        <v>116460</v>
      </c>
      <c r="P272" s="108">
        <f>+N272+O272</f>
        <v>316460</v>
      </c>
      <c r="Q272" s="39">
        <v>100</v>
      </c>
      <c r="R272" s="39">
        <f t="shared" si="43"/>
        <v>647000</v>
      </c>
      <c r="S272" s="42">
        <f t="shared" si="44"/>
        <v>0</v>
      </c>
    </row>
    <row r="273" spans="1:19">
      <c r="A273" s="99">
        <v>2026</v>
      </c>
      <c r="B273" s="100">
        <v>2</v>
      </c>
      <c r="C273" s="101">
        <v>46055</v>
      </c>
      <c r="D273" s="101" t="str">
        <f t="shared" si="42"/>
        <v>PPS00000839Тошкент_Мохира опа</v>
      </c>
      <c r="E273" s="99" t="s">
        <v>716</v>
      </c>
      <c r="F273" s="102" t="s">
        <v>311</v>
      </c>
      <c r="G273" s="102" t="s">
        <v>305</v>
      </c>
      <c r="H273" s="99" t="s">
        <v>255</v>
      </c>
      <c r="I273" s="102" t="s">
        <v>668</v>
      </c>
      <c r="J273" s="102" t="s">
        <v>21</v>
      </c>
      <c r="K273" s="103">
        <v>48</v>
      </c>
      <c r="L273" s="104">
        <v>40621</v>
      </c>
      <c r="M273" s="104">
        <v>1949808</v>
      </c>
      <c r="N273" s="39">
        <f t="shared" ref="N273:N275" si="48">+K273*15000</f>
        <v>720000</v>
      </c>
      <c r="O273" s="107">
        <f>+M273*$O$1</f>
        <v>350965.44</v>
      </c>
      <c r="P273" s="108">
        <f>+N273+O273</f>
        <v>1070965.44</v>
      </c>
      <c r="Q273" s="39">
        <v>100</v>
      </c>
      <c r="R273" s="39">
        <f t="shared" si="43"/>
        <v>1949808</v>
      </c>
      <c r="S273" s="42">
        <f t="shared" si="44"/>
        <v>0</v>
      </c>
    </row>
    <row r="274" spans="1:19">
      <c r="A274" s="99">
        <v>2026</v>
      </c>
      <c r="B274" s="100">
        <v>2</v>
      </c>
      <c r="C274" s="101">
        <v>46056</v>
      </c>
      <c r="D274" s="101" t="str">
        <f t="shared" si="42"/>
        <v>PPS00000870Навоий_Дильноза опа</v>
      </c>
      <c r="E274" s="99" t="s">
        <v>717</v>
      </c>
      <c r="F274" s="102" t="s">
        <v>553</v>
      </c>
      <c r="G274" s="102" t="s">
        <v>333</v>
      </c>
      <c r="H274" s="99" t="s">
        <v>255</v>
      </c>
      <c r="I274" s="102" t="s">
        <v>563</v>
      </c>
      <c r="J274" s="102" t="s">
        <v>21</v>
      </c>
      <c r="K274" s="103">
        <v>125</v>
      </c>
      <c r="L274" s="104">
        <v>40621</v>
      </c>
      <c r="M274" s="104">
        <v>5077625</v>
      </c>
      <c r="N274" s="39">
        <f t="shared" si="48"/>
        <v>1875000</v>
      </c>
      <c r="O274" s="107">
        <f>+M274*$O$1</f>
        <v>913972.5</v>
      </c>
      <c r="P274" s="108">
        <f>+N274+O274</f>
        <v>2788972.5</v>
      </c>
      <c r="Q274" s="39">
        <v>100</v>
      </c>
      <c r="R274" s="39">
        <f t="shared" si="43"/>
        <v>5077625</v>
      </c>
      <c r="S274" s="42">
        <f t="shared" si="44"/>
        <v>0</v>
      </c>
    </row>
    <row r="275" spans="1:19">
      <c r="A275" s="99">
        <v>2026</v>
      </c>
      <c r="B275" s="100">
        <v>2</v>
      </c>
      <c r="C275" s="101">
        <v>46056</v>
      </c>
      <c r="D275" s="101" t="str">
        <f t="shared" si="42"/>
        <v>PPS00000870Навоий_Дильноза опа</v>
      </c>
      <c r="E275" s="99" t="s">
        <v>717</v>
      </c>
      <c r="F275" s="102" t="s">
        <v>553</v>
      </c>
      <c r="G275" s="102" t="s">
        <v>333</v>
      </c>
      <c r="H275" s="99" t="s">
        <v>255</v>
      </c>
      <c r="I275" s="102" t="s">
        <v>563</v>
      </c>
      <c r="J275" s="102" t="s">
        <v>21</v>
      </c>
      <c r="K275" s="103">
        <v>25</v>
      </c>
      <c r="L275" s="104">
        <v>40621</v>
      </c>
      <c r="M275" s="104">
        <v>1015525</v>
      </c>
      <c r="N275" s="39">
        <f t="shared" si="48"/>
        <v>375000</v>
      </c>
      <c r="O275" s="107">
        <f>+M275*$O$1</f>
        <v>182794.5</v>
      </c>
      <c r="P275" s="108">
        <f>+N275+O275</f>
        <v>557794.5</v>
      </c>
      <c r="Q275" s="39">
        <v>100</v>
      </c>
      <c r="R275" s="39">
        <f t="shared" si="43"/>
        <v>1015525</v>
      </c>
      <c r="S275" s="42">
        <f t="shared" si="44"/>
        <v>0</v>
      </c>
    </row>
    <row r="276" spans="1:19">
      <c r="A276" s="99">
        <v>2026</v>
      </c>
      <c r="B276" s="100">
        <v>2</v>
      </c>
      <c r="C276" s="101">
        <v>46058</v>
      </c>
      <c r="D276" s="101" t="str">
        <f t="shared" si="42"/>
        <v>PPS00000936Тошкент_Зилола опа</v>
      </c>
      <c r="E276" s="99" t="s">
        <v>718</v>
      </c>
      <c r="F276" s="102" t="s">
        <v>673</v>
      </c>
      <c r="G276" s="102" t="s">
        <v>674</v>
      </c>
      <c r="H276" s="99" t="s">
        <v>255</v>
      </c>
      <c r="I276" s="102" t="s">
        <v>719</v>
      </c>
      <c r="J276" s="102" t="s">
        <v>466</v>
      </c>
      <c r="K276" s="103">
        <v>10</v>
      </c>
      <c r="L276" s="104">
        <v>120000</v>
      </c>
      <c r="M276" s="104">
        <v>1200000</v>
      </c>
      <c r="N276" s="39">
        <f>+K276*35000</f>
        <v>350000</v>
      </c>
      <c r="O276" s="107">
        <f>+M276*$O$1</f>
        <v>216000</v>
      </c>
      <c r="P276" s="108">
        <f>+N276+O276</f>
        <v>566000</v>
      </c>
      <c r="Q276" s="39">
        <v>100</v>
      </c>
      <c r="R276" s="39">
        <f t="shared" si="43"/>
        <v>1200000</v>
      </c>
      <c r="S276" s="42">
        <f t="shared" si="44"/>
        <v>0</v>
      </c>
    </row>
    <row r="277" spans="1:19">
      <c r="A277" s="99">
        <v>2026</v>
      </c>
      <c r="B277" s="100">
        <v>2</v>
      </c>
      <c r="C277" s="101">
        <v>46058</v>
      </c>
      <c r="D277" s="101" t="str">
        <f t="shared" si="42"/>
        <v>PPS00000942Сирдарьё_Зилола Опа</v>
      </c>
      <c r="E277" s="99" t="s">
        <v>720</v>
      </c>
      <c r="F277" s="102" t="s">
        <v>703</v>
      </c>
      <c r="G277" s="102" t="s">
        <v>704</v>
      </c>
      <c r="H277" s="99" t="s">
        <v>255</v>
      </c>
      <c r="I277" s="102" t="s">
        <v>721</v>
      </c>
      <c r="J277" s="102" t="s">
        <v>46</v>
      </c>
      <c r="K277" s="103">
        <v>10</v>
      </c>
      <c r="L277" s="104">
        <v>64700</v>
      </c>
      <c r="M277" s="104">
        <v>647000</v>
      </c>
      <c r="N277" s="39">
        <f>20000*K277</f>
        <v>200000</v>
      </c>
      <c r="O277" s="107">
        <f>+M277*$O$1</f>
        <v>116460</v>
      </c>
      <c r="P277" s="108">
        <f>+N277+O277</f>
        <v>316460</v>
      </c>
      <c r="Q277" s="39">
        <v>100</v>
      </c>
      <c r="R277" s="39">
        <f t="shared" si="43"/>
        <v>647000</v>
      </c>
      <c r="S277" s="42">
        <f t="shared" si="44"/>
        <v>0</v>
      </c>
    </row>
    <row r="278" spans="1:19">
      <c r="A278" s="99">
        <v>2026</v>
      </c>
      <c r="B278" s="100">
        <v>2</v>
      </c>
      <c r="C278" s="101">
        <v>46058</v>
      </c>
      <c r="D278" s="101" t="str">
        <f t="shared" si="42"/>
        <v>PPS00000943Тошкент_Зилола опа</v>
      </c>
      <c r="E278" s="99" t="s">
        <v>722</v>
      </c>
      <c r="F278" s="102" t="s">
        <v>673</v>
      </c>
      <c r="G278" s="102" t="s">
        <v>674</v>
      </c>
      <c r="H278" s="99" t="s">
        <v>255</v>
      </c>
      <c r="I278" s="102" t="s">
        <v>684</v>
      </c>
      <c r="J278" s="102" t="s">
        <v>466</v>
      </c>
      <c r="K278" s="103">
        <v>41</v>
      </c>
      <c r="L278" s="104">
        <v>120000</v>
      </c>
      <c r="M278" s="104">
        <v>4920000</v>
      </c>
      <c r="N278" s="39">
        <f>+K278*35000</f>
        <v>1435000</v>
      </c>
      <c r="O278" s="107">
        <f>+M278*$O$1</f>
        <v>885600</v>
      </c>
      <c r="P278" s="108">
        <f>+N278+O278</f>
        <v>2320600</v>
      </c>
      <c r="Q278" s="39">
        <v>100</v>
      </c>
      <c r="R278" s="39">
        <f t="shared" si="43"/>
        <v>4920000</v>
      </c>
      <c r="S278" s="42">
        <f t="shared" si="44"/>
        <v>0</v>
      </c>
    </row>
    <row r="279" spans="1:19">
      <c r="A279" s="99">
        <v>2026</v>
      </c>
      <c r="B279" s="100">
        <v>2</v>
      </c>
      <c r="C279" s="101">
        <v>46058</v>
      </c>
      <c r="D279" s="101" t="str">
        <f t="shared" si="42"/>
        <v>PPS00000960Навоий_Дильноза опа</v>
      </c>
      <c r="E279" s="99" t="s">
        <v>723</v>
      </c>
      <c r="F279" s="102" t="s">
        <v>332</v>
      </c>
      <c r="G279" s="102" t="s">
        <v>333</v>
      </c>
      <c r="H279" s="99" t="s">
        <v>255</v>
      </c>
      <c r="I279" s="102" t="s">
        <v>62</v>
      </c>
      <c r="J279" s="102" t="s">
        <v>21</v>
      </c>
      <c r="K279" s="103">
        <v>20</v>
      </c>
      <c r="L279" s="104">
        <v>40621</v>
      </c>
      <c r="M279" s="104">
        <v>812420</v>
      </c>
      <c r="N279" s="39">
        <f t="shared" ref="N279:N280" si="49">+K279*15000</f>
        <v>300000</v>
      </c>
      <c r="O279" s="107">
        <f>+M279*$O$1</f>
        <v>146235.6</v>
      </c>
      <c r="P279" s="108">
        <f>+N279+O279</f>
        <v>446235.6</v>
      </c>
      <c r="Q279" s="39">
        <v>100</v>
      </c>
      <c r="R279" s="39">
        <f t="shared" si="43"/>
        <v>812420</v>
      </c>
      <c r="S279" s="42">
        <f t="shared" si="44"/>
        <v>0</v>
      </c>
    </row>
    <row r="280" spans="1:19">
      <c r="A280" s="99">
        <v>2026</v>
      </c>
      <c r="B280" s="100">
        <v>2</v>
      </c>
      <c r="C280" s="101">
        <v>46058</v>
      </c>
      <c r="D280" s="101" t="str">
        <f t="shared" si="42"/>
        <v>PPS00000974Жиззах_Саодат опа</v>
      </c>
      <c r="E280" s="99" t="s">
        <v>724</v>
      </c>
      <c r="F280" s="102" t="s">
        <v>336</v>
      </c>
      <c r="G280" s="102" t="s">
        <v>337</v>
      </c>
      <c r="H280" s="99" t="s">
        <v>255</v>
      </c>
      <c r="I280" s="102" t="s">
        <v>346</v>
      </c>
      <c r="J280" s="102" t="s">
        <v>21</v>
      </c>
      <c r="K280" s="103">
        <v>20</v>
      </c>
      <c r="L280" s="104">
        <v>40621</v>
      </c>
      <c r="M280" s="104">
        <v>812420</v>
      </c>
      <c r="N280" s="39">
        <f t="shared" si="49"/>
        <v>300000</v>
      </c>
      <c r="O280" s="107">
        <f>+M280*$O$1</f>
        <v>146235.6</v>
      </c>
      <c r="P280" s="108">
        <f>+N280+O280</f>
        <v>446235.6</v>
      </c>
      <c r="Q280" s="39">
        <v>100</v>
      </c>
      <c r="R280" s="39">
        <f t="shared" si="43"/>
        <v>812420</v>
      </c>
      <c r="S280" s="42">
        <f t="shared" si="44"/>
        <v>0</v>
      </c>
    </row>
    <row r="281" spans="1:19">
      <c r="A281" s="99">
        <v>2026</v>
      </c>
      <c r="B281" s="100">
        <v>2</v>
      </c>
      <c r="C281" s="101">
        <v>46058</v>
      </c>
      <c r="D281" s="101" t="str">
        <f t="shared" si="42"/>
        <v>PPS00000976Бухоро_Мадина опа</v>
      </c>
      <c r="E281" s="99" t="s">
        <v>725</v>
      </c>
      <c r="F281" s="102" t="s">
        <v>606</v>
      </c>
      <c r="G281" s="102" t="s">
        <v>607</v>
      </c>
      <c r="H281" s="99" t="s">
        <v>255</v>
      </c>
      <c r="I281" s="102" t="s">
        <v>635</v>
      </c>
      <c r="J281" s="102" t="s">
        <v>46</v>
      </c>
      <c r="K281" s="103">
        <v>30</v>
      </c>
      <c r="L281" s="104">
        <v>64700</v>
      </c>
      <c r="M281" s="104">
        <v>1941000</v>
      </c>
      <c r="N281" s="39">
        <f>20000*K281</f>
        <v>600000</v>
      </c>
      <c r="O281" s="107">
        <f>+M281*$O$1</f>
        <v>349380</v>
      </c>
      <c r="P281" s="108">
        <f>+N281+O281</f>
        <v>949380</v>
      </c>
      <c r="Q281" s="39">
        <v>63</v>
      </c>
      <c r="R281" s="39">
        <f t="shared" si="43"/>
        <v>1222830</v>
      </c>
      <c r="S281" s="42">
        <f t="shared" si="44"/>
        <v>718170</v>
      </c>
    </row>
    <row r="282" spans="1:19">
      <c r="A282" s="99">
        <v>2026</v>
      </c>
      <c r="B282" s="100">
        <v>2</v>
      </c>
      <c r="C282" s="101">
        <v>46058</v>
      </c>
      <c r="D282" s="101" t="str">
        <f t="shared" si="42"/>
        <v>PPS00000981Бухоро_Рустам ака</v>
      </c>
      <c r="E282" s="99" t="s">
        <v>726</v>
      </c>
      <c r="F282" s="102" t="s">
        <v>258</v>
      </c>
      <c r="G282" s="102" t="s">
        <v>259</v>
      </c>
      <c r="H282" s="99" t="s">
        <v>255</v>
      </c>
      <c r="I282" s="102" t="s">
        <v>665</v>
      </c>
      <c r="J282" s="102" t="s">
        <v>21</v>
      </c>
      <c r="K282" s="103">
        <v>40</v>
      </c>
      <c r="L282" s="104">
        <v>40621</v>
      </c>
      <c r="M282" s="104">
        <v>1624840</v>
      </c>
      <c r="N282" s="39">
        <f>+K282*15000</f>
        <v>600000</v>
      </c>
      <c r="O282" s="107">
        <f>+M282*$O$1</f>
        <v>292471.2</v>
      </c>
      <c r="P282" s="108">
        <f>+N282+O282</f>
        <v>892471.2</v>
      </c>
      <c r="Q282" s="39">
        <v>100</v>
      </c>
      <c r="R282" s="39">
        <f t="shared" si="43"/>
        <v>1624840</v>
      </c>
      <c r="S282" s="42">
        <f t="shared" si="44"/>
        <v>0</v>
      </c>
    </row>
    <row r="283" spans="1:19">
      <c r="A283" s="99">
        <v>2026</v>
      </c>
      <c r="B283" s="100">
        <v>2</v>
      </c>
      <c r="C283" s="101">
        <v>46058</v>
      </c>
      <c r="D283" s="101" t="str">
        <f t="shared" si="42"/>
        <v>PPS00000991Тошкент_Зилола опа</v>
      </c>
      <c r="E283" s="99" t="s">
        <v>727</v>
      </c>
      <c r="F283" s="102" t="s">
        <v>673</v>
      </c>
      <c r="G283" s="102" t="s">
        <v>674</v>
      </c>
      <c r="H283" s="99" t="s">
        <v>255</v>
      </c>
      <c r="I283" s="102" t="s">
        <v>312</v>
      </c>
      <c r="J283" s="102" t="s">
        <v>466</v>
      </c>
      <c r="K283" s="103">
        <v>40</v>
      </c>
      <c r="L283" s="104">
        <v>120000</v>
      </c>
      <c r="M283" s="104">
        <v>4800000</v>
      </c>
      <c r="N283" s="39">
        <f>+K283*35000</f>
        <v>1400000</v>
      </c>
      <c r="O283" s="107">
        <f>+M283*$O$1</f>
        <v>864000</v>
      </c>
      <c r="P283" s="108">
        <f>+N283+O283</f>
        <v>2264000</v>
      </c>
      <c r="Q283" s="39">
        <v>100</v>
      </c>
      <c r="R283" s="39">
        <f t="shared" si="43"/>
        <v>4800000</v>
      </c>
      <c r="S283" s="42">
        <f t="shared" si="44"/>
        <v>0</v>
      </c>
    </row>
    <row r="284" spans="1:19">
      <c r="A284" s="99">
        <v>2026</v>
      </c>
      <c r="B284" s="100">
        <v>2</v>
      </c>
      <c r="C284" s="101">
        <v>46062</v>
      </c>
      <c r="D284" s="101" t="str">
        <f t="shared" si="42"/>
        <v>PPS00001038Жиззах_Саодат опа</v>
      </c>
      <c r="E284" s="99" t="s">
        <v>728</v>
      </c>
      <c r="F284" s="102" t="s">
        <v>336</v>
      </c>
      <c r="G284" s="102" t="s">
        <v>337</v>
      </c>
      <c r="H284" s="99" t="s">
        <v>255</v>
      </c>
      <c r="I284" s="102" t="s">
        <v>445</v>
      </c>
      <c r="J284" s="102" t="s">
        <v>21</v>
      </c>
      <c r="K284" s="103">
        <v>10</v>
      </c>
      <c r="L284" s="104">
        <v>40621</v>
      </c>
      <c r="M284" s="104">
        <v>406210</v>
      </c>
      <c r="N284" s="39">
        <f t="shared" ref="N284:N288" si="50">+K284*15000</f>
        <v>150000</v>
      </c>
      <c r="O284" s="107">
        <f>+M284*$O$1</f>
        <v>73117.8</v>
      </c>
      <c r="P284" s="108">
        <f>+N284+O284</f>
        <v>223117.8</v>
      </c>
      <c r="Q284" s="39">
        <v>100</v>
      </c>
      <c r="R284" s="39">
        <f t="shared" si="43"/>
        <v>406210</v>
      </c>
      <c r="S284" s="42">
        <f t="shared" si="44"/>
        <v>0</v>
      </c>
    </row>
    <row r="285" spans="1:19">
      <c r="A285" s="99">
        <v>2026</v>
      </c>
      <c r="B285" s="100">
        <v>2</v>
      </c>
      <c r="C285" s="101">
        <v>46062</v>
      </c>
      <c r="D285" s="101" t="str">
        <f t="shared" si="42"/>
        <v>PPS00001040Жиззах_Саодат опа</v>
      </c>
      <c r="E285" s="99" t="s">
        <v>729</v>
      </c>
      <c r="F285" s="102" t="s">
        <v>336</v>
      </c>
      <c r="G285" s="102" t="s">
        <v>337</v>
      </c>
      <c r="H285" s="99" t="s">
        <v>255</v>
      </c>
      <c r="I285" s="102" t="s">
        <v>340</v>
      </c>
      <c r="J285" s="102" t="s">
        <v>21</v>
      </c>
      <c r="K285" s="103">
        <v>50</v>
      </c>
      <c r="L285" s="104">
        <v>40621</v>
      </c>
      <c r="M285" s="104">
        <v>2031050</v>
      </c>
      <c r="N285" s="39">
        <f t="shared" si="50"/>
        <v>750000</v>
      </c>
      <c r="O285" s="107">
        <f>+M285*$O$1</f>
        <v>365589</v>
      </c>
      <c r="P285" s="108">
        <f>+N285+O285</f>
        <v>1115589</v>
      </c>
      <c r="Q285" s="39">
        <v>100</v>
      </c>
      <c r="R285" s="39">
        <f t="shared" si="43"/>
        <v>2031050</v>
      </c>
      <c r="S285" s="42">
        <f t="shared" si="44"/>
        <v>0</v>
      </c>
    </row>
    <row r="286" spans="1:19">
      <c r="A286" s="99">
        <v>2026</v>
      </c>
      <c r="B286" s="100">
        <v>2</v>
      </c>
      <c r="C286" s="101">
        <v>46062</v>
      </c>
      <c r="D286" s="101" t="str">
        <f t="shared" si="42"/>
        <v>PPS00001043Жиззах_Саодат опа</v>
      </c>
      <c r="E286" s="99" t="s">
        <v>730</v>
      </c>
      <c r="F286" s="102" t="s">
        <v>496</v>
      </c>
      <c r="G286" s="102" t="s">
        <v>337</v>
      </c>
      <c r="H286" s="99" t="s">
        <v>255</v>
      </c>
      <c r="I286" s="102" t="s">
        <v>538</v>
      </c>
      <c r="J286" s="102" t="s">
        <v>21</v>
      </c>
      <c r="K286" s="103">
        <v>30</v>
      </c>
      <c r="L286" s="104">
        <v>40621</v>
      </c>
      <c r="M286" s="104">
        <v>1218630</v>
      </c>
      <c r="N286" s="39">
        <f t="shared" si="50"/>
        <v>450000</v>
      </c>
      <c r="O286" s="107">
        <f>+M286*$O$1</f>
        <v>219353.4</v>
      </c>
      <c r="P286" s="108">
        <f>+N286+O286</f>
        <v>669353.4</v>
      </c>
      <c r="Q286" s="39">
        <v>100</v>
      </c>
      <c r="R286" s="39">
        <f t="shared" si="43"/>
        <v>1218630</v>
      </c>
      <c r="S286" s="42">
        <f t="shared" si="44"/>
        <v>0</v>
      </c>
    </row>
    <row r="287" spans="1:19">
      <c r="A287" s="99">
        <v>2026</v>
      </c>
      <c r="B287" s="100">
        <v>2</v>
      </c>
      <c r="C287" s="101">
        <v>46062</v>
      </c>
      <c r="D287" s="101" t="str">
        <f t="shared" si="42"/>
        <v>PPS00001082Тошкент_Мохира опа</v>
      </c>
      <c r="E287" s="99" t="s">
        <v>731</v>
      </c>
      <c r="F287" s="102" t="s">
        <v>304</v>
      </c>
      <c r="G287" s="102" t="s">
        <v>305</v>
      </c>
      <c r="H287" s="99" t="s">
        <v>255</v>
      </c>
      <c r="I287" s="102" t="s">
        <v>732</v>
      </c>
      <c r="J287" s="102" t="s">
        <v>21</v>
      </c>
      <c r="K287" s="103">
        <v>20</v>
      </c>
      <c r="L287" s="104">
        <v>40621</v>
      </c>
      <c r="M287" s="104">
        <v>812420</v>
      </c>
      <c r="N287" s="39">
        <f t="shared" si="50"/>
        <v>300000</v>
      </c>
      <c r="O287" s="107">
        <f>+M287*$O$1</f>
        <v>146235.6</v>
      </c>
      <c r="P287" s="108">
        <f>+N287+O287</f>
        <v>446235.6</v>
      </c>
      <c r="Q287" s="39">
        <v>100</v>
      </c>
      <c r="R287" s="39">
        <f t="shared" si="43"/>
        <v>812420</v>
      </c>
      <c r="S287" s="42">
        <f t="shared" si="44"/>
        <v>0</v>
      </c>
    </row>
    <row r="288" spans="1:19">
      <c r="A288" s="99">
        <v>2026</v>
      </c>
      <c r="B288" s="100">
        <v>2</v>
      </c>
      <c r="C288" s="101">
        <v>46062</v>
      </c>
      <c r="D288" s="101" t="str">
        <f t="shared" si="42"/>
        <v>PPS00001095Навоий_Дильноза опа</v>
      </c>
      <c r="E288" s="99" t="s">
        <v>733</v>
      </c>
      <c r="F288" s="102" t="s">
        <v>332</v>
      </c>
      <c r="G288" s="102" t="s">
        <v>333</v>
      </c>
      <c r="H288" s="99" t="s">
        <v>255</v>
      </c>
      <c r="I288" s="102" t="s">
        <v>454</v>
      </c>
      <c r="J288" s="102" t="s">
        <v>21</v>
      </c>
      <c r="K288" s="103">
        <v>20</v>
      </c>
      <c r="L288" s="104">
        <v>40621</v>
      </c>
      <c r="M288" s="104">
        <v>812420</v>
      </c>
      <c r="N288" s="39">
        <f t="shared" si="50"/>
        <v>300000</v>
      </c>
      <c r="O288" s="107">
        <f>+M288*$O$1</f>
        <v>146235.6</v>
      </c>
      <c r="P288" s="108">
        <f>+N288+O288</f>
        <v>446235.6</v>
      </c>
      <c r="Q288" s="39">
        <v>100</v>
      </c>
      <c r="R288" s="39">
        <f t="shared" si="43"/>
        <v>812420</v>
      </c>
      <c r="S288" s="42">
        <f t="shared" si="44"/>
        <v>0</v>
      </c>
    </row>
    <row r="289" spans="1:19">
      <c r="A289" s="99">
        <v>2026</v>
      </c>
      <c r="B289" s="100">
        <v>2</v>
      </c>
      <c r="C289" s="101">
        <v>46064</v>
      </c>
      <c r="D289" s="101" t="str">
        <f t="shared" si="42"/>
        <v>PPS00001161Бухоро_Мадина опа</v>
      </c>
      <c r="E289" s="99" t="s">
        <v>734</v>
      </c>
      <c r="F289" s="102" t="s">
        <v>710</v>
      </c>
      <c r="G289" s="102" t="s">
        <v>607</v>
      </c>
      <c r="H289" s="99" t="s">
        <v>255</v>
      </c>
      <c r="I289" s="102" t="s">
        <v>665</v>
      </c>
      <c r="J289" s="102" t="s">
        <v>466</v>
      </c>
      <c r="K289" s="103">
        <v>20</v>
      </c>
      <c r="L289" s="104">
        <v>120000</v>
      </c>
      <c r="M289" s="104">
        <v>2400000</v>
      </c>
      <c r="N289" s="39">
        <f>+K289*35000</f>
        <v>700000</v>
      </c>
      <c r="O289" s="107">
        <f>+M289*$O$1</f>
        <v>432000</v>
      </c>
      <c r="P289" s="108">
        <f>+N289+O289</f>
        <v>1132000</v>
      </c>
      <c r="Q289" s="39">
        <v>100</v>
      </c>
      <c r="R289" s="39">
        <f t="shared" si="43"/>
        <v>2400000</v>
      </c>
      <c r="S289" s="42">
        <f t="shared" si="44"/>
        <v>0</v>
      </c>
    </row>
    <row r="290" spans="1:19">
      <c r="A290" s="99">
        <v>2026</v>
      </c>
      <c r="B290" s="100">
        <v>2</v>
      </c>
      <c r="C290" s="101">
        <v>46064</v>
      </c>
      <c r="D290" s="101" t="str">
        <f t="shared" si="42"/>
        <v>PPS00001161Бухоро_Мадина опа</v>
      </c>
      <c r="E290" s="99" t="s">
        <v>734</v>
      </c>
      <c r="F290" s="102" t="s">
        <v>710</v>
      </c>
      <c r="G290" s="102" t="s">
        <v>607</v>
      </c>
      <c r="H290" s="99" t="s">
        <v>255</v>
      </c>
      <c r="I290" s="102" t="s">
        <v>665</v>
      </c>
      <c r="J290" s="102" t="s">
        <v>46</v>
      </c>
      <c r="K290" s="103">
        <v>20</v>
      </c>
      <c r="L290" s="104">
        <v>64700</v>
      </c>
      <c r="M290" s="104">
        <v>1294000</v>
      </c>
      <c r="N290" s="39">
        <f t="shared" ref="N290:N291" si="51">20000*K290</f>
        <v>400000</v>
      </c>
      <c r="O290" s="107">
        <f>+M290*$O$1</f>
        <v>232920</v>
      </c>
      <c r="P290" s="108">
        <f>+N290+O290</f>
        <v>632920</v>
      </c>
      <c r="Q290" s="39">
        <v>100</v>
      </c>
      <c r="R290" s="39">
        <f t="shared" si="43"/>
        <v>1294000</v>
      </c>
      <c r="S290" s="42">
        <f t="shared" si="44"/>
        <v>0</v>
      </c>
    </row>
    <row r="291" spans="1:19">
      <c r="A291" s="99">
        <v>2026</v>
      </c>
      <c r="B291" s="100">
        <v>2</v>
      </c>
      <c r="C291" s="101">
        <v>46065</v>
      </c>
      <c r="D291" s="101" t="str">
        <f t="shared" si="42"/>
        <v>PPS00001211Сирдарьё_Зилола Опа</v>
      </c>
      <c r="E291" s="99" t="s">
        <v>735</v>
      </c>
      <c r="F291" s="102" t="s">
        <v>736</v>
      </c>
      <c r="G291" s="102" t="s">
        <v>704</v>
      </c>
      <c r="H291" s="99" t="s">
        <v>255</v>
      </c>
      <c r="I291" s="102" t="s">
        <v>737</v>
      </c>
      <c r="J291" s="102" t="s">
        <v>46</v>
      </c>
      <c r="K291" s="103">
        <v>10</v>
      </c>
      <c r="L291" s="104">
        <v>64700</v>
      </c>
      <c r="M291" s="104">
        <v>647000</v>
      </c>
      <c r="N291" s="39">
        <f t="shared" si="51"/>
        <v>200000</v>
      </c>
      <c r="O291" s="107">
        <f>+M291*$O$1</f>
        <v>116460</v>
      </c>
      <c r="P291" s="108">
        <f>+N291+O291</f>
        <v>316460</v>
      </c>
      <c r="Q291" s="39">
        <v>100</v>
      </c>
      <c r="R291" s="39">
        <f t="shared" si="43"/>
        <v>647000</v>
      </c>
      <c r="S291" s="42">
        <f t="shared" si="44"/>
        <v>0</v>
      </c>
    </row>
    <row r="292" spans="1:19">
      <c r="A292" s="99">
        <v>2026</v>
      </c>
      <c r="B292" s="100">
        <v>2</v>
      </c>
      <c r="C292" s="101">
        <v>46066</v>
      </c>
      <c r="D292" s="101" t="str">
        <f t="shared" si="42"/>
        <v>PPS00001232Бухоро_Рустам ака</v>
      </c>
      <c r="E292" s="99" t="s">
        <v>738</v>
      </c>
      <c r="F292" s="102" t="s">
        <v>258</v>
      </c>
      <c r="G292" s="102" t="s">
        <v>259</v>
      </c>
      <c r="H292" s="99" t="s">
        <v>255</v>
      </c>
      <c r="I292" s="102" t="s">
        <v>368</v>
      </c>
      <c r="J292" s="102" t="s">
        <v>21</v>
      </c>
      <c r="K292" s="103">
        <v>120</v>
      </c>
      <c r="L292" s="104">
        <v>40621</v>
      </c>
      <c r="M292" s="104">
        <v>4874520</v>
      </c>
      <c r="N292" s="39">
        <f t="shared" ref="N292:N297" si="52">+K292*15000</f>
        <v>1800000</v>
      </c>
      <c r="O292" s="107">
        <f>+M292*$O$1</f>
        <v>877413.6</v>
      </c>
      <c r="P292" s="108">
        <f>+N292+O292</f>
        <v>2677413.6</v>
      </c>
      <c r="Q292" s="39">
        <v>100</v>
      </c>
      <c r="R292" s="39">
        <f t="shared" si="43"/>
        <v>4874520</v>
      </c>
      <c r="S292" s="42">
        <f t="shared" si="44"/>
        <v>0</v>
      </c>
    </row>
    <row r="293" spans="1:19">
      <c r="A293" s="99">
        <v>2026</v>
      </c>
      <c r="B293" s="100">
        <v>2</v>
      </c>
      <c r="C293" s="101">
        <v>46066</v>
      </c>
      <c r="D293" s="101" t="str">
        <f t="shared" si="42"/>
        <v>PPS00001258Тошкент_Мохира опа</v>
      </c>
      <c r="E293" s="99" t="s">
        <v>739</v>
      </c>
      <c r="F293" s="102" t="s">
        <v>414</v>
      </c>
      <c r="G293" s="102" t="s">
        <v>305</v>
      </c>
      <c r="H293" s="99" t="s">
        <v>255</v>
      </c>
      <c r="I293" s="102" t="s">
        <v>415</v>
      </c>
      <c r="J293" s="102" t="s">
        <v>21</v>
      </c>
      <c r="K293" s="103">
        <v>50</v>
      </c>
      <c r="L293" s="104">
        <v>40621</v>
      </c>
      <c r="M293" s="104">
        <v>2031050</v>
      </c>
      <c r="N293" s="39">
        <f t="shared" si="52"/>
        <v>750000</v>
      </c>
      <c r="O293" s="107">
        <f>+M293*$O$1</f>
        <v>365589</v>
      </c>
      <c r="P293" s="108">
        <f>+N293+O293</f>
        <v>1115589</v>
      </c>
      <c r="Q293" s="39">
        <v>100</v>
      </c>
      <c r="R293" s="39">
        <f t="shared" si="43"/>
        <v>2031050</v>
      </c>
      <c r="S293" s="42">
        <f t="shared" si="44"/>
        <v>0</v>
      </c>
    </row>
    <row r="294" spans="1:19">
      <c r="A294" s="99">
        <v>2026</v>
      </c>
      <c r="B294" s="100">
        <v>2</v>
      </c>
      <c r="C294" s="101">
        <v>46069</v>
      </c>
      <c r="D294" s="101" t="str">
        <f t="shared" si="42"/>
        <v>PPS00001290Навоий_Дильноза опа</v>
      </c>
      <c r="E294" s="99" t="s">
        <v>740</v>
      </c>
      <c r="F294" s="102" t="s">
        <v>332</v>
      </c>
      <c r="G294" s="102" t="s">
        <v>333</v>
      </c>
      <c r="H294" s="99" t="s">
        <v>255</v>
      </c>
      <c r="I294" s="102" t="s">
        <v>62</v>
      </c>
      <c r="J294" s="102" t="s">
        <v>21</v>
      </c>
      <c r="K294" s="103">
        <v>20</v>
      </c>
      <c r="L294" s="104">
        <v>40621</v>
      </c>
      <c r="M294" s="104">
        <v>812420</v>
      </c>
      <c r="N294" s="39">
        <f t="shared" si="52"/>
        <v>300000</v>
      </c>
      <c r="O294" s="107">
        <f>+M294*$O$1</f>
        <v>146235.6</v>
      </c>
      <c r="P294" s="108">
        <f>+N294+O294</f>
        <v>446235.6</v>
      </c>
      <c r="Q294" s="39">
        <v>100</v>
      </c>
      <c r="R294" s="39">
        <f t="shared" si="43"/>
        <v>812420</v>
      </c>
      <c r="S294" s="42">
        <f t="shared" si="44"/>
        <v>0</v>
      </c>
    </row>
    <row r="295" spans="1:19">
      <c r="A295" s="99">
        <v>2026</v>
      </c>
      <c r="B295" s="100">
        <v>2</v>
      </c>
      <c r="C295" s="101">
        <v>46069</v>
      </c>
      <c r="D295" s="101" t="str">
        <f t="shared" si="42"/>
        <v>PPS00001305Жиззах_Саодат опа</v>
      </c>
      <c r="E295" s="99" t="s">
        <v>741</v>
      </c>
      <c r="F295" s="102" t="s">
        <v>496</v>
      </c>
      <c r="G295" s="102" t="s">
        <v>337</v>
      </c>
      <c r="H295" s="99" t="s">
        <v>255</v>
      </c>
      <c r="I295" s="102" t="s">
        <v>538</v>
      </c>
      <c r="J295" s="102" t="s">
        <v>21</v>
      </c>
      <c r="K295" s="103">
        <v>60</v>
      </c>
      <c r="L295" s="104">
        <v>40621</v>
      </c>
      <c r="M295" s="104">
        <v>2437260</v>
      </c>
      <c r="N295" s="39">
        <f t="shared" si="52"/>
        <v>900000</v>
      </c>
      <c r="O295" s="107">
        <f>+M295*$O$1</f>
        <v>438706.8</v>
      </c>
      <c r="P295" s="108">
        <f>+N295+O295</f>
        <v>1338706.8</v>
      </c>
      <c r="Q295" s="39">
        <v>100</v>
      </c>
      <c r="R295" s="39">
        <f t="shared" si="43"/>
        <v>2437260</v>
      </c>
      <c r="S295" s="42">
        <f t="shared" si="44"/>
        <v>0</v>
      </c>
    </row>
    <row r="296" spans="1:19">
      <c r="A296" s="99">
        <v>2026</v>
      </c>
      <c r="B296" s="100">
        <v>2</v>
      </c>
      <c r="C296" s="101">
        <v>46069</v>
      </c>
      <c r="D296" s="101" t="str">
        <f t="shared" si="42"/>
        <v>PPS00001314Навоий_Дильноза опа</v>
      </c>
      <c r="E296" s="99" t="s">
        <v>742</v>
      </c>
      <c r="F296" s="102" t="s">
        <v>332</v>
      </c>
      <c r="G296" s="102" t="s">
        <v>333</v>
      </c>
      <c r="H296" s="99" t="s">
        <v>255</v>
      </c>
      <c r="I296" s="102" t="s">
        <v>289</v>
      </c>
      <c r="J296" s="102" t="s">
        <v>21</v>
      </c>
      <c r="K296" s="103">
        <v>100</v>
      </c>
      <c r="L296" s="104">
        <v>40621</v>
      </c>
      <c r="M296" s="104">
        <v>4062100</v>
      </c>
      <c r="N296" s="39">
        <f t="shared" si="52"/>
        <v>1500000</v>
      </c>
      <c r="O296" s="107">
        <f>+M296*$O$1</f>
        <v>731178</v>
      </c>
      <c r="P296" s="108">
        <f>+N296+O296</f>
        <v>2231178</v>
      </c>
      <c r="Q296" s="39">
        <v>100</v>
      </c>
      <c r="R296" s="39">
        <f t="shared" si="43"/>
        <v>4062100</v>
      </c>
      <c r="S296" s="42">
        <f t="shared" si="44"/>
        <v>0</v>
      </c>
    </row>
    <row r="297" spans="1:19">
      <c r="A297" s="99">
        <v>2026</v>
      </c>
      <c r="B297" s="100">
        <v>2</v>
      </c>
      <c r="C297" s="101">
        <v>46069</v>
      </c>
      <c r="D297" s="101" t="str">
        <f t="shared" si="42"/>
        <v>PPS00001328Жиззах_Саодат опа</v>
      </c>
      <c r="E297" s="99" t="s">
        <v>743</v>
      </c>
      <c r="F297" s="102" t="s">
        <v>496</v>
      </c>
      <c r="G297" s="102" t="s">
        <v>337</v>
      </c>
      <c r="H297" s="99" t="s">
        <v>255</v>
      </c>
      <c r="I297" s="102" t="s">
        <v>571</v>
      </c>
      <c r="J297" s="102" t="s">
        <v>21</v>
      </c>
      <c r="K297" s="103">
        <v>40</v>
      </c>
      <c r="L297" s="104">
        <v>40621</v>
      </c>
      <c r="M297" s="104">
        <v>1624840</v>
      </c>
      <c r="N297" s="39">
        <f t="shared" si="52"/>
        <v>600000</v>
      </c>
      <c r="O297" s="107">
        <f>+M297*$O$1</f>
        <v>292471.2</v>
      </c>
      <c r="P297" s="108">
        <f>+N297+O297</f>
        <v>892471.2</v>
      </c>
      <c r="Q297" s="39">
        <v>100</v>
      </c>
      <c r="R297" s="39">
        <f t="shared" si="43"/>
        <v>1624840</v>
      </c>
      <c r="S297" s="42">
        <f t="shared" si="44"/>
        <v>0</v>
      </c>
    </row>
    <row r="298" spans="1:19">
      <c r="A298" s="99">
        <v>2026</v>
      </c>
      <c r="B298" s="100">
        <v>2</v>
      </c>
      <c r="C298" s="101">
        <v>46070</v>
      </c>
      <c r="D298" s="101" t="str">
        <f t="shared" si="42"/>
        <v>PPS00001351Тошкент_Зилола опа</v>
      </c>
      <c r="E298" s="99" t="s">
        <v>744</v>
      </c>
      <c r="F298" s="102" t="s">
        <v>673</v>
      </c>
      <c r="G298" s="102" t="s">
        <v>674</v>
      </c>
      <c r="H298" s="99" t="s">
        <v>255</v>
      </c>
      <c r="I298" s="102" t="s">
        <v>684</v>
      </c>
      <c r="J298" s="102" t="s">
        <v>466</v>
      </c>
      <c r="K298" s="103">
        <v>50</v>
      </c>
      <c r="L298" s="104">
        <v>120000</v>
      </c>
      <c r="M298" s="104">
        <v>6000000</v>
      </c>
      <c r="N298" s="39">
        <f t="shared" ref="N298:N299" si="53">+K298*35000</f>
        <v>1750000</v>
      </c>
      <c r="O298" s="107">
        <f>+M298*$O$1</f>
        <v>1080000</v>
      </c>
      <c r="P298" s="108">
        <f>+N298+O298</f>
        <v>2830000</v>
      </c>
      <c r="Q298" s="39">
        <v>100</v>
      </c>
      <c r="R298" s="39">
        <f t="shared" si="43"/>
        <v>6000000</v>
      </c>
      <c r="S298" s="42">
        <f t="shared" si="44"/>
        <v>0</v>
      </c>
    </row>
    <row r="299" spans="1:19">
      <c r="A299" s="99">
        <v>2026</v>
      </c>
      <c r="B299" s="100">
        <v>2</v>
      </c>
      <c r="C299" s="101">
        <v>46071</v>
      </c>
      <c r="D299" s="101" t="str">
        <f t="shared" si="42"/>
        <v>PPS00001380Таш.Обл_Шахло опа</v>
      </c>
      <c r="E299" s="99" t="s">
        <v>745</v>
      </c>
      <c r="F299" s="102" t="s">
        <v>489</v>
      </c>
      <c r="G299" s="102" t="s">
        <v>464</v>
      </c>
      <c r="H299" s="99" t="s">
        <v>255</v>
      </c>
      <c r="I299" s="102" t="s">
        <v>529</v>
      </c>
      <c r="J299" s="102" t="s">
        <v>466</v>
      </c>
      <c r="K299" s="103">
        <v>30</v>
      </c>
      <c r="L299" s="104">
        <v>120000</v>
      </c>
      <c r="M299" s="104">
        <v>3600000</v>
      </c>
      <c r="N299" s="39">
        <f t="shared" si="53"/>
        <v>1050000</v>
      </c>
      <c r="O299" s="107">
        <f>+M299*$O$1</f>
        <v>648000</v>
      </c>
      <c r="P299" s="108">
        <f>+N299+O299</f>
        <v>1698000</v>
      </c>
      <c r="Q299" s="39">
        <v>100</v>
      </c>
      <c r="R299" s="39">
        <f t="shared" si="43"/>
        <v>3600000</v>
      </c>
      <c r="S299" s="42">
        <f t="shared" si="44"/>
        <v>0</v>
      </c>
    </row>
    <row r="300" spans="1:19">
      <c r="A300" s="99">
        <v>2026</v>
      </c>
      <c r="B300" s="100">
        <v>2</v>
      </c>
      <c r="C300" s="101">
        <v>46071</v>
      </c>
      <c r="D300" s="101" t="str">
        <f t="shared" si="42"/>
        <v>PPS00001389Кашкадарьё_Феруз ака</v>
      </c>
      <c r="E300" s="99" t="s">
        <v>746</v>
      </c>
      <c r="F300" s="102" t="s">
        <v>575</v>
      </c>
      <c r="G300" s="102" t="s">
        <v>502</v>
      </c>
      <c r="H300" s="99" t="s">
        <v>255</v>
      </c>
      <c r="I300" s="102" t="s">
        <v>688</v>
      </c>
      <c r="J300" s="102" t="s">
        <v>38</v>
      </c>
      <c r="K300" s="103">
        <v>30</v>
      </c>
      <c r="L300" s="104">
        <v>65000</v>
      </c>
      <c r="M300" s="104">
        <v>1950000</v>
      </c>
      <c r="N300" s="39">
        <f>+K300*20000</f>
        <v>600000</v>
      </c>
      <c r="O300" s="107">
        <f>+M300*$O$1</f>
        <v>351000</v>
      </c>
      <c r="P300" s="108">
        <f>+N300+O300</f>
        <v>951000</v>
      </c>
      <c r="Q300" s="39">
        <v>100</v>
      </c>
      <c r="R300" s="39">
        <f t="shared" si="43"/>
        <v>1950000</v>
      </c>
      <c r="S300" s="42">
        <f t="shared" si="44"/>
        <v>0</v>
      </c>
    </row>
    <row r="301" spans="1:19">
      <c r="A301" s="99">
        <v>2026</v>
      </c>
      <c r="B301" s="100">
        <v>2</v>
      </c>
      <c r="C301" s="101">
        <v>46072</v>
      </c>
      <c r="D301" s="101" t="str">
        <f t="shared" si="42"/>
        <v>PPS00001423Жиззах_Саодат опа</v>
      </c>
      <c r="E301" s="99" t="s">
        <v>747</v>
      </c>
      <c r="F301" s="102" t="s">
        <v>336</v>
      </c>
      <c r="G301" s="102" t="s">
        <v>337</v>
      </c>
      <c r="H301" s="99" t="s">
        <v>255</v>
      </c>
      <c r="I301" s="102" t="s">
        <v>445</v>
      </c>
      <c r="J301" s="102" t="s">
        <v>21</v>
      </c>
      <c r="K301" s="103">
        <v>50</v>
      </c>
      <c r="L301" s="104">
        <v>40621</v>
      </c>
      <c r="M301" s="104">
        <v>2031050</v>
      </c>
      <c r="N301" s="39">
        <f>+K301*15000</f>
        <v>750000</v>
      </c>
      <c r="O301" s="107">
        <f>+M301*$O$1</f>
        <v>365589</v>
      </c>
      <c r="P301" s="108">
        <f>+N301+O301</f>
        <v>1115589</v>
      </c>
      <c r="Q301" s="39">
        <v>100</v>
      </c>
      <c r="R301" s="39">
        <f t="shared" si="43"/>
        <v>2031050</v>
      </c>
      <c r="S301" s="42">
        <f t="shared" si="44"/>
        <v>0</v>
      </c>
    </row>
    <row r="302" spans="1:19">
      <c r="A302" s="99">
        <v>2026</v>
      </c>
      <c r="B302" s="100">
        <v>2</v>
      </c>
      <c r="C302" s="101">
        <v>46072</v>
      </c>
      <c r="D302" s="101" t="str">
        <f t="shared" si="42"/>
        <v>PPS00001438Таш.Обл_Шахло опа</v>
      </c>
      <c r="E302" s="99" t="s">
        <v>748</v>
      </c>
      <c r="F302" s="102" t="s">
        <v>463</v>
      </c>
      <c r="G302" s="102" t="s">
        <v>464</v>
      </c>
      <c r="H302" s="99" t="s">
        <v>255</v>
      </c>
      <c r="I302" s="102" t="s">
        <v>678</v>
      </c>
      <c r="J302" s="102" t="s">
        <v>466</v>
      </c>
      <c r="K302" s="103">
        <v>20</v>
      </c>
      <c r="L302" s="104">
        <v>120000</v>
      </c>
      <c r="M302" s="104">
        <v>2400000</v>
      </c>
      <c r="N302" s="39">
        <f>+K302*35000</f>
        <v>700000</v>
      </c>
      <c r="O302" s="107">
        <f>+M302*$O$1</f>
        <v>432000</v>
      </c>
      <c r="P302" s="108">
        <f>+N302+O302</f>
        <v>1132000</v>
      </c>
      <c r="Q302" s="39">
        <v>100</v>
      </c>
      <c r="R302" s="39">
        <f t="shared" si="43"/>
        <v>2400000</v>
      </c>
      <c r="S302" s="42">
        <f t="shared" si="44"/>
        <v>0</v>
      </c>
    </row>
    <row r="303" spans="1:19">
      <c r="A303" s="99">
        <v>2026</v>
      </c>
      <c r="B303" s="100">
        <v>2</v>
      </c>
      <c r="C303" s="101">
        <v>46072</v>
      </c>
      <c r="D303" s="101" t="str">
        <f t="shared" si="42"/>
        <v>PPS00001442Навоий_Дильноза опа</v>
      </c>
      <c r="E303" s="99" t="s">
        <v>749</v>
      </c>
      <c r="F303" s="102" t="s">
        <v>332</v>
      </c>
      <c r="G303" s="102" t="s">
        <v>333</v>
      </c>
      <c r="H303" s="99" t="s">
        <v>255</v>
      </c>
      <c r="I303" s="102" t="s">
        <v>526</v>
      </c>
      <c r="J303" s="102" t="s">
        <v>21</v>
      </c>
      <c r="K303" s="103">
        <v>17</v>
      </c>
      <c r="L303" s="104">
        <v>40621</v>
      </c>
      <c r="M303" s="104">
        <v>690557</v>
      </c>
      <c r="N303" s="39">
        <f>+K303*15000</f>
        <v>255000</v>
      </c>
      <c r="O303" s="107">
        <f>+M303*$O$1</f>
        <v>124300.26</v>
      </c>
      <c r="P303" s="108">
        <f>+N303+O303</f>
        <v>379300.26</v>
      </c>
      <c r="Q303" s="39">
        <v>100</v>
      </c>
      <c r="R303" s="39">
        <f t="shared" si="43"/>
        <v>690557</v>
      </c>
      <c r="S303" s="42">
        <f t="shared" si="44"/>
        <v>0</v>
      </c>
    </row>
    <row r="304" spans="1:19">
      <c r="A304" s="99">
        <v>2026</v>
      </c>
      <c r="B304" s="100">
        <v>2</v>
      </c>
      <c r="C304" s="101">
        <v>46072</v>
      </c>
      <c r="D304" s="101" t="str">
        <f t="shared" si="42"/>
        <v>PPS00001448Сирдарьё_Зилола Опа</v>
      </c>
      <c r="E304" s="99" t="s">
        <v>750</v>
      </c>
      <c r="F304" s="102" t="s">
        <v>736</v>
      </c>
      <c r="G304" s="102" t="s">
        <v>704</v>
      </c>
      <c r="H304" s="99" t="s">
        <v>255</v>
      </c>
      <c r="I304" s="102" t="s">
        <v>443</v>
      </c>
      <c r="J304" s="102" t="s">
        <v>46</v>
      </c>
      <c r="K304" s="103">
        <v>30</v>
      </c>
      <c r="L304" s="104">
        <v>64700</v>
      </c>
      <c r="M304" s="104">
        <v>1941000</v>
      </c>
      <c r="N304" s="39">
        <f>20000*K304</f>
        <v>600000</v>
      </c>
      <c r="O304" s="107">
        <f>+M304*$O$1</f>
        <v>349380</v>
      </c>
      <c r="P304" s="108">
        <f>+N304+O304</f>
        <v>949380</v>
      </c>
      <c r="Q304" s="39">
        <v>100</v>
      </c>
      <c r="R304" s="39">
        <f t="shared" si="43"/>
        <v>1941000</v>
      </c>
      <c r="S304" s="42">
        <f t="shared" si="44"/>
        <v>0</v>
      </c>
    </row>
    <row r="305" spans="1:19">
      <c r="A305" s="99">
        <v>2026</v>
      </c>
      <c r="B305" s="100">
        <v>2</v>
      </c>
      <c r="C305" s="101">
        <v>46073</v>
      </c>
      <c r="D305" s="101" t="str">
        <f t="shared" si="42"/>
        <v>PPS00001492Тошкент_Мохира опа</v>
      </c>
      <c r="E305" s="99" t="s">
        <v>751</v>
      </c>
      <c r="F305" s="102" t="s">
        <v>414</v>
      </c>
      <c r="G305" s="102" t="s">
        <v>305</v>
      </c>
      <c r="H305" s="99" t="s">
        <v>255</v>
      </c>
      <c r="I305" s="102" t="s">
        <v>456</v>
      </c>
      <c r="J305" s="102" t="s">
        <v>21</v>
      </c>
      <c r="K305" s="103">
        <v>22</v>
      </c>
      <c r="L305" s="104">
        <v>40621</v>
      </c>
      <c r="M305" s="104">
        <v>893662</v>
      </c>
      <c r="N305" s="39">
        <f t="shared" ref="N305:N307" si="54">+K305*15000</f>
        <v>330000</v>
      </c>
      <c r="O305" s="107">
        <f>+M305*$O$1</f>
        <v>160859.16</v>
      </c>
      <c r="P305" s="108">
        <f>+N305+O305</f>
        <v>490859.16000000003</v>
      </c>
      <c r="Q305" s="39">
        <v>100</v>
      </c>
      <c r="R305" s="39">
        <f t="shared" si="43"/>
        <v>893662</v>
      </c>
      <c r="S305" s="42">
        <f t="shared" si="44"/>
        <v>0</v>
      </c>
    </row>
    <row r="306" spans="1:19">
      <c r="A306" s="99">
        <v>2026</v>
      </c>
      <c r="B306" s="100">
        <v>2</v>
      </c>
      <c r="C306" s="101">
        <v>46076</v>
      </c>
      <c r="D306" s="101" t="str">
        <f t="shared" si="42"/>
        <v>PPS00001499Жиззах_Саодат опа</v>
      </c>
      <c r="E306" s="99" t="s">
        <v>752</v>
      </c>
      <c r="F306" s="102" t="s">
        <v>496</v>
      </c>
      <c r="G306" s="102" t="s">
        <v>337</v>
      </c>
      <c r="H306" s="99" t="s">
        <v>255</v>
      </c>
      <c r="I306" s="102" t="s">
        <v>538</v>
      </c>
      <c r="J306" s="102" t="s">
        <v>21</v>
      </c>
      <c r="K306" s="103">
        <v>50</v>
      </c>
      <c r="L306" s="104">
        <v>40621</v>
      </c>
      <c r="M306" s="104">
        <v>2031050</v>
      </c>
      <c r="N306" s="39">
        <f t="shared" si="54"/>
        <v>750000</v>
      </c>
      <c r="O306" s="107">
        <f>+M306*$O$1</f>
        <v>365589</v>
      </c>
      <c r="P306" s="108">
        <f>+N306+O306</f>
        <v>1115589</v>
      </c>
      <c r="Q306" s="39">
        <v>100</v>
      </c>
      <c r="R306" s="39">
        <f t="shared" si="43"/>
        <v>2031050</v>
      </c>
      <c r="S306" s="42">
        <f t="shared" si="44"/>
        <v>0</v>
      </c>
    </row>
    <row r="307" spans="1:19">
      <c r="A307" s="99">
        <v>2026</v>
      </c>
      <c r="B307" s="100">
        <v>2</v>
      </c>
      <c r="C307" s="101">
        <v>46076</v>
      </c>
      <c r="D307" s="101" t="str">
        <f t="shared" si="42"/>
        <v>PPS00001519Тошкент_Мохира опа</v>
      </c>
      <c r="E307" s="99" t="s">
        <v>753</v>
      </c>
      <c r="F307" s="102" t="s">
        <v>556</v>
      </c>
      <c r="G307" s="102" t="s">
        <v>305</v>
      </c>
      <c r="H307" s="99" t="s">
        <v>255</v>
      </c>
      <c r="I307" s="102" t="s">
        <v>754</v>
      </c>
      <c r="J307" s="102" t="s">
        <v>21</v>
      </c>
      <c r="K307" s="103">
        <v>15</v>
      </c>
      <c r="L307" s="104">
        <v>40621</v>
      </c>
      <c r="M307" s="104">
        <v>609315</v>
      </c>
      <c r="N307" s="39">
        <f t="shared" si="54"/>
        <v>225000</v>
      </c>
      <c r="O307" s="107">
        <f>+M307*$O$1</f>
        <v>109676.7</v>
      </c>
      <c r="P307" s="108">
        <f>+N307+O307</f>
        <v>334676.7</v>
      </c>
      <c r="Q307" s="39">
        <v>100</v>
      </c>
      <c r="R307" s="39">
        <f t="shared" si="43"/>
        <v>609315</v>
      </c>
      <c r="S307" s="42">
        <f t="shared" si="44"/>
        <v>0</v>
      </c>
    </row>
    <row r="308" spans="1:19">
      <c r="A308" s="99">
        <v>2026</v>
      </c>
      <c r="B308" s="100">
        <v>2</v>
      </c>
      <c r="C308" s="101">
        <v>46076</v>
      </c>
      <c r="D308" s="101" t="str">
        <f t="shared" si="42"/>
        <v>PPS00001528Тошкент_Зилола опа</v>
      </c>
      <c r="E308" s="99" t="s">
        <v>755</v>
      </c>
      <c r="F308" s="102" t="s">
        <v>673</v>
      </c>
      <c r="G308" s="102" t="s">
        <v>674</v>
      </c>
      <c r="H308" s="99" t="s">
        <v>255</v>
      </c>
      <c r="I308" s="102" t="s">
        <v>312</v>
      </c>
      <c r="J308" s="102" t="s">
        <v>466</v>
      </c>
      <c r="K308" s="103">
        <v>30</v>
      </c>
      <c r="L308" s="104">
        <v>120000</v>
      </c>
      <c r="M308" s="104">
        <v>3600000</v>
      </c>
      <c r="N308" s="39">
        <f t="shared" ref="N308:N309" si="55">+K308*35000</f>
        <v>1050000</v>
      </c>
      <c r="O308" s="107">
        <f>+M308*$O$1</f>
        <v>648000</v>
      </c>
      <c r="P308" s="108">
        <f>+N308+O308</f>
        <v>1698000</v>
      </c>
      <c r="Q308" s="39">
        <v>100</v>
      </c>
      <c r="R308" s="39">
        <f t="shared" si="43"/>
        <v>3600000</v>
      </c>
      <c r="S308" s="42">
        <f t="shared" si="44"/>
        <v>0</v>
      </c>
    </row>
    <row r="309" spans="1:19">
      <c r="A309" s="99">
        <v>2026</v>
      </c>
      <c r="B309" s="100">
        <v>2</v>
      </c>
      <c r="C309" s="101">
        <v>46076</v>
      </c>
      <c r="D309" s="101" t="str">
        <f t="shared" si="42"/>
        <v>PPS00001529Тошкент_Зилола опа</v>
      </c>
      <c r="E309" s="99" t="s">
        <v>756</v>
      </c>
      <c r="F309" s="102" t="s">
        <v>673</v>
      </c>
      <c r="G309" s="102" t="s">
        <v>674</v>
      </c>
      <c r="H309" s="99" t="s">
        <v>255</v>
      </c>
      <c r="I309" s="102" t="s">
        <v>719</v>
      </c>
      <c r="J309" s="102" t="s">
        <v>466</v>
      </c>
      <c r="K309" s="103">
        <v>20</v>
      </c>
      <c r="L309" s="104">
        <v>120000</v>
      </c>
      <c r="M309" s="104">
        <v>2400000</v>
      </c>
      <c r="N309" s="39">
        <f t="shared" si="55"/>
        <v>700000</v>
      </c>
      <c r="O309" s="107">
        <f>+M309*$O$1</f>
        <v>432000</v>
      </c>
      <c r="P309" s="108">
        <f>+N309+O309</f>
        <v>1132000</v>
      </c>
      <c r="Q309" s="39">
        <v>100</v>
      </c>
      <c r="R309" s="39">
        <f t="shared" si="43"/>
        <v>2400000</v>
      </c>
      <c r="S309" s="42">
        <f t="shared" si="44"/>
        <v>0</v>
      </c>
    </row>
    <row r="310" spans="1:19">
      <c r="A310" s="99">
        <v>2026</v>
      </c>
      <c r="B310" s="100">
        <v>2</v>
      </c>
      <c r="C310" s="101">
        <v>46076</v>
      </c>
      <c r="D310" s="101" t="str">
        <f t="shared" si="42"/>
        <v>PPS00001535Навоий_Дильноза опа</v>
      </c>
      <c r="E310" s="99" t="s">
        <v>757</v>
      </c>
      <c r="F310" s="102" t="s">
        <v>332</v>
      </c>
      <c r="G310" s="102" t="s">
        <v>333</v>
      </c>
      <c r="H310" s="99" t="s">
        <v>255</v>
      </c>
      <c r="I310" s="102" t="s">
        <v>469</v>
      </c>
      <c r="J310" s="102" t="s">
        <v>21</v>
      </c>
      <c r="K310" s="103">
        <v>7</v>
      </c>
      <c r="L310" s="104">
        <v>40621</v>
      </c>
      <c r="M310" s="104">
        <v>284347</v>
      </c>
      <c r="N310" s="39">
        <f t="shared" ref="N310:N311" si="56">+K310*15000</f>
        <v>105000</v>
      </c>
      <c r="O310" s="107">
        <f>+M310*$O$1</f>
        <v>51182.46</v>
      </c>
      <c r="P310" s="108">
        <f>+N310+O310</f>
        <v>156182.46</v>
      </c>
      <c r="Q310" s="39">
        <v>100</v>
      </c>
      <c r="R310" s="39">
        <f t="shared" si="43"/>
        <v>284347</v>
      </c>
      <c r="S310" s="42">
        <f t="shared" si="44"/>
        <v>0</v>
      </c>
    </row>
    <row r="311" spans="1:19">
      <c r="A311" s="99">
        <v>2026</v>
      </c>
      <c r="B311" s="100">
        <v>2</v>
      </c>
      <c r="C311" s="101">
        <v>46076</v>
      </c>
      <c r="D311" s="101" t="str">
        <f t="shared" si="42"/>
        <v>PPS00001535Навоий_Дильноза опа</v>
      </c>
      <c r="E311" s="99" t="s">
        <v>757</v>
      </c>
      <c r="F311" s="102" t="s">
        <v>332</v>
      </c>
      <c r="G311" s="102" t="s">
        <v>333</v>
      </c>
      <c r="H311" s="99" t="s">
        <v>255</v>
      </c>
      <c r="I311" s="102" t="s">
        <v>469</v>
      </c>
      <c r="J311" s="102" t="s">
        <v>21</v>
      </c>
      <c r="K311" s="103">
        <v>13</v>
      </c>
      <c r="L311" s="104">
        <v>40621</v>
      </c>
      <c r="M311" s="104">
        <v>528073</v>
      </c>
      <c r="N311" s="39">
        <f t="shared" si="56"/>
        <v>195000</v>
      </c>
      <c r="O311" s="107">
        <f>+M311*$O$1</f>
        <v>95053.14</v>
      </c>
      <c r="P311" s="108">
        <f>+N311+O311</f>
        <v>290053.14</v>
      </c>
      <c r="Q311" s="39">
        <v>100</v>
      </c>
      <c r="R311" s="39">
        <f t="shared" si="43"/>
        <v>528073</v>
      </c>
      <c r="S311" s="42">
        <f t="shared" si="44"/>
        <v>0</v>
      </c>
    </row>
    <row r="312" spans="1:19">
      <c r="A312" s="99">
        <v>2026</v>
      </c>
      <c r="B312" s="100">
        <v>2</v>
      </c>
      <c r="C312" s="101">
        <v>46077</v>
      </c>
      <c r="D312" s="101" t="str">
        <f t="shared" si="42"/>
        <v>PPS00001549Бухоро_Мадина опа</v>
      </c>
      <c r="E312" s="99" t="s">
        <v>758</v>
      </c>
      <c r="F312" s="102" t="s">
        <v>759</v>
      </c>
      <c r="G312" s="102" t="s">
        <v>607</v>
      </c>
      <c r="H312" s="99" t="s">
        <v>255</v>
      </c>
      <c r="I312" s="102" t="s">
        <v>760</v>
      </c>
      <c r="J312" s="102" t="s">
        <v>466</v>
      </c>
      <c r="K312" s="103">
        <v>20</v>
      </c>
      <c r="L312" s="104">
        <v>120000</v>
      </c>
      <c r="M312" s="104">
        <v>2400000</v>
      </c>
      <c r="N312" s="39">
        <f>+K312*35000</f>
        <v>700000</v>
      </c>
      <c r="O312" s="107">
        <f>+M312*$O$1</f>
        <v>432000</v>
      </c>
      <c r="P312" s="108">
        <f>+N312+O312</f>
        <v>1132000</v>
      </c>
      <c r="Q312" s="39">
        <v>50</v>
      </c>
      <c r="R312" s="39">
        <f t="shared" si="43"/>
        <v>1200000</v>
      </c>
      <c r="S312" s="42">
        <f t="shared" si="44"/>
        <v>1200000</v>
      </c>
    </row>
    <row r="313" spans="1:19">
      <c r="A313" s="99">
        <v>2026</v>
      </c>
      <c r="B313" s="100">
        <v>2</v>
      </c>
      <c r="C313" s="101">
        <v>46077</v>
      </c>
      <c r="D313" s="101" t="str">
        <f t="shared" si="42"/>
        <v>PPS00001549Бухоро_Мадина опа</v>
      </c>
      <c r="E313" s="99" t="s">
        <v>758</v>
      </c>
      <c r="F313" s="102" t="s">
        <v>759</v>
      </c>
      <c r="G313" s="102" t="s">
        <v>607</v>
      </c>
      <c r="H313" s="99" t="s">
        <v>255</v>
      </c>
      <c r="I313" s="102" t="s">
        <v>760</v>
      </c>
      <c r="J313" s="102" t="s">
        <v>46</v>
      </c>
      <c r="K313" s="103">
        <v>50</v>
      </c>
      <c r="L313" s="104">
        <v>64700</v>
      </c>
      <c r="M313" s="104">
        <v>3235000</v>
      </c>
      <c r="N313" s="39">
        <f>20000*K313</f>
        <v>1000000</v>
      </c>
      <c r="O313" s="107">
        <f>+M313*$O$1</f>
        <v>582300</v>
      </c>
      <c r="P313" s="108">
        <f>+N313+O313</f>
        <v>1582300</v>
      </c>
      <c r="Q313" s="39">
        <v>50</v>
      </c>
      <c r="R313" s="39">
        <f t="shared" si="43"/>
        <v>1617500</v>
      </c>
      <c r="S313" s="42">
        <f t="shared" si="44"/>
        <v>1617500</v>
      </c>
    </row>
    <row r="314" spans="1:19">
      <c r="A314" s="99">
        <v>2026</v>
      </c>
      <c r="B314" s="100">
        <v>2</v>
      </c>
      <c r="C314" s="101">
        <v>46078</v>
      </c>
      <c r="D314" s="101" t="str">
        <f t="shared" si="42"/>
        <v>PPS00001588Тошкент_Мохира опа</v>
      </c>
      <c r="E314" s="99" t="s">
        <v>761</v>
      </c>
      <c r="F314" s="102" t="s">
        <v>414</v>
      </c>
      <c r="G314" s="102" t="s">
        <v>305</v>
      </c>
      <c r="H314" s="99" t="s">
        <v>255</v>
      </c>
      <c r="I314" s="102" t="s">
        <v>422</v>
      </c>
      <c r="J314" s="102" t="s">
        <v>21</v>
      </c>
      <c r="K314" s="103">
        <v>50</v>
      </c>
      <c r="L314" s="104">
        <v>40621</v>
      </c>
      <c r="M314" s="104">
        <v>2031050</v>
      </c>
      <c r="N314" s="39">
        <f t="shared" ref="N314:N318" si="57">+K314*15000</f>
        <v>750000</v>
      </c>
      <c r="O314" s="107">
        <f>+M314*$O$1</f>
        <v>365589</v>
      </c>
      <c r="P314" s="108">
        <f>+N314+O314</f>
        <v>1115589</v>
      </c>
      <c r="Q314" s="39">
        <v>100</v>
      </c>
      <c r="R314" s="39">
        <f t="shared" si="43"/>
        <v>2031050</v>
      </c>
      <c r="S314" s="42">
        <f t="shared" si="44"/>
        <v>0</v>
      </c>
    </row>
    <row r="315" spans="1:19">
      <c r="A315" s="99">
        <v>2026</v>
      </c>
      <c r="B315" s="100">
        <v>2</v>
      </c>
      <c r="C315" s="101">
        <v>46079</v>
      </c>
      <c r="D315" s="101" t="str">
        <f t="shared" si="42"/>
        <v>PPS00001632Навоий_Дильноза опа</v>
      </c>
      <c r="E315" s="99" t="s">
        <v>762</v>
      </c>
      <c r="F315" s="102" t="s">
        <v>332</v>
      </c>
      <c r="G315" s="102" t="s">
        <v>333</v>
      </c>
      <c r="H315" s="99" t="s">
        <v>255</v>
      </c>
      <c r="I315" s="102" t="s">
        <v>361</v>
      </c>
      <c r="J315" s="102" t="s">
        <v>21</v>
      </c>
      <c r="K315" s="103">
        <v>20</v>
      </c>
      <c r="L315" s="104">
        <v>40621</v>
      </c>
      <c r="M315" s="104">
        <v>812420</v>
      </c>
      <c r="N315" s="39">
        <f t="shared" si="57"/>
        <v>300000</v>
      </c>
      <c r="O315" s="107">
        <f>+M315*$O$1</f>
        <v>146235.6</v>
      </c>
      <c r="P315" s="108">
        <f>+N315+O315</f>
        <v>446235.6</v>
      </c>
      <c r="Q315" s="39">
        <v>100</v>
      </c>
      <c r="R315" s="39">
        <f t="shared" si="43"/>
        <v>812420</v>
      </c>
      <c r="S315" s="42">
        <f t="shared" si="44"/>
        <v>0</v>
      </c>
    </row>
    <row r="316" spans="1:19">
      <c r="A316" s="99">
        <v>2026</v>
      </c>
      <c r="B316" s="100">
        <v>2</v>
      </c>
      <c r="C316" s="101">
        <v>46079</v>
      </c>
      <c r="D316" s="101" t="str">
        <f t="shared" si="42"/>
        <v>PPS00001642Бухоро_Рустам ака</v>
      </c>
      <c r="E316" s="99" t="s">
        <v>763</v>
      </c>
      <c r="F316" s="102" t="s">
        <v>258</v>
      </c>
      <c r="G316" s="102" t="s">
        <v>259</v>
      </c>
      <c r="H316" s="99" t="s">
        <v>255</v>
      </c>
      <c r="I316" s="102" t="s">
        <v>296</v>
      </c>
      <c r="J316" s="102" t="s">
        <v>21</v>
      </c>
      <c r="K316" s="103">
        <v>43</v>
      </c>
      <c r="L316" s="104">
        <v>40621</v>
      </c>
      <c r="M316" s="104">
        <v>1746703</v>
      </c>
      <c r="N316" s="39">
        <f t="shared" si="57"/>
        <v>645000</v>
      </c>
      <c r="O316" s="107">
        <f>+M316*$O$1</f>
        <v>314406.53999999998</v>
      </c>
      <c r="P316" s="108">
        <f>+N316+O316</f>
        <v>959406.54</v>
      </c>
      <c r="Q316" s="39">
        <v>100</v>
      </c>
      <c r="R316" s="39">
        <f t="shared" si="43"/>
        <v>1746703</v>
      </c>
      <c r="S316" s="42">
        <f t="shared" si="44"/>
        <v>0</v>
      </c>
    </row>
    <row r="317" spans="1:19">
      <c r="A317" s="99">
        <v>2026</v>
      </c>
      <c r="B317" s="100">
        <v>2</v>
      </c>
      <c r="C317" s="101">
        <v>46079</v>
      </c>
      <c r="D317" s="101" t="str">
        <f t="shared" si="42"/>
        <v>PPS00001652Навоий_Дильноза опа</v>
      </c>
      <c r="E317" s="99" t="s">
        <v>764</v>
      </c>
      <c r="F317" s="102" t="s">
        <v>332</v>
      </c>
      <c r="G317" s="102" t="s">
        <v>333</v>
      </c>
      <c r="H317" s="99" t="s">
        <v>255</v>
      </c>
      <c r="I317" s="102" t="s">
        <v>526</v>
      </c>
      <c r="J317" s="102" t="s">
        <v>21</v>
      </c>
      <c r="K317" s="103">
        <v>18</v>
      </c>
      <c r="L317" s="104">
        <v>40621</v>
      </c>
      <c r="M317" s="104">
        <v>731178</v>
      </c>
      <c r="N317" s="39">
        <f t="shared" si="57"/>
        <v>270000</v>
      </c>
      <c r="O317" s="107">
        <f>+M317*$O$1</f>
        <v>131612.04</v>
      </c>
      <c r="P317" s="108">
        <f>+N317+O317</f>
        <v>401612.04000000004</v>
      </c>
      <c r="Q317" s="39">
        <v>100</v>
      </c>
      <c r="R317" s="39">
        <f t="shared" si="43"/>
        <v>731178</v>
      </c>
      <c r="S317" s="42">
        <f t="shared" si="44"/>
        <v>0</v>
      </c>
    </row>
    <row r="318" spans="1:19">
      <c r="A318" s="99">
        <v>2026</v>
      </c>
      <c r="B318" s="100">
        <v>2</v>
      </c>
      <c r="C318" s="101">
        <v>46079</v>
      </c>
      <c r="D318" s="101" t="str">
        <f t="shared" si="42"/>
        <v>PPS00001657Тошкент_Мохира опа</v>
      </c>
      <c r="E318" s="99" t="s">
        <v>765</v>
      </c>
      <c r="F318" s="102" t="s">
        <v>414</v>
      </c>
      <c r="G318" s="102" t="s">
        <v>305</v>
      </c>
      <c r="H318" s="99" t="s">
        <v>255</v>
      </c>
      <c r="I318" s="102" t="s">
        <v>415</v>
      </c>
      <c r="J318" s="102" t="s">
        <v>21</v>
      </c>
      <c r="K318" s="103">
        <v>100</v>
      </c>
      <c r="L318" s="104">
        <v>40621</v>
      </c>
      <c r="M318" s="104">
        <v>4062100</v>
      </c>
      <c r="N318" s="39">
        <f t="shared" si="57"/>
        <v>1500000</v>
      </c>
      <c r="O318" s="107">
        <f>+M318*$O$1</f>
        <v>731178</v>
      </c>
      <c r="P318" s="108">
        <f>+N318+O318</f>
        <v>2231178</v>
      </c>
      <c r="Q318" s="39">
        <v>100</v>
      </c>
      <c r="R318" s="39">
        <f t="shared" si="43"/>
        <v>4062100</v>
      </c>
      <c r="S318" s="42">
        <f t="shared" si="44"/>
        <v>0</v>
      </c>
    </row>
    <row r="319" spans="1:19">
      <c r="A319" s="99">
        <v>2026</v>
      </c>
      <c r="B319" s="100">
        <v>2</v>
      </c>
      <c r="C319" s="101">
        <v>46080</v>
      </c>
      <c r="D319" s="101" t="str">
        <f t="shared" si="42"/>
        <v>PPS00001667Таш.Обл_Шахло опа</v>
      </c>
      <c r="E319" s="99" t="s">
        <v>766</v>
      </c>
      <c r="F319" s="102" t="s">
        <v>547</v>
      </c>
      <c r="G319" s="102" t="s">
        <v>464</v>
      </c>
      <c r="H319" s="99" t="s">
        <v>255</v>
      </c>
      <c r="I319" s="102" t="s">
        <v>696</v>
      </c>
      <c r="J319" s="102" t="s">
        <v>46</v>
      </c>
      <c r="K319" s="103">
        <v>40</v>
      </c>
      <c r="L319" s="104">
        <v>64700</v>
      </c>
      <c r="M319" s="104">
        <v>2588000</v>
      </c>
      <c r="N319" s="39">
        <f>20000*K319</f>
        <v>800000</v>
      </c>
      <c r="O319" s="107">
        <f>+M319*$O$1</f>
        <v>465840</v>
      </c>
      <c r="P319" s="108">
        <f>+N319+O319</f>
        <v>1265840</v>
      </c>
      <c r="Q319" s="39">
        <v>100</v>
      </c>
      <c r="R319" s="39">
        <f t="shared" si="43"/>
        <v>2588000</v>
      </c>
      <c r="S319" s="42">
        <f t="shared" si="44"/>
        <v>0</v>
      </c>
    </row>
    <row r="320" spans="1:19">
      <c r="A320" s="99">
        <v>2026</v>
      </c>
      <c r="B320" s="100">
        <v>2</v>
      </c>
      <c r="C320" s="101">
        <v>46080</v>
      </c>
      <c r="D320" s="101" t="str">
        <f t="shared" si="42"/>
        <v>PPS00001669Тошкент_Мохира опа</v>
      </c>
      <c r="E320" s="99" t="s">
        <v>767</v>
      </c>
      <c r="F320" s="102" t="s">
        <v>414</v>
      </c>
      <c r="G320" s="102" t="s">
        <v>305</v>
      </c>
      <c r="H320" s="99" t="s">
        <v>255</v>
      </c>
      <c r="I320" s="102" t="s">
        <v>60</v>
      </c>
      <c r="J320" s="102" t="s">
        <v>21</v>
      </c>
      <c r="K320" s="103">
        <v>40</v>
      </c>
      <c r="L320" s="104">
        <v>40621</v>
      </c>
      <c r="M320" s="104">
        <v>1624840</v>
      </c>
      <c r="N320" s="39">
        <f t="shared" ref="N320:N321" si="58">+K320*15000</f>
        <v>600000</v>
      </c>
      <c r="O320" s="107">
        <f>+M320*$O$1</f>
        <v>292471.2</v>
      </c>
      <c r="P320" s="108">
        <f>+N320+O320</f>
        <v>892471.2</v>
      </c>
      <c r="Q320" s="39">
        <v>100</v>
      </c>
      <c r="R320" s="39">
        <f t="shared" si="43"/>
        <v>1624840</v>
      </c>
      <c r="S320" s="42">
        <f t="shared" si="44"/>
        <v>0</v>
      </c>
    </row>
    <row r="321" spans="1:19">
      <c r="A321" s="99">
        <v>2026</v>
      </c>
      <c r="B321" s="100">
        <v>2</v>
      </c>
      <c r="C321" s="101">
        <v>46080</v>
      </c>
      <c r="D321" s="101" t="str">
        <f t="shared" si="42"/>
        <v>PPS00001695Сурхондарьё_Людмила опа</v>
      </c>
      <c r="E321" s="99" t="s">
        <v>768</v>
      </c>
      <c r="F321" s="102" t="s">
        <v>769</v>
      </c>
      <c r="G321" s="102" t="s">
        <v>355</v>
      </c>
      <c r="H321" s="99" t="s">
        <v>255</v>
      </c>
      <c r="I321" s="102" t="s">
        <v>770</v>
      </c>
      <c r="J321" s="102" t="s">
        <v>21</v>
      </c>
      <c r="K321" s="103">
        <v>60</v>
      </c>
      <c r="L321" s="104">
        <v>40621</v>
      </c>
      <c r="M321" s="104">
        <v>2437260</v>
      </c>
      <c r="N321" s="39">
        <f t="shared" si="58"/>
        <v>900000</v>
      </c>
      <c r="O321" s="107">
        <f>+M321*$O$1</f>
        <v>438706.8</v>
      </c>
      <c r="P321" s="108">
        <f>+N321+O321</f>
        <v>1338706.8</v>
      </c>
      <c r="Q321" s="39">
        <v>100</v>
      </c>
      <c r="R321" s="39">
        <f t="shared" si="43"/>
        <v>2437260</v>
      </c>
      <c r="S321" s="42">
        <f t="shared" si="44"/>
        <v>0</v>
      </c>
    </row>
    <row r="322" spans="1:19">
      <c r="A322" s="99">
        <v>2026</v>
      </c>
      <c r="B322" s="100">
        <v>2</v>
      </c>
      <c r="C322" s="101">
        <v>46080</v>
      </c>
      <c r="D322" s="101" t="str">
        <f t="shared" si="42"/>
        <v>PPS00001713Бухоро_Мадина опа</v>
      </c>
      <c r="E322" s="99" t="s">
        <v>771</v>
      </c>
      <c r="F322" s="102" t="s">
        <v>710</v>
      </c>
      <c r="G322" s="102" t="s">
        <v>607</v>
      </c>
      <c r="H322" s="99" t="s">
        <v>255</v>
      </c>
      <c r="I322" s="102" t="s">
        <v>772</v>
      </c>
      <c r="J322" s="102" t="s">
        <v>46</v>
      </c>
      <c r="K322" s="103">
        <v>10</v>
      </c>
      <c r="L322" s="104">
        <v>64700</v>
      </c>
      <c r="M322" s="104">
        <v>647000</v>
      </c>
      <c r="N322" s="39">
        <f>20000*K322</f>
        <v>200000</v>
      </c>
      <c r="O322" s="107">
        <f>+M322*$O$1</f>
        <v>116460</v>
      </c>
      <c r="P322" s="108">
        <f>+N322+O322</f>
        <v>316460</v>
      </c>
      <c r="Q322" s="39">
        <v>100</v>
      </c>
      <c r="R322" s="39">
        <f t="shared" si="43"/>
        <v>647000</v>
      </c>
      <c r="S322" s="42">
        <f t="shared" si="44"/>
        <v>0</v>
      </c>
    </row>
    <row r="323" spans="1:19">
      <c r="A323" s="99">
        <v>2026</v>
      </c>
      <c r="B323" s="100">
        <v>3</v>
      </c>
      <c r="C323" s="101">
        <v>46083</v>
      </c>
      <c r="D323" s="101" t="str">
        <f t="shared" si="42"/>
        <v>PPS00001745Жиззах_Саодат опа</v>
      </c>
      <c r="E323" s="99" t="s">
        <v>773</v>
      </c>
      <c r="F323" s="102" t="s">
        <v>638</v>
      </c>
      <c r="G323" s="102" t="s">
        <v>337</v>
      </c>
      <c r="H323" s="99" t="s">
        <v>255</v>
      </c>
      <c r="I323" s="102" t="s">
        <v>639</v>
      </c>
      <c r="J323" s="102" t="s">
        <v>21</v>
      </c>
      <c r="K323" s="103">
        <v>40</v>
      </c>
      <c r="L323" s="104">
        <v>40621</v>
      </c>
      <c r="M323" s="104">
        <v>1624840</v>
      </c>
      <c r="N323" s="39">
        <f t="shared" ref="N323:N324" si="59">+K323*15000</f>
        <v>600000</v>
      </c>
      <c r="O323" s="107">
        <f>+M323*$O$1</f>
        <v>292471.2</v>
      </c>
      <c r="P323" s="108">
        <f>+N323+O323</f>
        <v>892471.2</v>
      </c>
      <c r="Q323" s="39">
        <v>100</v>
      </c>
      <c r="R323" s="39">
        <f t="shared" si="43"/>
        <v>1624840</v>
      </c>
      <c r="S323" s="42">
        <f t="shared" si="44"/>
        <v>0</v>
      </c>
    </row>
    <row r="324" spans="1:19">
      <c r="A324" s="99">
        <v>2026</v>
      </c>
      <c r="B324" s="100">
        <v>3</v>
      </c>
      <c r="C324" s="101">
        <v>46083</v>
      </c>
      <c r="D324" s="101" t="str">
        <f t="shared" ref="D324:D387" si="60">+E324&amp;G324</f>
        <v>PPS00001752Навоий_Дильноза опа</v>
      </c>
      <c r="E324" s="99" t="s">
        <v>774</v>
      </c>
      <c r="F324" s="102" t="s">
        <v>332</v>
      </c>
      <c r="G324" s="102" t="s">
        <v>333</v>
      </c>
      <c r="H324" s="99" t="s">
        <v>255</v>
      </c>
      <c r="I324" s="102" t="s">
        <v>526</v>
      </c>
      <c r="J324" s="102" t="s">
        <v>21</v>
      </c>
      <c r="K324" s="103">
        <v>16</v>
      </c>
      <c r="L324" s="104">
        <v>40621</v>
      </c>
      <c r="M324" s="104">
        <v>649936</v>
      </c>
      <c r="N324" s="39">
        <f t="shared" si="59"/>
        <v>240000</v>
      </c>
      <c r="O324" s="107">
        <f>+M324*$O$1</f>
        <v>116988.48</v>
      </c>
      <c r="P324" s="108">
        <f>+N324+O324</f>
        <v>356988.48</v>
      </c>
      <c r="Q324" s="39">
        <v>100</v>
      </c>
      <c r="R324" s="39">
        <f t="shared" ref="R324:R387" si="61">+M324*Q324%</f>
        <v>649936</v>
      </c>
      <c r="S324" s="42">
        <f t="shared" ref="S324:S387" si="62">M324-R324</f>
        <v>0</v>
      </c>
    </row>
    <row r="325" spans="1:19">
      <c r="A325" s="99">
        <v>2026</v>
      </c>
      <c r="B325" s="100">
        <v>3</v>
      </c>
      <c r="C325" s="101">
        <v>46084</v>
      </c>
      <c r="D325" s="101" t="str">
        <f t="shared" si="60"/>
        <v>PPS00001774Кашкадарьё_Феруз ака</v>
      </c>
      <c r="E325" s="99" t="s">
        <v>775</v>
      </c>
      <c r="F325" s="102" t="s">
        <v>575</v>
      </c>
      <c r="G325" s="102" t="s">
        <v>502</v>
      </c>
      <c r="H325" s="99" t="s">
        <v>255</v>
      </c>
      <c r="I325" s="102" t="s">
        <v>617</v>
      </c>
      <c r="J325" s="102" t="s">
        <v>38</v>
      </c>
      <c r="K325" s="103">
        <v>50</v>
      </c>
      <c r="L325" s="104">
        <v>65000</v>
      </c>
      <c r="M325" s="104">
        <v>3250000</v>
      </c>
      <c r="N325" s="39">
        <f>+K325*20000</f>
        <v>1000000</v>
      </c>
      <c r="O325" s="107">
        <f>+M325*$O$1</f>
        <v>585000</v>
      </c>
      <c r="P325" s="108">
        <f>+N325+O325</f>
        <v>1585000</v>
      </c>
      <c r="Q325" s="39">
        <v>100</v>
      </c>
      <c r="R325" s="39">
        <f t="shared" si="61"/>
        <v>3250000</v>
      </c>
      <c r="S325" s="42">
        <f t="shared" si="62"/>
        <v>0</v>
      </c>
    </row>
    <row r="326" spans="1:19">
      <c r="A326" s="99">
        <v>2026</v>
      </c>
      <c r="B326" s="100">
        <v>3</v>
      </c>
      <c r="C326" s="101">
        <v>46085</v>
      </c>
      <c r="D326" s="101" t="str">
        <f t="shared" si="60"/>
        <v>PPS00001798Тошкент_Зилола опа</v>
      </c>
      <c r="E326" s="99" t="s">
        <v>776</v>
      </c>
      <c r="F326" s="102" t="s">
        <v>673</v>
      </c>
      <c r="G326" s="102" t="s">
        <v>674</v>
      </c>
      <c r="H326" s="99" t="s">
        <v>255</v>
      </c>
      <c r="I326" s="102" t="s">
        <v>684</v>
      </c>
      <c r="J326" s="102" t="s">
        <v>466</v>
      </c>
      <c r="K326" s="103">
        <v>40</v>
      </c>
      <c r="L326" s="104">
        <v>120000</v>
      </c>
      <c r="M326" s="104">
        <v>4800000</v>
      </c>
      <c r="N326" s="39">
        <f t="shared" ref="N326:N327" si="63">+K326*35000</f>
        <v>1400000</v>
      </c>
      <c r="O326" s="107">
        <f>+M326*$O$1</f>
        <v>864000</v>
      </c>
      <c r="P326" s="108">
        <f>+N326+O326</f>
        <v>2264000</v>
      </c>
      <c r="Q326" s="39">
        <v>100</v>
      </c>
      <c r="R326" s="39">
        <f t="shared" si="61"/>
        <v>4800000</v>
      </c>
      <c r="S326" s="42">
        <f t="shared" si="62"/>
        <v>0</v>
      </c>
    </row>
    <row r="327" spans="1:19">
      <c r="A327" s="99">
        <v>2026</v>
      </c>
      <c r="B327" s="100">
        <v>3</v>
      </c>
      <c r="C327" s="101">
        <v>46085</v>
      </c>
      <c r="D327" s="101" t="str">
        <f t="shared" si="60"/>
        <v>PPS00001805Тошкент_Зилола опа</v>
      </c>
      <c r="E327" s="99" t="s">
        <v>777</v>
      </c>
      <c r="F327" s="102" t="s">
        <v>673</v>
      </c>
      <c r="G327" s="102" t="s">
        <v>674</v>
      </c>
      <c r="H327" s="99" t="s">
        <v>255</v>
      </c>
      <c r="I327" s="102" t="s">
        <v>312</v>
      </c>
      <c r="J327" s="102" t="s">
        <v>466</v>
      </c>
      <c r="K327" s="103">
        <v>30</v>
      </c>
      <c r="L327" s="104">
        <v>120000</v>
      </c>
      <c r="M327" s="104">
        <v>3600000</v>
      </c>
      <c r="N327" s="39">
        <f t="shared" si="63"/>
        <v>1050000</v>
      </c>
      <c r="O327" s="107">
        <f>+M327*$O$1</f>
        <v>648000</v>
      </c>
      <c r="P327" s="108">
        <f>+N327+O327</f>
        <v>1698000</v>
      </c>
      <c r="Q327" s="39">
        <v>100</v>
      </c>
      <c r="R327" s="39">
        <f t="shared" si="61"/>
        <v>3600000</v>
      </c>
      <c r="S327" s="42">
        <f t="shared" si="62"/>
        <v>0</v>
      </c>
    </row>
    <row r="328" spans="1:19">
      <c r="A328" s="99">
        <v>2026</v>
      </c>
      <c r="B328" s="100">
        <v>3</v>
      </c>
      <c r="C328" s="101">
        <v>46086</v>
      </c>
      <c r="D328" s="101" t="str">
        <f t="shared" si="60"/>
        <v>PPS00001831Жиззах_Саодат опа</v>
      </c>
      <c r="E328" s="99" t="s">
        <v>778</v>
      </c>
      <c r="F328" s="102" t="s">
        <v>336</v>
      </c>
      <c r="G328" s="102" t="s">
        <v>337</v>
      </c>
      <c r="H328" s="99" t="s">
        <v>255</v>
      </c>
      <c r="I328" s="102" t="s">
        <v>424</v>
      </c>
      <c r="J328" s="102" t="s">
        <v>21</v>
      </c>
      <c r="K328" s="103">
        <v>30</v>
      </c>
      <c r="L328" s="104">
        <v>40621</v>
      </c>
      <c r="M328" s="104">
        <v>1218630</v>
      </c>
      <c r="N328" s="39">
        <f t="shared" ref="N328:N331" si="64">+K328*15000</f>
        <v>450000</v>
      </c>
      <c r="O328" s="107">
        <f>+M328*$O$1</f>
        <v>219353.4</v>
      </c>
      <c r="P328" s="108">
        <f>+N328+O328</f>
        <v>669353.4</v>
      </c>
      <c r="Q328" s="39">
        <v>100</v>
      </c>
      <c r="R328" s="39">
        <f t="shared" si="61"/>
        <v>1218630</v>
      </c>
      <c r="S328" s="42">
        <f t="shared" si="62"/>
        <v>0</v>
      </c>
    </row>
    <row r="329" spans="1:19">
      <c r="A329" s="99">
        <v>2026</v>
      </c>
      <c r="B329" s="100">
        <v>3</v>
      </c>
      <c r="C329" s="101">
        <v>46086</v>
      </c>
      <c r="D329" s="101" t="str">
        <f t="shared" si="60"/>
        <v>PPS00001833Навоий_Дильноза опа</v>
      </c>
      <c r="E329" s="99" t="s">
        <v>779</v>
      </c>
      <c r="F329" s="102" t="s">
        <v>332</v>
      </c>
      <c r="G329" s="102" t="s">
        <v>333</v>
      </c>
      <c r="H329" s="99" t="s">
        <v>255</v>
      </c>
      <c r="I329" s="102" t="s">
        <v>117</v>
      </c>
      <c r="J329" s="102" t="s">
        <v>21</v>
      </c>
      <c r="K329" s="103">
        <v>60</v>
      </c>
      <c r="L329" s="104">
        <v>40621</v>
      </c>
      <c r="M329" s="104">
        <v>2437260</v>
      </c>
      <c r="N329" s="39">
        <f t="shared" si="64"/>
        <v>900000</v>
      </c>
      <c r="O329" s="107">
        <f>+M329*$O$1</f>
        <v>438706.8</v>
      </c>
      <c r="P329" s="108">
        <f>+N329+O329</f>
        <v>1338706.8</v>
      </c>
      <c r="Q329" s="39">
        <v>100</v>
      </c>
      <c r="R329" s="39">
        <f t="shared" si="61"/>
        <v>2437260</v>
      </c>
      <c r="S329" s="42">
        <f t="shared" si="62"/>
        <v>0</v>
      </c>
    </row>
    <row r="330" spans="1:19">
      <c r="A330" s="99">
        <v>2026</v>
      </c>
      <c r="B330" s="100">
        <v>3</v>
      </c>
      <c r="C330" s="101">
        <v>46091</v>
      </c>
      <c r="D330" s="101" t="str">
        <f t="shared" si="60"/>
        <v>PPS00001883Жиззах_Саодат опа</v>
      </c>
      <c r="E330" s="99" t="s">
        <v>780</v>
      </c>
      <c r="F330" s="102" t="s">
        <v>336</v>
      </c>
      <c r="G330" s="102" t="s">
        <v>337</v>
      </c>
      <c r="H330" s="99" t="s">
        <v>255</v>
      </c>
      <c r="I330" s="102" t="s">
        <v>445</v>
      </c>
      <c r="J330" s="102" t="s">
        <v>21</v>
      </c>
      <c r="K330" s="103">
        <v>50</v>
      </c>
      <c r="L330" s="104">
        <v>40621</v>
      </c>
      <c r="M330" s="104">
        <v>2031050</v>
      </c>
      <c r="N330" s="39">
        <f t="shared" si="64"/>
        <v>750000</v>
      </c>
      <c r="O330" s="107">
        <f>+M330*$O$1</f>
        <v>365589</v>
      </c>
      <c r="P330" s="108">
        <f>+N330+O330</f>
        <v>1115589</v>
      </c>
      <c r="Q330" s="39">
        <v>100</v>
      </c>
      <c r="R330" s="39">
        <f t="shared" si="61"/>
        <v>2031050</v>
      </c>
      <c r="S330" s="42">
        <f t="shared" si="62"/>
        <v>0</v>
      </c>
    </row>
    <row r="331" spans="1:19">
      <c r="A331" s="99">
        <v>2026</v>
      </c>
      <c r="B331" s="100">
        <v>3</v>
      </c>
      <c r="C331" s="101">
        <v>46091</v>
      </c>
      <c r="D331" s="101" t="str">
        <f t="shared" si="60"/>
        <v>PPS00001915Жиззах_Саодат опа</v>
      </c>
      <c r="E331" s="99" t="s">
        <v>781</v>
      </c>
      <c r="F331" s="102" t="s">
        <v>496</v>
      </c>
      <c r="G331" s="102" t="s">
        <v>337</v>
      </c>
      <c r="H331" s="99" t="s">
        <v>255</v>
      </c>
      <c r="I331" s="102" t="s">
        <v>782</v>
      </c>
      <c r="J331" s="102" t="s">
        <v>21</v>
      </c>
      <c r="K331" s="103">
        <v>10</v>
      </c>
      <c r="L331" s="104">
        <v>40621</v>
      </c>
      <c r="M331" s="104">
        <v>406210</v>
      </c>
      <c r="N331" s="39">
        <f t="shared" si="64"/>
        <v>150000</v>
      </c>
      <c r="O331" s="107">
        <f>+M331*$O$1</f>
        <v>73117.8</v>
      </c>
      <c r="P331" s="108">
        <f>+N331+O331</f>
        <v>223117.8</v>
      </c>
      <c r="Q331" s="39">
        <v>100</v>
      </c>
      <c r="R331" s="39">
        <f t="shared" si="61"/>
        <v>406210</v>
      </c>
      <c r="S331" s="42">
        <f t="shared" si="62"/>
        <v>0</v>
      </c>
    </row>
    <row r="332" spans="1:19">
      <c r="A332" s="99">
        <v>2026</v>
      </c>
      <c r="B332" s="100">
        <v>3</v>
      </c>
      <c r="C332" s="101">
        <v>46092</v>
      </c>
      <c r="D332" s="101" t="str">
        <f t="shared" si="60"/>
        <v>PPS00001943Таш.Обл_Шахло опа</v>
      </c>
      <c r="E332" s="99" t="s">
        <v>783</v>
      </c>
      <c r="F332" s="102" t="s">
        <v>547</v>
      </c>
      <c r="G332" s="102" t="s">
        <v>464</v>
      </c>
      <c r="H332" s="99" t="s">
        <v>255</v>
      </c>
      <c r="I332" s="102" t="s">
        <v>784</v>
      </c>
      <c r="J332" s="102" t="s">
        <v>46</v>
      </c>
      <c r="K332" s="103">
        <v>20</v>
      </c>
      <c r="L332" s="104">
        <v>64700</v>
      </c>
      <c r="M332" s="104">
        <v>1294000</v>
      </c>
      <c r="N332" s="39">
        <f t="shared" ref="N332:N333" si="65">20000*K332</f>
        <v>400000</v>
      </c>
      <c r="O332" s="107">
        <f>+M332*$O$1</f>
        <v>232920</v>
      </c>
      <c r="P332" s="108">
        <f>+N332+O332</f>
        <v>632920</v>
      </c>
      <c r="Q332" s="39">
        <v>100</v>
      </c>
      <c r="R332" s="39">
        <f t="shared" si="61"/>
        <v>1294000</v>
      </c>
      <c r="S332" s="42">
        <f t="shared" si="62"/>
        <v>0</v>
      </c>
    </row>
    <row r="333" spans="1:19">
      <c r="A333" s="99">
        <v>2026</v>
      </c>
      <c r="B333" s="100">
        <v>3</v>
      </c>
      <c r="C333" s="101">
        <v>46092</v>
      </c>
      <c r="D333" s="101" t="str">
        <f t="shared" si="60"/>
        <v>PPS00001945Таш.Обл_Шахло опа</v>
      </c>
      <c r="E333" s="99" t="s">
        <v>785</v>
      </c>
      <c r="F333" s="102" t="s">
        <v>677</v>
      </c>
      <c r="G333" s="102" t="s">
        <v>464</v>
      </c>
      <c r="H333" s="99" t="s">
        <v>255</v>
      </c>
      <c r="I333" s="102" t="s">
        <v>678</v>
      </c>
      <c r="J333" s="102" t="s">
        <v>46</v>
      </c>
      <c r="K333" s="103">
        <v>10</v>
      </c>
      <c r="L333" s="104">
        <v>64700</v>
      </c>
      <c r="M333" s="104">
        <v>647000</v>
      </c>
      <c r="N333" s="39">
        <f t="shared" si="65"/>
        <v>200000</v>
      </c>
      <c r="O333" s="107">
        <f>+M333*$O$1</f>
        <v>116460</v>
      </c>
      <c r="P333" s="108">
        <f>+N333+O333</f>
        <v>316460</v>
      </c>
      <c r="Q333" s="39">
        <v>100</v>
      </c>
      <c r="R333" s="39">
        <f t="shared" si="61"/>
        <v>647000</v>
      </c>
      <c r="S333" s="42">
        <f t="shared" si="62"/>
        <v>0</v>
      </c>
    </row>
    <row r="334" spans="1:19">
      <c r="A334" s="99">
        <v>2026</v>
      </c>
      <c r="B334" s="100">
        <v>3</v>
      </c>
      <c r="C334" s="101">
        <v>46092</v>
      </c>
      <c r="D334" s="101" t="str">
        <f t="shared" si="60"/>
        <v>PPS00001952Кашкадарьё_Нилуфар опа</v>
      </c>
      <c r="E334" s="99" t="s">
        <v>786</v>
      </c>
      <c r="F334" s="102" t="s">
        <v>300</v>
      </c>
      <c r="G334" s="102" t="s">
        <v>301</v>
      </c>
      <c r="H334" s="99" t="s">
        <v>255</v>
      </c>
      <c r="I334" s="102" t="s">
        <v>787</v>
      </c>
      <c r="J334" s="102" t="s">
        <v>21</v>
      </c>
      <c r="K334" s="103">
        <v>10</v>
      </c>
      <c r="L334" s="104">
        <v>40621</v>
      </c>
      <c r="M334" s="104">
        <v>406210</v>
      </c>
      <c r="N334" s="39">
        <f t="shared" ref="N334:N335" si="66">+K334*15000</f>
        <v>150000</v>
      </c>
      <c r="O334" s="107">
        <f>+M334*$O$1</f>
        <v>73117.8</v>
      </c>
      <c r="P334" s="108">
        <f>+N334+O334</f>
        <v>223117.8</v>
      </c>
      <c r="Q334" s="39">
        <v>100</v>
      </c>
      <c r="R334" s="39">
        <f t="shared" si="61"/>
        <v>406210</v>
      </c>
      <c r="S334" s="42">
        <f t="shared" si="62"/>
        <v>0</v>
      </c>
    </row>
    <row r="335" spans="1:19">
      <c r="A335" s="99">
        <v>2026</v>
      </c>
      <c r="B335" s="100">
        <v>3</v>
      </c>
      <c r="C335" s="101">
        <v>46092</v>
      </c>
      <c r="D335" s="101" t="str">
        <f t="shared" si="60"/>
        <v>PPS00001954Навоий_Дильноза опа</v>
      </c>
      <c r="E335" s="99" t="s">
        <v>788</v>
      </c>
      <c r="F335" s="102" t="s">
        <v>332</v>
      </c>
      <c r="G335" s="102" t="s">
        <v>333</v>
      </c>
      <c r="H335" s="99" t="s">
        <v>255</v>
      </c>
      <c r="I335" s="102" t="s">
        <v>375</v>
      </c>
      <c r="J335" s="102" t="s">
        <v>21</v>
      </c>
      <c r="K335" s="103">
        <v>50</v>
      </c>
      <c r="L335" s="104">
        <v>40621</v>
      </c>
      <c r="M335" s="104">
        <v>2031050</v>
      </c>
      <c r="N335" s="39">
        <f t="shared" si="66"/>
        <v>750000</v>
      </c>
      <c r="O335" s="107">
        <f>+M335*$O$1</f>
        <v>365589</v>
      </c>
      <c r="P335" s="108">
        <f>+N335+O335</f>
        <v>1115589</v>
      </c>
      <c r="Q335" s="39">
        <v>100</v>
      </c>
      <c r="R335" s="39">
        <f t="shared" si="61"/>
        <v>2031050</v>
      </c>
      <c r="S335" s="42">
        <f t="shared" si="62"/>
        <v>0</v>
      </c>
    </row>
    <row r="336" spans="1:19">
      <c r="A336" s="99">
        <v>2026</v>
      </c>
      <c r="B336" s="100">
        <v>3</v>
      </c>
      <c r="C336" s="101">
        <v>46092</v>
      </c>
      <c r="D336" s="101" t="str">
        <f t="shared" si="60"/>
        <v>PPS00001963Кашкадарьё_Феруз ака</v>
      </c>
      <c r="E336" s="99" t="s">
        <v>789</v>
      </c>
      <c r="F336" s="102" t="s">
        <v>501</v>
      </c>
      <c r="G336" s="102" t="s">
        <v>502</v>
      </c>
      <c r="H336" s="99" t="s">
        <v>255</v>
      </c>
      <c r="I336" s="102" t="s">
        <v>508</v>
      </c>
      <c r="J336" s="102" t="s">
        <v>38</v>
      </c>
      <c r="K336" s="103">
        <v>30</v>
      </c>
      <c r="L336" s="104">
        <v>65000</v>
      </c>
      <c r="M336" s="104">
        <v>1950000</v>
      </c>
      <c r="N336" s="39">
        <f>+K336*20000</f>
        <v>600000</v>
      </c>
      <c r="O336" s="107">
        <f>+M336*$O$1</f>
        <v>351000</v>
      </c>
      <c r="P336" s="108">
        <f>+N336+O336</f>
        <v>951000</v>
      </c>
      <c r="Q336" s="39">
        <v>100</v>
      </c>
      <c r="R336" s="39">
        <f t="shared" si="61"/>
        <v>1950000</v>
      </c>
      <c r="S336" s="42">
        <f t="shared" si="62"/>
        <v>0</v>
      </c>
    </row>
    <row r="337" spans="1:19">
      <c r="A337" s="99">
        <v>2026</v>
      </c>
      <c r="B337" s="100">
        <v>3</v>
      </c>
      <c r="C337" s="101">
        <v>46092</v>
      </c>
      <c r="D337" s="101" t="str">
        <f t="shared" si="60"/>
        <v>PPS00001973Таш.Обл_Шахло опа</v>
      </c>
      <c r="E337" s="99" t="s">
        <v>790</v>
      </c>
      <c r="F337" s="102" t="s">
        <v>677</v>
      </c>
      <c r="G337" s="102" t="s">
        <v>464</v>
      </c>
      <c r="H337" s="99" t="s">
        <v>255</v>
      </c>
      <c r="I337" s="102" t="s">
        <v>791</v>
      </c>
      <c r="J337" s="102" t="s">
        <v>466</v>
      </c>
      <c r="K337" s="103">
        <v>11</v>
      </c>
      <c r="L337" s="104">
        <v>120000</v>
      </c>
      <c r="M337" s="104">
        <v>1320000</v>
      </c>
      <c r="N337" s="39">
        <f t="shared" ref="N337:N340" si="67">+K337*35000</f>
        <v>385000</v>
      </c>
      <c r="O337" s="107">
        <f>+M337*$O$1</f>
        <v>237600</v>
      </c>
      <c r="P337" s="108">
        <f>+N337+O337</f>
        <v>622600</v>
      </c>
      <c r="Q337" s="39">
        <v>100</v>
      </c>
      <c r="R337" s="39">
        <f t="shared" si="61"/>
        <v>1320000</v>
      </c>
      <c r="S337" s="42">
        <f t="shared" si="62"/>
        <v>0</v>
      </c>
    </row>
    <row r="338" spans="1:19">
      <c r="A338" s="99">
        <v>2026</v>
      </c>
      <c r="B338" s="100">
        <v>3</v>
      </c>
      <c r="C338" s="101">
        <v>46092</v>
      </c>
      <c r="D338" s="101" t="str">
        <f t="shared" si="60"/>
        <v>PPS00001973Таш.Обл_Шахло опа</v>
      </c>
      <c r="E338" s="99" t="s">
        <v>790</v>
      </c>
      <c r="F338" s="102" t="s">
        <v>677</v>
      </c>
      <c r="G338" s="102" t="s">
        <v>464</v>
      </c>
      <c r="H338" s="99" t="s">
        <v>255</v>
      </c>
      <c r="I338" s="102" t="s">
        <v>791</v>
      </c>
      <c r="J338" s="102" t="s">
        <v>466</v>
      </c>
      <c r="K338" s="103">
        <v>9</v>
      </c>
      <c r="L338" s="104">
        <v>120000</v>
      </c>
      <c r="M338" s="104">
        <v>1080000</v>
      </c>
      <c r="N338" s="39">
        <f t="shared" si="67"/>
        <v>315000</v>
      </c>
      <c r="O338" s="107">
        <f>+M338*$O$1</f>
        <v>194400</v>
      </c>
      <c r="P338" s="108">
        <f>+N338+O338</f>
        <v>509400</v>
      </c>
      <c r="Q338" s="39">
        <v>100</v>
      </c>
      <c r="R338" s="39">
        <f t="shared" si="61"/>
        <v>1080000</v>
      </c>
      <c r="S338" s="42">
        <f t="shared" si="62"/>
        <v>0</v>
      </c>
    </row>
    <row r="339" spans="1:19">
      <c r="A339" s="99">
        <v>2026</v>
      </c>
      <c r="B339" s="100">
        <v>3</v>
      </c>
      <c r="C339" s="101">
        <v>46093</v>
      </c>
      <c r="D339" s="101" t="str">
        <f t="shared" si="60"/>
        <v>PPS00001984Бухоро_Мадина опа</v>
      </c>
      <c r="E339" s="99" t="s">
        <v>792</v>
      </c>
      <c r="F339" s="102" t="s">
        <v>710</v>
      </c>
      <c r="G339" s="102" t="s">
        <v>607</v>
      </c>
      <c r="H339" s="99" t="s">
        <v>255</v>
      </c>
      <c r="I339" s="102" t="s">
        <v>793</v>
      </c>
      <c r="J339" s="102" t="s">
        <v>466</v>
      </c>
      <c r="K339" s="103">
        <v>20</v>
      </c>
      <c r="L339" s="104">
        <v>120000</v>
      </c>
      <c r="M339" s="104">
        <v>2400000</v>
      </c>
      <c r="N339" s="39">
        <f t="shared" si="67"/>
        <v>700000</v>
      </c>
      <c r="O339" s="107">
        <f>+M339*$O$1</f>
        <v>432000</v>
      </c>
      <c r="P339" s="108">
        <f>+N339+O339</f>
        <v>1132000</v>
      </c>
      <c r="Q339" s="39">
        <v>100</v>
      </c>
      <c r="R339" s="39">
        <f t="shared" si="61"/>
        <v>2400000</v>
      </c>
      <c r="S339" s="42">
        <f t="shared" si="62"/>
        <v>0</v>
      </c>
    </row>
    <row r="340" spans="1:19">
      <c r="A340" s="99">
        <v>2026</v>
      </c>
      <c r="B340" s="100">
        <v>3</v>
      </c>
      <c r="C340" s="101">
        <v>46093</v>
      </c>
      <c r="D340" s="101" t="str">
        <f t="shared" si="60"/>
        <v>PPS00001986Таш.Обл_Шахло опа</v>
      </c>
      <c r="E340" s="99" t="s">
        <v>794</v>
      </c>
      <c r="F340" s="102" t="s">
        <v>677</v>
      </c>
      <c r="G340" s="102" t="s">
        <v>464</v>
      </c>
      <c r="H340" s="99" t="s">
        <v>255</v>
      </c>
      <c r="I340" s="102" t="s">
        <v>479</v>
      </c>
      <c r="J340" s="102" t="s">
        <v>466</v>
      </c>
      <c r="K340" s="103">
        <v>50</v>
      </c>
      <c r="L340" s="104">
        <v>120000</v>
      </c>
      <c r="M340" s="104">
        <v>6000000</v>
      </c>
      <c r="N340" s="39">
        <f t="shared" si="67"/>
        <v>1750000</v>
      </c>
      <c r="O340" s="107">
        <f>+M340*$O$1</f>
        <v>1080000</v>
      </c>
      <c r="P340" s="108">
        <f>+N340+O340</f>
        <v>2830000</v>
      </c>
      <c r="Q340" s="39">
        <v>100</v>
      </c>
      <c r="R340" s="39">
        <f t="shared" si="61"/>
        <v>6000000</v>
      </c>
      <c r="S340" s="42">
        <f t="shared" si="62"/>
        <v>0</v>
      </c>
    </row>
    <row r="341" spans="1:19">
      <c r="A341" s="99">
        <v>2026</v>
      </c>
      <c r="B341" s="100">
        <v>3</v>
      </c>
      <c r="C341" s="101">
        <v>46093</v>
      </c>
      <c r="D341" s="101" t="str">
        <f t="shared" si="60"/>
        <v>PPS00001994Кашкадарьё_Феруз ака</v>
      </c>
      <c r="E341" s="99" t="s">
        <v>795</v>
      </c>
      <c r="F341" s="102" t="s">
        <v>575</v>
      </c>
      <c r="G341" s="102" t="s">
        <v>502</v>
      </c>
      <c r="H341" s="99" t="s">
        <v>255</v>
      </c>
      <c r="I341" s="102" t="s">
        <v>617</v>
      </c>
      <c r="J341" s="102" t="s">
        <v>38</v>
      </c>
      <c r="K341" s="103">
        <v>60</v>
      </c>
      <c r="L341" s="104">
        <v>65000</v>
      </c>
      <c r="M341" s="104">
        <v>3900000</v>
      </c>
      <c r="N341" s="39">
        <f t="shared" ref="N341:N342" si="68">+K341*20000</f>
        <v>1200000</v>
      </c>
      <c r="O341" s="107">
        <f>+M341*$O$1</f>
        <v>702000</v>
      </c>
      <c r="P341" s="108">
        <f>+N341+O341</f>
        <v>1902000</v>
      </c>
      <c r="Q341" s="39">
        <v>100</v>
      </c>
      <c r="R341" s="39">
        <f t="shared" si="61"/>
        <v>3900000</v>
      </c>
      <c r="S341" s="42">
        <f t="shared" si="62"/>
        <v>0</v>
      </c>
    </row>
    <row r="342" spans="1:19">
      <c r="A342" s="99">
        <v>2026</v>
      </c>
      <c r="B342" s="100">
        <v>3</v>
      </c>
      <c r="C342" s="101">
        <v>46093</v>
      </c>
      <c r="D342" s="101" t="str">
        <f t="shared" si="60"/>
        <v>PPS00001994Кашкадарьё_Феруз ака</v>
      </c>
      <c r="E342" s="99" t="s">
        <v>795</v>
      </c>
      <c r="F342" s="102" t="s">
        <v>575</v>
      </c>
      <c r="G342" s="102" t="s">
        <v>502</v>
      </c>
      <c r="H342" s="99" t="s">
        <v>255</v>
      </c>
      <c r="I342" s="102" t="s">
        <v>617</v>
      </c>
      <c r="J342" s="102" t="s">
        <v>38</v>
      </c>
      <c r="K342" s="103">
        <v>40</v>
      </c>
      <c r="L342" s="104">
        <v>65000</v>
      </c>
      <c r="M342" s="104">
        <v>2600000</v>
      </c>
      <c r="N342" s="39">
        <f t="shared" si="68"/>
        <v>800000</v>
      </c>
      <c r="O342" s="107">
        <f>+M342*$O$1</f>
        <v>468000</v>
      </c>
      <c r="P342" s="108">
        <f>+N342+O342</f>
        <v>1268000</v>
      </c>
      <c r="Q342" s="39">
        <v>100</v>
      </c>
      <c r="R342" s="39">
        <f t="shared" si="61"/>
        <v>2600000</v>
      </c>
      <c r="S342" s="42">
        <f t="shared" si="62"/>
        <v>0</v>
      </c>
    </row>
    <row r="343" spans="1:19">
      <c r="A343" s="99">
        <v>2026</v>
      </c>
      <c r="B343" s="100">
        <v>3</v>
      </c>
      <c r="C343" s="101">
        <v>46093</v>
      </c>
      <c r="D343" s="101" t="str">
        <f t="shared" si="60"/>
        <v>PPS00002005Тошкент_Зилола опа</v>
      </c>
      <c r="E343" s="99" t="s">
        <v>796</v>
      </c>
      <c r="F343" s="102" t="s">
        <v>673</v>
      </c>
      <c r="G343" s="102" t="s">
        <v>674</v>
      </c>
      <c r="H343" s="99" t="s">
        <v>255</v>
      </c>
      <c r="I343" s="102" t="s">
        <v>312</v>
      </c>
      <c r="J343" s="102" t="s">
        <v>466</v>
      </c>
      <c r="K343" s="103">
        <v>30</v>
      </c>
      <c r="L343" s="104">
        <v>120000</v>
      </c>
      <c r="M343" s="104">
        <v>3600000</v>
      </c>
      <c r="N343" s="39">
        <f>+K343*35000</f>
        <v>1050000</v>
      </c>
      <c r="O343" s="107">
        <f>+M343*$O$1</f>
        <v>648000</v>
      </c>
      <c r="P343" s="108">
        <f>+N343+O343</f>
        <v>1698000</v>
      </c>
      <c r="Q343" s="39">
        <v>100</v>
      </c>
      <c r="R343" s="39">
        <f t="shared" si="61"/>
        <v>3600000</v>
      </c>
      <c r="S343" s="42">
        <f t="shared" si="62"/>
        <v>0</v>
      </c>
    </row>
    <row r="344" spans="1:19">
      <c r="A344" s="99">
        <v>2026</v>
      </c>
      <c r="B344" s="100">
        <v>3</v>
      </c>
      <c r="C344" s="101">
        <v>46093</v>
      </c>
      <c r="D344" s="101" t="str">
        <f t="shared" si="60"/>
        <v>PPS00002019Навоий_Дильноза опа</v>
      </c>
      <c r="E344" s="99" t="s">
        <v>797</v>
      </c>
      <c r="F344" s="102" t="s">
        <v>332</v>
      </c>
      <c r="G344" s="102" t="s">
        <v>333</v>
      </c>
      <c r="H344" s="99" t="s">
        <v>255</v>
      </c>
      <c r="I344" s="102" t="s">
        <v>454</v>
      </c>
      <c r="J344" s="102" t="s">
        <v>21</v>
      </c>
      <c r="K344" s="103">
        <v>14</v>
      </c>
      <c r="L344" s="104">
        <v>40621</v>
      </c>
      <c r="M344" s="104">
        <v>568694</v>
      </c>
      <c r="N344" s="39">
        <f>+K344*15000</f>
        <v>210000</v>
      </c>
      <c r="O344" s="107">
        <f>+M344*$O$1</f>
        <v>102364.92</v>
      </c>
      <c r="P344" s="108">
        <f>+N344+O344</f>
        <v>312364.92</v>
      </c>
      <c r="Q344" s="39">
        <v>48</v>
      </c>
      <c r="R344" s="39">
        <f t="shared" si="61"/>
        <v>272973.12</v>
      </c>
      <c r="S344" s="42">
        <f t="shared" si="62"/>
        <v>295720.88</v>
      </c>
    </row>
    <row r="345" spans="1:19">
      <c r="A345" s="99">
        <v>2026</v>
      </c>
      <c r="B345" s="100">
        <v>3</v>
      </c>
      <c r="C345" s="101">
        <v>46094</v>
      </c>
      <c r="D345" s="101" t="str">
        <f t="shared" si="60"/>
        <v>PPS00002026Сирдарьё_Зилола Опа</v>
      </c>
      <c r="E345" s="99" t="s">
        <v>798</v>
      </c>
      <c r="F345" s="102" t="s">
        <v>703</v>
      </c>
      <c r="G345" s="102" t="s">
        <v>704</v>
      </c>
      <c r="H345" s="99" t="s">
        <v>255</v>
      </c>
      <c r="I345" s="102" t="s">
        <v>799</v>
      </c>
      <c r="J345" s="102" t="s">
        <v>46</v>
      </c>
      <c r="K345" s="103">
        <v>5</v>
      </c>
      <c r="L345" s="104">
        <v>64700</v>
      </c>
      <c r="M345" s="104">
        <v>323500</v>
      </c>
      <c r="N345" s="39">
        <f t="shared" ref="N345:N346" si="69">20000*K345</f>
        <v>100000</v>
      </c>
      <c r="O345" s="107">
        <f>+M345*$O$1</f>
        <v>58230</v>
      </c>
      <c r="P345" s="108">
        <f>+N345+O345</f>
        <v>158230</v>
      </c>
      <c r="Q345" s="39">
        <v>100</v>
      </c>
      <c r="R345" s="39">
        <f t="shared" si="61"/>
        <v>323500</v>
      </c>
      <c r="S345" s="42">
        <f t="shared" si="62"/>
        <v>0</v>
      </c>
    </row>
    <row r="346" spans="1:19">
      <c r="A346" s="99">
        <v>2026</v>
      </c>
      <c r="B346" s="100">
        <v>3</v>
      </c>
      <c r="C346" s="101">
        <v>46094</v>
      </c>
      <c r="D346" s="101" t="str">
        <f t="shared" si="60"/>
        <v>PPS00002037Сирдарьё_Зилола Опа</v>
      </c>
      <c r="E346" s="99" t="s">
        <v>800</v>
      </c>
      <c r="F346" s="102" t="s">
        <v>801</v>
      </c>
      <c r="G346" s="102" t="s">
        <v>704</v>
      </c>
      <c r="H346" s="99" t="s">
        <v>255</v>
      </c>
      <c r="I346" s="102" t="s">
        <v>802</v>
      </c>
      <c r="J346" s="102" t="s">
        <v>46</v>
      </c>
      <c r="K346" s="103">
        <v>50</v>
      </c>
      <c r="L346" s="104">
        <v>64700</v>
      </c>
      <c r="M346" s="104">
        <v>3235000</v>
      </c>
      <c r="N346" s="39">
        <f t="shared" si="69"/>
        <v>1000000</v>
      </c>
      <c r="O346" s="107">
        <f>+M346*$O$1</f>
        <v>582300</v>
      </c>
      <c r="P346" s="108">
        <f>+N346+O346</f>
        <v>1582300</v>
      </c>
      <c r="Q346" s="39">
        <v>100</v>
      </c>
      <c r="R346" s="39">
        <f t="shared" si="61"/>
        <v>3235000</v>
      </c>
      <c r="S346" s="42">
        <f t="shared" si="62"/>
        <v>0</v>
      </c>
    </row>
    <row r="347" spans="1:19">
      <c r="A347" s="99">
        <v>2026</v>
      </c>
      <c r="B347" s="100">
        <v>3</v>
      </c>
      <c r="C347" s="101">
        <v>46094</v>
      </c>
      <c r="D347" s="101" t="str">
        <f t="shared" si="60"/>
        <v>PPS00002038Сирдарьё_Зилола Опа</v>
      </c>
      <c r="E347" s="99" t="s">
        <v>803</v>
      </c>
      <c r="F347" s="102" t="s">
        <v>801</v>
      </c>
      <c r="G347" s="102" t="s">
        <v>704</v>
      </c>
      <c r="H347" s="99" t="s">
        <v>255</v>
      </c>
      <c r="I347" s="102" t="s">
        <v>802</v>
      </c>
      <c r="J347" s="102" t="s">
        <v>466</v>
      </c>
      <c r="K347" s="103">
        <v>50</v>
      </c>
      <c r="L347" s="104">
        <v>120000</v>
      </c>
      <c r="M347" s="104">
        <v>6000000</v>
      </c>
      <c r="N347" s="39">
        <f>+K347*35000</f>
        <v>1750000</v>
      </c>
      <c r="O347" s="107">
        <f>+M347*$O$1</f>
        <v>1080000</v>
      </c>
      <c r="P347" s="108">
        <f>+N347+O347</f>
        <v>2830000</v>
      </c>
      <c r="Q347" s="39">
        <v>100</v>
      </c>
      <c r="R347" s="39">
        <f t="shared" si="61"/>
        <v>6000000</v>
      </c>
      <c r="S347" s="42">
        <f t="shared" si="62"/>
        <v>0</v>
      </c>
    </row>
    <row r="348" spans="1:19">
      <c r="A348" s="99">
        <v>2026</v>
      </c>
      <c r="B348" s="100">
        <v>3</v>
      </c>
      <c r="C348" s="101">
        <v>46097</v>
      </c>
      <c r="D348" s="101" t="str">
        <f t="shared" si="60"/>
        <v>PPS00002070Жиззах_Саодат опа</v>
      </c>
      <c r="E348" s="99" t="s">
        <v>804</v>
      </c>
      <c r="F348" s="102" t="s">
        <v>496</v>
      </c>
      <c r="G348" s="102" t="s">
        <v>337</v>
      </c>
      <c r="H348" s="99" t="s">
        <v>255</v>
      </c>
      <c r="I348" s="102" t="s">
        <v>538</v>
      </c>
      <c r="J348" s="102" t="s">
        <v>21</v>
      </c>
      <c r="K348" s="103">
        <v>60</v>
      </c>
      <c r="L348" s="104">
        <v>40621</v>
      </c>
      <c r="M348" s="104">
        <v>2437260</v>
      </c>
      <c r="N348" s="39">
        <f t="shared" ref="N348:N349" si="70">+K348*15000</f>
        <v>900000</v>
      </c>
      <c r="O348" s="107">
        <f>+M348*$O$1</f>
        <v>438706.8</v>
      </c>
      <c r="P348" s="108">
        <f>+N348+O348</f>
        <v>1338706.8</v>
      </c>
      <c r="Q348" s="39">
        <v>100</v>
      </c>
      <c r="R348" s="39">
        <f t="shared" si="61"/>
        <v>2437260</v>
      </c>
      <c r="S348" s="42">
        <f t="shared" si="62"/>
        <v>0</v>
      </c>
    </row>
    <row r="349" spans="1:19">
      <c r="A349" s="99">
        <v>2026</v>
      </c>
      <c r="B349" s="100">
        <v>3</v>
      </c>
      <c r="C349" s="101">
        <v>46097</v>
      </c>
      <c r="D349" s="101" t="str">
        <f t="shared" si="60"/>
        <v>PPS00002080Тошкент_Мохира опа</v>
      </c>
      <c r="E349" s="99" t="s">
        <v>805</v>
      </c>
      <c r="F349" s="102" t="s">
        <v>304</v>
      </c>
      <c r="G349" s="102" t="s">
        <v>305</v>
      </c>
      <c r="H349" s="99" t="s">
        <v>255</v>
      </c>
      <c r="I349" s="102" t="s">
        <v>684</v>
      </c>
      <c r="J349" s="102" t="s">
        <v>21</v>
      </c>
      <c r="K349" s="103">
        <v>10</v>
      </c>
      <c r="L349" s="104">
        <v>40621</v>
      </c>
      <c r="M349" s="104">
        <v>406210</v>
      </c>
      <c r="N349" s="39">
        <f t="shared" si="70"/>
        <v>150000</v>
      </c>
      <c r="O349" s="107">
        <f>+M349*$O$1</f>
        <v>73117.8</v>
      </c>
      <c r="P349" s="108">
        <f>+N349+O349</f>
        <v>223117.8</v>
      </c>
      <c r="Q349" s="39">
        <v>100</v>
      </c>
      <c r="R349" s="39">
        <f t="shared" si="61"/>
        <v>406210</v>
      </c>
      <c r="S349" s="42">
        <f t="shared" si="62"/>
        <v>0</v>
      </c>
    </row>
    <row r="350" spans="1:19">
      <c r="A350" s="99">
        <v>2026</v>
      </c>
      <c r="B350" s="100">
        <v>3</v>
      </c>
      <c r="C350" s="101">
        <v>46097</v>
      </c>
      <c r="D350" s="101" t="str">
        <f t="shared" si="60"/>
        <v>PPS00002083Таш.Обл_Шахло опа</v>
      </c>
      <c r="E350" s="99" t="s">
        <v>806</v>
      </c>
      <c r="F350" s="102" t="s">
        <v>489</v>
      </c>
      <c r="G350" s="102" t="s">
        <v>464</v>
      </c>
      <c r="H350" s="99" t="s">
        <v>255</v>
      </c>
      <c r="I350" s="102" t="s">
        <v>529</v>
      </c>
      <c r="J350" s="102" t="s">
        <v>466</v>
      </c>
      <c r="K350" s="103">
        <v>20</v>
      </c>
      <c r="L350" s="104">
        <v>120000</v>
      </c>
      <c r="M350" s="104">
        <v>2400000</v>
      </c>
      <c r="N350" s="39">
        <f>+K350*35000</f>
        <v>700000</v>
      </c>
      <c r="O350" s="107">
        <f>+M350*$O$1</f>
        <v>432000</v>
      </c>
      <c r="P350" s="108">
        <f>+N350+O350</f>
        <v>1132000</v>
      </c>
      <c r="Q350" s="39">
        <v>100</v>
      </c>
      <c r="R350" s="39">
        <f t="shared" si="61"/>
        <v>2400000</v>
      </c>
      <c r="S350" s="42">
        <f t="shared" si="62"/>
        <v>0</v>
      </c>
    </row>
    <row r="351" spans="1:19">
      <c r="A351" s="99">
        <v>2026</v>
      </c>
      <c r="B351" s="100">
        <v>3</v>
      </c>
      <c r="C351" s="101">
        <v>46097</v>
      </c>
      <c r="D351" s="101" t="str">
        <f t="shared" si="60"/>
        <v>PPS00002085Жиззах_Саодат опа</v>
      </c>
      <c r="E351" s="99" t="s">
        <v>807</v>
      </c>
      <c r="F351" s="102" t="s">
        <v>336</v>
      </c>
      <c r="G351" s="102" t="s">
        <v>337</v>
      </c>
      <c r="H351" s="99" t="s">
        <v>255</v>
      </c>
      <c r="I351" s="102" t="s">
        <v>378</v>
      </c>
      <c r="J351" s="102" t="s">
        <v>21</v>
      </c>
      <c r="K351" s="103">
        <v>15</v>
      </c>
      <c r="L351" s="104">
        <v>40621</v>
      </c>
      <c r="M351" s="104">
        <v>609315</v>
      </c>
      <c r="N351" s="39">
        <f>+K351*15000</f>
        <v>225000</v>
      </c>
      <c r="O351" s="107">
        <f>+M351*$O$1</f>
        <v>109676.7</v>
      </c>
      <c r="P351" s="108">
        <f>+N351+O351</f>
        <v>334676.7</v>
      </c>
      <c r="Q351" s="39">
        <v>100</v>
      </c>
      <c r="R351" s="39">
        <f t="shared" si="61"/>
        <v>609315</v>
      </c>
      <c r="S351" s="42">
        <f t="shared" si="62"/>
        <v>0</v>
      </c>
    </row>
    <row r="352" spans="1:19">
      <c r="A352" s="99">
        <v>2026</v>
      </c>
      <c r="B352" s="100">
        <v>3</v>
      </c>
      <c r="C352" s="101">
        <v>46097</v>
      </c>
      <c r="D352" s="101" t="str">
        <f t="shared" si="60"/>
        <v>PPS00002086Таш.Обл_Шахло опа</v>
      </c>
      <c r="E352" s="99" t="s">
        <v>808</v>
      </c>
      <c r="F352" s="102" t="s">
        <v>489</v>
      </c>
      <c r="G352" s="102" t="s">
        <v>464</v>
      </c>
      <c r="H352" s="99" t="s">
        <v>255</v>
      </c>
      <c r="I352" s="102" t="s">
        <v>498</v>
      </c>
      <c r="J352" s="102" t="s">
        <v>466</v>
      </c>
      <c r="K352" s="103">
        <v>10</v>
      </c>
      <c r="L352" s="104">
        <v>120000</v>
      </c>
      <c r="M352" s="104">
        <v>1200000</v>
      </c>
      <c r="N352" s="39">
        <f>+K352*35000</f>
        <v>350000</v>
      </c>
      <c r="O352" s="107">
        <f>+M352*$O$1</f>
        <v>216000</v>
      </c>
      <c r="P352" s="108">
        <f>+N352+O352</f>
        <v>566000</v>
      </c>
      <c r="Q352" s="39">
        <v>100</v>
      </c>
      <c r="R352" s="39">
        <f t="shared" si="61"/>
        <v>1200000</v>
      </c>
      <c r="S352" s="42">
        <f t="shared" si="62"/>
        <v>0</v>
      </c>
    </row>
    <row r="353" spans="1:19">
      <c r="A353" s="99">
        <v>2026</v>
      </c>
      <c r="B353" s="100">
        <v>3</v>
      </c>
      <c r="C353" s="101">
        <v>46099</v>
      </c>
      <c r="D353" s="101" t="str">
        <f t="shared" si="60"/>
        <v>PPS00002144Кашкадарьё_Феруз ака</v>
      </c>
      <c r="E353" s="99" t="s">
        <v>809</v>
      </c>
      <c r="F353" s="102" t="s">
        <v>575</v>
      </c>
      <c r="G353" s="102" t="s">
        <v>502</v>
      </c>
      <c r="H353" s="99" t="s">
        <v>255</v>
      </c>
      <c r="I353" s="102" t="s">
        <v>701</v>
      </c>
      <c r="J353" s="102" t="s">
        <v>38</v>
      </c>
      <c r="K353" s="103">
        <v>20</v>
      </c>
      <c r="L353" s="104">
        <v>65000</v>
      </c>
      <c r="M353" s="104">
        <v>1300000</v>
      </c>
      <c r="N353" s="39">
        <f>+K353*20000</f>
        <v>400000</v>
      </c>
      <c r="O353" s="107">
        <f>+M353*$O$1</f>
        <v>234000</v>
      </c>
      <c r="P353" s="108">
        <f>+N353+O353</f>
        <v>634000</v>
      </c>
      <c r="Q353" s="39">
        <v>100</v>
      </c>
      <c r="R353" s="39">
        <f t="shared" si="61"/>
        <v>1300000</v>
      </c>
      <c r="S353" s="42">
        <f t="shared" si="62"/>
        <v>0</v>
      </c>
    </row>
    <row r="354" spans="1:19">
      <c r="A354" s="99">
        <v>2026</v>
      </c>
      <c r="B354" s="100">
        <v>3</v>
      </c>
      <c r="C354" s="101">
        <v>46099</v>
      </c>
      <c r="D354" s="101" t="str">
        <f t="shared" si="60"/>
        <v>PPS00002146Таш.Обл_Шахло опа</v>
      </c>
      <c r="E354" s="99" t="s">
        <v>810</v>
      </c>
      <c r="F354" s="102" t="s">
        <v>489</v>
      </c>
      <c r="G354" s="102" t="s">
        <v>464</v>
      </c>
      <c r="H354" s="99" t="s">
        <v>255</v>
      </c>
      <c r="I354" s="102" t="s">
        <v>811</v>
      </c>
      <c r="J354" s="102" t="s">
        <v>466</v>
      </c>
      <c r="K354" s="103">
        <v>3</v>
      </c>
      <c r="L354" s="104">
        <v>120000</v>
      </c>
      <c r="M354" s="104">
        <v>360000</v>
      </c>
      <c r="N354" s="39">
        <f>+K354*35000</f>
        <v>105000</v>
      </c>
      <c r="O354" s="107">
        <f>+M354*$O$1</f>
        <v>64800</v>
      </c>
      <c r="P354" s="108">
        <f>+N354+O354</f>
        <v>169800</v>
      </c>
      <c r="Q354" s="39">
        <v>100</v>
      </c>
      <c r="R354" s="39">
        <f t="shared" si="61"/>
        <v>360000</v>
      </c>
      <c r="S354" s="42">
        <f t="shared" si="62"/>
        <v>0</v>
      </c>
    </row>
    <row r="355" spans="1:19">
      <c r="A355" s="99">
        <v>2026</v>
      </c>
      <c r="B355" s="100">
        <v>3</v>
      </c>
      <c r="C355" s="101">
        <v>46100</v>
      </c>
      <c r="D355" s="101" t="str">
        <f t="shared" si="60"/>
        <v>PPS00002178Бухоро_Рустам ака</v>
      </c>
      <c r="E355" s="99" t="s">
        <v>812</v>
      </c>
      <c r="F355" s="102" t="s">
        <v>258</v>
      </c>
      <c r="G355" s="102" t="s">
        <v>259</v>
      </c>
      <c r="H355" s="99" t="s">
        <v>255</v>
      </c>
      <c r="I355" s="102" t="s">
        <v>665</v>
      </c>
      <c r="J355" s="102" t="s">
        <v>21</v>
      </c>
      <c r="K355" s="103">
        <v>20</v>
      </c>
      <c r="L355" s="104">
        <v>40621</v>
      </c>
      <c r="M355" s="104">
        <v>812420</v>
      </c>
      <c r="N355" s="39">
        <f>+K355*15000</f>
        <v>300000</v>
      </c>
      <c r="O355" s="107">
        <f>+M355*$O$1</f>
        <v>146235.6</v>
      </c>
      <c r="P355" s="108">
        <f>+N355+O355</f>
        <v>446235.6</v>
      </c>
      <c r="Q355" s="39">
        <v>100</v>
      </c>
      <c r="R355" s="39">
        <f t="shared" si="61"/>
        <v>812420</v>
      </c>
      <c r="S355" s="42">
        <f t="shared" si="62"/>
        <v>0</v>
      </c>
    </row>
    <row r="356" spans="1:19">
      <c r="A356" s="99">
        <v>2026</v>
      </c>
      <c r="B356" s="100">
        <v>3</v>
      </c>
      <c r="C356" s="101">
        <v>46105</v>
      </c>
      <c r="D356" s="101" t="str">
        <f t="shared" si="60"/>
        <v>PPS00002205Кашкадарьё_Феруз ака</v>
      </c>
      <c r="E356" s="99" t="s">
        <v>813</v>
      </c>
      <c r="F356" s="102" t="s">
        <v>501</v>
      </c>
      <c r="G356" s="102" t="s">
        <v>502</v>
      </c>
      <c r="H356" s="99" t="s">
        <v>255</v>
      </c>
      <c r="I356" s="102" t="s">
        <v>508</v>
      </c>
      <c r="J356" s="102" t="s">
        <v>38</v>
      </c>
      <c r="K356" s="103">
        <v>40</v>
      </c>
      <c r="L356" s="104">
        <v>65000</v>
      </c>
      <c r="M356" s="104">
        <v>2600000</v>
      </c>
      <c r="N356" s="39">
        <f>+K356*20000</f>
        <v>800000</v>
      </c>
      <c r="O356" s="107">
        <f>+M356*$O$1</f>
        <v>468000</v>
      </c>
      <c r="P356" s="108">
        <f>+N356+O356</f>
        <v>1268000</v>
      </c>
      <c r="Q356" s="39">
        <v>100</v>
      </c>
      <c r="R356" s="39">
        <f t="shared" si="61"/>
        <v>2600000</v>
      </c>
      <c r="S356" s="42">
        <f t="shared" si="62"/>
        <v>0</v>
      </c>
    </row>
    <row r="357" spans="1:19">
      <c r="A357" s="99">
        <v>2026</v>
      </c>
      <c r="B357" s="100">
        <v>3</v>
      </c>
      <c r="C357" s="101">
        <v>46105</v>
      </c>
      <c r="D357" s="101" t="str">
        <f t="shared" si="60"/>
        <v>PPS00002209Жиззах_Саодат опа</v>
      </c>
      <c r="E357" s="99" t="s">
        <v>814</v>
      </c>
      <c r="F357" s="102" t="s">
        <v>496</v>
      </c>
      <c r="G357" s="102" t="s">
        <v>337</v>
      </c>
      <c r="H357" s="99" t="s">
        <v>255</v>
      </c>
      <c r="I357" s="102" t="s">
        <v>815</v>
      </c>
      <c r="J357" s="102" t="s">
        <v>21</v>
      </c>
      <c r="K357" s="103">
        <v>10</v>
      </c>
      <c r="L357" s="104">
        <v>40621</v>
      </c>
      <c r="M357" s="104">
        <v>406210</v>
      </c>
      <c r="N357" s="39">
        <f>+K357*15000</f>
        <v>150000</v>
      </c>
      <c r="O357" s="107">
        <f>+M357*$O$1</f>
        <v>73117.8</v>
      </c>
      <c r="P357" s="108">
        <f>+N357+O357</f>
        <v>223117.8</v>
      </c>
      <c r="Q357" s="39">
        <v>100</v>
      </c>
      <c r="R357" s="39">
        <f t="shared" si="61"/>
        <v>406210</v>
      </c>
      <c r="S357" s="42">
        <f t="shared" si="62"/>
        <v>0</v>
      </c>
    </row>
    <row r="358" spans="1:19">
      <c r="A358" s="99">
        <v>2026</v>
      </c>
      <c r="B358" s="100">
        <v>3</v>
      </c>
      <c r="C358" s="101">
        <v>46105</v>
      </c>
      <c r="D358" s="101" t="str">
        <f t="shared" si="60"/>
        <v>PPS00002216Бухоро_Мадина опа</v>
      </c>
      <c r="E358" s="99" t="s">
        <v>816</v>
      </c>
      <c r="F358" s="102" t="s">
        <v>759</v>
      </c>
      <c r="G358" s="102" t="s">
        <v>607</v>
      </c>
      <c r="H358" s="99" t="s">
        <v>255</v>
      </c>
      <c r="I358" s="102" t="s">
        <v>817</v>
      </c>
      <c r="J358" s="102" t="s">
        <v>46</v>
      </c>
      <c r="K358" s="103">
        <v>10</v>
      </c>
      <c r="L358" s="104">
        <v>64700</v>
      </c>
      <c r="M358" s="104">
        <v>647000</v>
      </c>
      <c r="N358" s="39">
        <f>20000*K358</f>
        <v>200000</v>
      </c>
      <c r="O358" s="107">
        <f>+M358*$O$1</f>
        <v>116460</v>
      </c>
      <c r="P358" s="108">
        <f>+N358+O358</f>
        <v>316460</v>
      </c>
      <c r="Q358" s="39">
        <v>36</v>
      </c>
      <c r="R358" s="39">
        <f t="shared" si="61"/>
        <v>232920</v>
      </c>
      <c r="S358" s="42">
        <f t="shared" si="62"/>
        <v>414080</v>
      </c>
    </row>
    <row r="359" spans="1:19">
      <c r="A359" s="99">
        <v>2026</v>
      </c>
      <c r="B359" s="100">
        <v>3</v>
      </c>
      <c r="C359" s="101">
        <v>46105</v>
      </c>
      <c r="D359" s="101" t="str">
        <f t="shared" si="60"/>
        <v>PPS00002219Кашкадарьё_Феруз ака</v>
      </c>
      <c r="E359" s="99" t="s">
        <v>818</v>
      </c>
      <c r="F359" s="102" t="s">
        <v>575</v>
      </c>
      <c r="G359" s="102" t="s">
        <v>502</v>
      </c>
      <c r="H359" s="99" t="s">
        <v>255</v>
      </c>
      <c r="I359" s="102" t="s">
        <v>819</v>
      </c>
      <c r="J359" s="102" t="s">
        <v>38</v>
      </c>
      <c r="K359" s="103">
        <v>30</v>
      </c>
      <c r="L359" s="104">
        <v>65000</v>
      </c>
      <c r="M359" s="104">
        <v>1950000</v>
      </c>
      <c r="N359" s="39">
        <f>+K359*20000</f>
        <v>600000</v>
      </c>
      <c r="O359" s="107">
        <f>+M359*$O$1</f>
        <v>351000</v>
      </c>
      <c r="P359" s="108">
        <f>+N359+O359</f>
        <v>951000</v>
      </c>
      <c r="Q359" s="39">
        <v>100</v>
      </c>
      <c r="R359" s="39">
        <f t="shared" si="61"/>
        <v>1950000</v>
      </c>
      <c r="S359" s="42">
        <f t="shared" si="62"/>
        <v>0</v>
      </c>
    </row>
    <row r="360" spans="1:19">
      <c r="A360" s="99">
        <v>2026</v>
      </c>
      <c r="B360" s="100">
        <v>3</v>
      </c>
      <c r="C360" s="101">
        <v>46105</v>
      </c>
      <c r="D360" s="101" t="str">
        <f t="shared" si="60"/>
        <v>PPS00002236Тошкент_Мохира опа</v>
      </c>
      <c r="E360" s="99" t="s">
        <v>820</v>
      </c>
      <c r="F360" s="102" t="s">
        <v>304</v>
      </c>
      <c r="G360" s="102" t="s">
        <v>305</v>
      </c>
      <c r="H360" s="99" t="s">
        <v>255</v>
      </c>
      <c r="I360" s="102" t="s">
        <v>382</v>
      </c>
      <c r="J360" s="102" t="s">
        <v>21</v>
      </c>
      <c r="K360" s="103">
        <v>10</v>
      </c>
      <c r="L360" s="104">
        <v>40621</v>
      </c>
      <c r="M360" s="104">
        <v>406210</v>
      </c>
      <c r="N360" s="39">
        <f>+K360*15000</f>
        <v>150000</v>
      </c>
      <c r="O360" s="107">
        <f>+M360*$O$1</f>
        <v>73117.8</v>
      </c>
      <c r="P360" s="108">
        <f>+N360+O360</f>
        <v>223117.8</v>
      </c>
      <c r="Q360" s="39">
        <v>100</v>
      </c>
      <c r="R360" s="39">
        <f t="shared" si="61"/>
        <v>406210</v>
      </c>
      <c r="S360" s="42">
        <f t="shared" si="62"/>
        <v>0</v>
      </c>
    </row>
    <row r="361" spans="1:19">
      <c r="A361" s="99">
        <v>2026</v>
      </c>
      <c r="B361" s="100">
        <v>3</v>
      </c>
      <c r="C361" s="101">
        <v>46106</v>
      </c>
      <c r="D361" s="101" t="str">
        <f t="shared" si="60"/>
        <v>PPS00002256Тошкент_Зилола опа</v>
      </c>
      <c r="E361" s="99" t="s">
        <v>821</v>
      </c>
      <c r="F361" s="102" t="s">
        <v>673</v>
      </c>
      <c r="G361" s="102" t="s">
        <v>674</v>
      </c>
      <c r="H361" s="99" t="s">
        <v>255</v>
      </c>
      <c r="I361" s="102" t="s">
        <v>822</v>
      </c>
      <c r="J361" s="102" t="s">
        <v>466</v>
      </c>
      <c r="K361" s="103">
        <v>20</v>
      </c>
      <c r="L361" s="104">
        <v>120000</v>
      </c>
      <c r="M361" s="104">
        <v>2400000</v>
      </c>
      <c r="N361" s="39">
        <f t="shared" ref="N361:N363" si="71">+K361*35000</f>
        <v>700000</v>
      </c>
      <c r="O361" s="107">
        <f>+M361*$O$1</f>
        <v>432000</v>
      </c>
      <c r="P361" s="108">
        <f>+N361+O361</f>
        <v>1132000</v>
      </c>
      <c r="Q361" s="39">
        <v>100</v>
      </c>
      <c r="R361" s="39">
        <f t="shared" si="61"/>
        <v>2400000</v>
      </c>
      <c r="S361" s="42">
        <f t="shared" si="62"/>
        <v>0</v>
      </c>
    </row>
    <row r="362" spans="1:19">
      <c r="A362" s="99">
        <v>2026</v>
      </c>
      <c r="B362" s="100">
        <v>3</v>
      </c>
      <c r="C362" s="101">
        <v>46106</v>
      </c>
      <c r="D362" s="101" t="str">
        <f t="shared" si="60"/>
        <v>PPS00002263Тошкент_Зилола опа</v>
      </c>
      <c r="E362" s="99" t="s">
        <v>823</v>
      </c>
      <c r="F362" s="102" t="s">
        <v>673</v>
      </c>
      <c r="G362" s="102" t="s">
        <v>674</v>
      </c>
      <c r="H362" s="99" t="s">
        <v>255</v>
      </c>
      <c r="I362" s="102" t="s">
        <v>684</v>
      </c>
      <c r="J362" s="102" t="s">
        <v>466</v>
      </c>
      <c r="K362" s="103">
        <v>40</v>
      </c>
      <c r="L362" s="104">
        <v>120000</v>
      </c>
      <c r="M362" s="104">
        <v>4800000</v>
      </c>
      <c r="N362" s="39">
        <f t="shared" si="71"/>
        <v>1400000</v>
      </c>
      <c r="O362" s="107">
        <f>+M362*$O$1</f>
        <v>864000</v>
      </c>
      <c r="P362" s="108">
        <f>+N362+O362</f>
        <v>2264000</v>
      </c>
      <c r="Q362" s="39">
        <v>100</v>
      </c>
      <c r="R362" s="39">
        <f t="shared" si="61"/>
        <v>4800000</v>
      </c>
      <c r="S362" s="42">
        <f t="shared" si="62"/>
        <v>0</v>
      </c>
    </row>
    <row r="363" spans="1:19">
      <c r="A363" s="99">
        <v>2026</v>
      </c>
      <c r="B363" s="100">
        <v>3</v>
      </c>
      <c r="C363" s="101">
        <v>46106</v>
      </c>
      <c r="D363" s="101" t="str">
        <f t="shared" si="60"/>
        <v>PPS00002266Таш.Обл_Шахло опа</v>
      </c>
      <c r="E363" s="99" t="s">
        <v>824</v>
      </c>
      <c r="F363" s="102" t="s">
        <v>677</v>
      </c>
      <c r="G363" s="102" t="s">
        <v>464</v>
      </c>
      <c r="H363" s="99" t="s">
        <v>255</v>
      </c>
      <c r="I363" s="102" t="s">
        <v>825</v>
      </c>
      <c r="J363" s="102" t="s">
        <v>466</v>
      </c>
      <c r="K363" s="103">
        <v>10</v>
      </c>
      <c r="L363" s="104">
        <v>120000</v>
      </c>
      <c r="M363" s="104">
        <v>1200000</v>
      </c>
      <c r="N363" s="39">
        <f t="shared" si="71"/>
        <v>350000</v>
      </c>
      <c r="O363" s="107">
        <f>+M363*$O$1</f>
        <v>216000</v>
      </c>
      <c r="P363" s="108">
        <f>+N363+O363</f>
        <v>566000</v>
      </c>
      <c r="Q363" s="39">
        <v>100</v>
      </c>
      <c r="R363" s="39">
        <f t="shared" si="61"/>
        <v>1200000</v>
      </c>
      <c r="S363" s="42">
        <f t="shared" si="62"/>
        <v>0</v>
      </c>
    </row>
    <row r="364" spans="1:19">
      <c r="A364" s="99">
        <v>2026</v>
      </c>
      <c r="B364" s="100">
        <v>3</v>
      </c>
      <c r="C364" s="101">
        <v>46106</v>
      </c>
      <c r="D364" s="101" t="str">
        <f t="shared" si="60"/>
        <v>PPS00002269Бухоро_Рустам ака</v>
      </c>
      <c r="E364" s="99" t="s">
        <v>826</v>
      </c>
      <c r="F364" s="102" t="s">
        <v>258</v>
      </c>
      <c r="G364" s="102" t="s">
        <v>259</v>
      </c>
      <c r="H364" s="99" t="s">
        <v>255</v>
      </c>
      <c r="I364" s="102" t="s">
        <v>296</v>
      </c>
      <c r="J364" s="102" t="s">
        <v>21</v>
      </c>
      <c r="K364" s="103">
        <v>50</v>
      </c>
      <c r="L364" s="104">
        <v>40621</v>
      </c>
      <c r="M364" s="104">
        <v>2031050</v>
      </c>
      <c r="N364" s="39">
        <f t="shared" ref="N364:N369" si="72">+K364*15000</f>
        <v>750000</v>
      </c>
      <c r="O364" s="107">
        <f>+M364*$O$1</f>
        <v>365589</v>
      </c>
      <c r="P364" s="108">
        <f>+N364+O364</f>
        <v>1115589</v>
      </c>
      <c r="Q364" s="39">
        <v>100</v>
      </c>
      <c r="R364" s="39">
        <f t="shared" si="61"/>
        <v>2031050</v>
      </c>
      <c r="S364" s="42">
        <f t="shared" si="62"/>
        <v>0</v>
      </c>
    </row>
    <row r="365" spans="1:19">
      <c r="A365" s="99">
        <v>2026</v>
      </c>
      <c r="B365" s="100">
        <v>3</v>
      </c>
      <c r="C365" s="101">
        <v>46106</v>
      </c>
      <c r="D365" s="101" t="str">
        <f t="shared" si="60"/>
        <v>PPS00002292Тошкент_Мохира опа</v>
      </c>
      <c r="E365" s="99" t="s">
        <v>827</v>
      </c>
      <c r="F365" s="102" t="s">
        <v>414</v>
      </c>
      <c r="G365" s="102" t="s">
        <v>305</v>
      </c>
      <c r="H365" s="99" t="s">
        <v>255</v>
      </c>
      <c r="I365" s="102" t="s">
        <v>456</v>
      </c>
      <c r="J365" s="102" t="s">
        <v>21</v>
      </c>
      <c r="K365" s="103">
        <v>17</v>
      </c>
      <c r="L365" s="104">
        <v>40621</v>
      </c>
      <c r="M365" s="104">
        <v>690557</v>
      </c>
      <c r="N365" s="39">
        <f t="shared" si="72"/>
        <v>255000</v>
      </c>
      <c r="O365" s="107">
        <f>+M365*$O$1</f>
        <v>124300.26</v>
      </c>
      <c r="P365" s="108">
        <f>+N365+O365</f>
        <v>379300.26</v>
      </c>
      <c r="Q365" s="39">
        <v>100</v>
      </c>
      <c r="R365" s="39">
        <f t="shared" si="61"/>
        <v>690557</v>
      </c>
      <c r="S365" s="42">
        <f t="shared" si="62"/>
        <v>0</v>
      </c>
    </row>
    <row r="366" spans="1:19">
      <c r="A366" s="99">
        <v>2026</v>
      </c>
      <c r="B366" s="100">
        <v>3</v>
      </c>
      <c r="C366" s="101">
        <v>46107</v>
      </c>
      <c r="D366" s="101" t="str">
        <f t="shared" si="60"/>
        <v>PPS00002307Жиззах_Саодат опа</v>
      </c>
      <c r="E366" s="99" t="s">
        <v>828</v>
      </c>
      <c r="F366" s="102" t="s">
        <v>336</v>
      </c>
      <c r="G366" s="102" t="s">
        <v>337</v>
      </c>
      <c r="H366" s="99" t="s">
        <v>255</v>
      </c>
      <c r="I366" s="102" t="s">
        <v>445</v>
      </c>
      <c r="J366" s="102" t="s">
        <v>21</v>
      </c>
      <c r="K366" s="103">
        <v>20</v>
      </c>
      <c r="L366" s="104">
        <v>40621</v>
      </c>
      <c r="M366" s="104">
        <v>812420</v>
      </c>
      <c r="N366" s="39">
        <f t="shared" si="72"/>
        <v>300000</v>
      </c>
      <c r="O366" s="107">
        <f>+M366*$O$1</f>
        <v>146235.6</v>
      </c>
      <c r="P366" s="108">
        <f>+N366+O366</f>
        <v>446235.6</v>
      </c>
      <c r="Q366" s="39">
        <v>100</v>
      </c>
      <c r="R366" s="39">
        <f t="shared" si="61"/>
        <v>812420</v>
      </c>
      <c r="S366" s="42">
        <f t="shared" si="62"/>
        <v>0</v>
      </c>
    </row>
    <row r="367" spans="1:19">
      <c r="A367" s="99">
        <v>2026</v>
      </c>
      <c r="B367" s="100">
        <v>3</v>
      </c>
      <c r="C367" s="101">
        <v>46107</v>
      </c>
      <c r="D367" s="101" t="str">
        <f t="shared" si="60"/>
        <v>PPS00002334Жиззах_Саодат опа</v>
      </c>
      <c r="E367" s="99" t="s">
        <v>829</v>
      </c>
      <c r="F367" s="102" t="s">
        <v>336</v>
      </c>
      <c r="G367" s="102" t="s">
        <v>337</v>
      </c>
      <c r="H367" s="99" t="s">
        <v>255</v>
      </c>
      <c r="I367" s="102" t="s">
        <v>346</v>
      </c>
      <c r="J367" s="102" t="s">
        <v>21</v>
      </c>
      <c r="K367" s="103">
        <v>14</v>
      </c>
      <c r="L367" s="104">
        <v>40621</v>
      </c>
      <c r="M367" s="104">
        <v>568694</v>
      </c>
      <c r="N367" s="39">
        <f t="shared" si="72"/>
        <v>210000</v>
      </c>
      <c r="O367" s="107">
        <f>+M367*$O$1</f>
        <v>102364.92</v>
      </c>
      <c r="P367" s="108">
        <f>+N367+O367</f>
        <v>312364.92</v>
      </c>
      <c r="Q367" s="39">
        <v>100</v>
      </c>
      <c r="R367" s="39">
        <f t="shared" si="61"/>
        <v>568694</v>
      </c>
      <c r="S367" s="42">
        <f t="shared" si="62"/>
        <v>0</v>
      </c>
    </row>
    <row r="368" spans="1:19">
      <c r="A368" s="99">
        <v>2026</v>
      </c>
      <c r="B368" s="100">
        <v>3</v>
      </c>
      <c r="C368" s="101">
        <v>46107</v>
      </c>
      <c r="D368" s="101" t="str">
        <f t="shared" si="60"/>
        <v>PPS00002334Жиззах_Саодат опа</v>
      </c>
      <c r="E368" s="99" t="s">
        <v>829</v>
      </c>
      <c r="F368" s="102" t="s">
        <v>336</v>
      </c>
      <c r="G368" s="102" t="s">
        <v>337</v>
      </c>
      <c r="H368" s="99" t="s">
        <v>255</v>
      </c>
      <c r="I368" s="102" t="s">
        <v>346</v>
      </c>
      <c r="J368" s="102" t="s">
        <v>21</v>
      </c>
      <c r="K368" s="103">
        <v>16</v>
      </c>
      <c r="L368" s="104">
        <v>40621</v>
      </c>
      <c r="M368" s="104">
        <v>649936</v>
      </c>
      <c r="N368" s="39">
        <f t="shared" si="72"/>
        <v>240000</v>
      </c>
      <c r="O368" s="107">
        <f>+M368*$O$1</f>
        <v>116988.48</v>
      </c>
      <c r="P368" s="108">
        <f>+N368+O368</f>
        <v>356988.48</v>
      </c>
      <c r="Q368" s="39">
        <v>100</v>
      </c>
      <c r="R368" s="39">
        <f t="shared" si="61"/>
        <v>649936</v>
      </c>
      <c r="S368" s="42">
        <f t="shared" si="62"/>
        <v>0</v>
      </c>
    </row>
    <row r="369" spans="1:19">
      <c r="A369" s="99">
        <v>2026</v>
      </c>
      <c r="B369" s="100">
        <v>3</v>
      </c>
      <c r="C369" s="101">
        <v>46107</v>
      </c>
      <c r="D369" s="101" t="str">
        <f t="shared" si="60"/>
        <v>PPS00002346Навоий_Дильноза опа</v>
      </c>
      <c r="E369" s="99" t="s">
        <v>830</v>
      </c>
      <c r="F369" s="102" t="s">
        <v>332</v>
      </c>
      <c r="G369" s="102" t="s">
        <v>333</v>
      </c>
      <c r="H369" s="99" t="s">
        <v>255</v>
      </c>
      <c r="I369" s="102" t="s">
        <v>62</v>
      </c>
      <c r="J369" s="102" t="s">
        <v>21</v>
      </c>
      <c r="K369" s="103">
        <v>10</v>
      </c>
      <c r="L369" s="104">
        <v>40621</v>
      </c>
      <c r="M369" s="104">
        <v>406210</v>
      </c>
      <c r="N369" s="39">
        <f t="shared" si="72"/>
        <v>150000</v>
      </c>
      <c r="O369" s="107">
        <f>+M369*$O$1</f>
        <v>73117.8</v>
      </c>
      <c r="P369" s="108">
        <f>+N369+O369</f>
        <v>223117.8</v>
      </c>
      <c r="Q369" s="39">
        <v>100</v>
      </c>
      <c r="R369" s="39">
        <f t="shared" si="61"/>
        <v>406210</v>
      </c>
      <c r="S369" s="42">
        <f t="shared" si="62"/>
        <v>0</v>
      </c>
    </row>
    <row r="370" spans="1:19">
      <c r="A370" s="99">
        <v>2026</v>
      </c>
      <c r="B370" s="100">
        <v>3</v>
      </c>
      <c r="C370" s="101">
        <v>46107</v>
      </c>
      <c r="D370" s="101" t="str">
        <f t="shared" si="60"/>
        <v>PPS00002352Бухоро_Мадина опа</v>
      </c>
      <c r="E370" s="99" t="s">
        <v>831</v>
      </c>
      <c r="F370" s="102" t="s">
        <v>710</v>
      </c>
      <c r="G370" s="102" t="s">
        <v>607</v>
      </c>
      <c r="H370" s="99" t="s">
        <v>255</v>
      </c>
      <c r="I370" s="102" t="s">
        <v>665</v>
      </c>
      <c r="J370" s="102" t="s">
        <v>466</v>
      </c>
      <c r="K370" s="103">
        <v>20</v>
      </c>
      <c r="L370" s="104">
        <v>120000</v>
      </c>
      <c r="M370" s="104">
        <v>2400000</v>
      </c>
      <c r="N370" s="39">
        <f t="shared" ref="N370:N371" si="73">+K370*35000</f>
        <v>700000</v>
      </c>
      <c r="O370" s="107">
        <f>+M370*$O$1</f>
        <v>432000</v>
      </c>
      <c r="P370" s="108">
        <f>+N370+O370</f>
        <v>1132000</v>
      </c>
      <c r="Q370" s="39">
        <v>100</v>
      </c>
      <c r="R370" s="39">
        <f t="shared" si="61"/>
        <v>2400000</v>
      </c>
      <c r="S370" s="42">
        <f t="shared" si="62"/>
        <v>0</v>
      </c>
    </row>
    <row r="371" spans="1:19">
      <c r="A371" s="99">
        <v>2026</v>
      </c>
      <c r="B371" s="100">
        <v>3</v>
      </c>
      <c r="C371" s="101">
        <v>46108</v>
      </c>
      <c r="D371" s="101" t="str">
        <f t="shared" si="60"/>
        <v>PPS00002390Таш.Обл_Шахло опа</v>
      </c>
      <c r="E371" s="99" t="s">
        <v>832</v>
      </c>
      <c r="F371" s="102" t="s">
        <v>489</v>
      </c>
      <c r="G371" s="102" t="s">
        <v>464</v>
      </c>
      <c r="H371" s="99" t="s">
        <v>255</v>
      </c>
      <c r="I371" s="102" t="s">
        <v>811</v>
      </c>
      <c r="J371" s="102" t="s">
        <v>466</v>
      </c>
      <c r="K371" s="103">
        <v>5</v>
      </c>
      <c r="L371" s="104">
        <v>120000</v>
      </c>
      <c r="M371" s="104">
        <v>600000</v>
      </c>
      <c r="N371" s="39">
        <f t="shared" si="73"/>
        <v>175000</v>
      </c>
      <c r="O371" s="107">
        <f>+M371*$O$1</f>
        <v>108000</v>
      </c>
      <c r="P371" s="108">
        <f>+N371+O371</f>
        <v>283000</v>
      </c>
      <c r="Q371" s="39">
        <v>100</v>
      </c>
      <c r="R371" s="39">
        <f t="shared" si="61"/>
        <v>600000</v>
      </c>
      <c r="S371" s="42">
        <f t="shared" si="62"/>
        <v>0</v>
      </c>
    </row>
    <row r="372" spans="1:19">
      <c r="A372" s="99">
        <v>2026</v>
      </c>
      <c r="B372" s="100">
        <v>3</v>
      </c>
      <c r="C372" s="101">
        <v>46108</v>
      </c>
      <c r="D372" s="101" t="str">
        <f t="shared" si="60"/>
        <v>PPS00002394Тошкент_Мохира опа</v>
      </c>
      <c r="E372" s="99" t="s">
        <v>833</v>
      </c>
      <c r="F372" s="102" t="s">
        <v>556</v>
      </c>
      <c r="G372" s="102" t="s">
        <v>305</v>
      </c>
      <c r="H372" s="99" t="s">
        <v>255</v>
      </c>
      <c r="I372" s="102" t="s">
        <v>834</v>
      </c>
      <c r="J372" s="102" t="s">
        <v>21</v>
      </c>
      <c r="K372" s="103">
        <v>30</v>
      </c>
      <c r="L372" s="104">
        <v>40621</v>
      </c>
      <c r="M372" s="104">
        <v>1218630</v>
      </c>
      <c r="N372" s="39">
        <f>+K372*15000</f>
        <v>450000</v>
      </c>
      <c r="O372" s="107">
        <f>+M372*$O$1</f>
        <v>219353.4</v>
      </c>
      <c r="P372" s="108">
        <f>+N372+O372</f>
        <v>669353.4</v>
      </c>
      <c r="Q372" s="39">
        <v>100</v>
      </c>
      <c r="R372" s="39">
        <f t="shared" si="61"/>
        <v>1218630</v>
      </c>
      <c r="S372" s="42">
        <f t="shared" si="62"/>
        <v>0</v>
      </c>
    </row>
    <row r="373" spans="1:19">
      <c r="A373" s="99">
        <v>2026</v>
      </c>
      <c r="B373" s="100">
        <v>3</v>
      </c>
      <c r="C373" s="101">
        <v>46108</v>
      </c>
      <c r="D373" s="101" t="str">
        <f t="shared" si="60"/>
        <v>PPS00002397Таш.Обл_Шахло опа</v>
      </c>
      <c r="E373" s="99" t="s">
        <v>835</v>
      </c>
      <c r="F373" s="102" t="s">
        <v>489</v>
      </c>
      <c r="G373" s="102" t="s">
        <v>464</v>
      </c>
      <c r="H373" s="99" t="s">
        <v>255</v>
      </c>
      <c r="I373" s="102" t="s">
        <v>529</v>
      </c>
      <c r="J373" s="102" t="s">
        <v>466</v>
      </c>
      <c r="K373" s="103">
        <v>20</v>
      </c>
      <c r="L373" s="104">
        <v>120000</v>
      </c>
      <c r="M373" s="104">
        <v>2400000</v>
      </c>
      <c r="N373" s="39">
        <f t="shared" ref="N373:N374" si="74">+K373*35000</f>
        <v>700000</v>
      </c>
      <c r="O373" s="107">
        <f>+M373*$O$1</f>
        <v>432000</v>
      </c>
      <c r="P373" s="108">
        <f>+N373+O373</f>
        <v>1132000</v>
      </c>
      <c r="Q373" s="39">
        <v>100</v>
      </c>
      <c r="R373" s="39">
        <f t="shared" si="61"/>
        <v>2400000</v>
      </c>
      <c r="S373" s="42">
        <f t="shared" si="62"/>
        <v>0</v>
      </c>
    </row>
    <row r="374" spans="1:19">
      <c r="A374" s="99">
        <v>2026</v>
      </c>
      <c r="B374" s="100">
        <v>3</v>
      </c>
      <c r="C374" s="101">
        <v>46111</v>
      </c>
      <c r="D374" s="101" t="str">
        <f t="shared" si="60"/>
        <v>PPS00002402Тошкент_Зилола опа</v>
      </c>
      <c r="E374" s="99" t="s">
        <v>836</v>
      </c>
      <c r="F374" s="102" t="s">
        <v>673</v>
      </c>
      <c r="G374" s="102" t="s">
        <v>674</v>
      </c>
      <c r="H374" s="99" t="s">
        <v>255</v>
      </c>
      <c r="I374" s="102" t="s">
        <v>49</v>
      </c>
      <c r="J374" s="102" t="s">
        <v>466</v>
      </c>
      <c r="K374" s="103">
        <v>20</v>
      </c>
      <c r="L374" s="104">
        <v>120000</v>
      </c>
      <c r="M374" s="104">
        <v>2400000</v>
      </c>
      <c r="N374" s="39">
        <f t="shared" si="74"/>
        <v>700000</v>
      </c>
      <c r="O374" s="107">
        <f>+M374*$O$1</f>
        <v>432000</v>
      </c>
      <c r="P374" s="108">
        <f>+N374+O374</f>
        <v>1132000</v>
      </c>
      <c r="Q374" s="39">
        <v>49</v>
      </c>
      <c r="R374" s="39">
        <f t="shared" si="61"/>
        <v>1176000</v>
      </c>
      <c r="S374" s="42">
        <f t="shared" si="62"/>
        <v>1224000</v>
      </c>
    </row>
    <row r="375" spans="1:19">
      <c r="A375" s="99">
        <v>2026</v>
      </c>
      <c r="B375" s="100">
        <v>3</v>
      </c>
      <c r="C375" s="101">
        <v>46111</v>
      </c>
      <c r="D375" s="101" t="str">
        <f t="shared" si="60"/>
        <v>PPS00002404Жиззах_Саодат опа</v>
      </c>
      <c r="E375" s="99" t="s">
        <v>837</v>
      </c>
      <c r="F375" s="102" t="s">
        <v>496</v>
      </c>
      <c r="G375" s="102" t="s">
        <v>337</v>
      </c>
      <c r="H375" s="99" t="s">
        <v>255</v>
      </c>
      <c r="I375" s="102" t="s">
        <v>538</v>
      </c>
      <c r="J375" s="102" t="s">
        <v>21</v>
      </c>
      <c r="K375" s="103">
        <v>60</v>
      </c>
      <c r="L375" s="104">
        <v>40621</v>
      </c>
      <c r="M375" s="104">
        <v>2437260</v>
      </c>
      <c r="N375" s="39">
        <f t="shared" ref="N375:N376" si="75">+K375*15000</f>
        <v>900000</v>
      </c>
      <c r="O375" s="107">
        <f>+M375*$O$1</f>
        <v>438706.8</v>
      </c>
      <c r="P375" s="108">
        <f>+N375+O375</f>
        <v>1338706.8</v>
      </c>
      <c r="Q375" s="39">
        <v>100</v>
      </c>
      <c r="R375" s="39">
        <f t="shared" si="61"/>
        <v>2437260</v>
      </c>
      <c r="S375" s="42">
        <f t="shared" si="62"/>
        <v>0</v>
      </c>
    </row>
    <row r="376" spans="1:19">
      <c r="A376" s="99">
        <v>2026</v>
      </c>
      <c r="B376" s="100">
        <v>3</v>
      </c>
      <c r="C376" s="101">
        <v>46111</v>
      </c>
      <c r="D376" s="101" t="str">
        <f t="shared" si="60"/>
        <v>PPS00002426Навоий_Дильноза опа</v>
      </c>
      <c r="E376" s="99" t="s">
        <v>838</v>
      </c>
      <c r="F376" s="102" t="s">
        <v>332</v>
      </c>
      <c r="G376" s="102" t="s">
        <v>333</v>
      </c>
      <c r="H376" s="99" t="s">
        <v>255</v>
      </c>
      <c r="I376" s="102" t="s">
        <v>573</v>
      </c>
      <c r="J376" s="102" t="s">
        <v>21</v>
      </c>
      <c r="K376" s="103">
        <v>100</v>
      </c>
      <c r="L376" s="104">
        <v>40621</v>
      </c>
      <c r="M376" s="104">
        <v>4062100</v>
      </c>
      <c r="N376" s="39">
        <f t="shared" si="75"/>
        <v>1500000</v>
      </c>
      <c r="O376" s="107">
        <f>+M376*$O$1</f>
        <v>731178</v>
      </c>
      <c r="P376" s="108">
        <f>+N376+O376</f>
        <v>2231178</v>
      </c>
      <c r="Q376" s="39">
        <v>79</v>
      </c>
      <c r="R376" s="39">
        <f t="shared" si="61"/>
        <v>3209059</v>
      </c>
      <c r="S376" s="42">
        <f t="shared" si="62"/>
        <v>853041</v>
      </c>
    </row>
    <row r="377" spans="1:19">
      <c r="A377" s="99">
        <v>2026</v>
      </c>
      <c r="B377" s="100">
        <v>3</v>
      </c>
      <c r="C377" s="101">
        <v>46111</v>
      </c>
      <c r="D377" s="101" t="str">
        <f t="shared" si="60"/>
        <v>PPS00002443Тошкент_Зилола опа</v>
      </c>
      <c r="E377" s="99" t="s">
        <v>839</v>
      </c>
      <c r="F377" s="102" t="s">
        <v>673</v>
      </c>
      <c r="G377" s="102" t="s">
        <v>674</v>
      </c>
      <c r="H377" s="99" t="s">
        <v>255</v>
      </c>
      <c r="I377" s="102" t="s">
        <v>312</v>
      </c>
      <c r="J377" s="102" t="s">
        <v>466</v>
      </c>
      <c r="K377" s="103">
        <v>30</v>
      </c>
      <c r="L377" s="104">
        <v>120000</v>
      </c>
      <c r="M377" s="104">
        <v>3600000</v>
      </c>
      <c r="N377" s="39">
        <f t="shared" ref="N377:N379" si="76">+K377*35000</f>
        <v>1050000</v>
      </c>
      <c r="O377" s="107">
        <f>+M377*$O$1</f>
        <v>648000</v>
      </c>
      <c r="P377" s="108">
        <f>+N377+O377</f>
        <v>1698000</v>
      </c>
      <c r="Q377" s="39">
        <v>100</v>
      </c>
      <c r="R377" s="39">
        <f t="shared" si="61"/>
        <v>3600000</v>
      </c>
      <c r="S377" s="42">
        <f t="shared" si="62"/>
        <v>0</v>
      </c>
    </row>
    <row r="378" spans="1:19">
      <c r="A378" s="99">
        <v>2026</v>
      </c>
      <c r="B378" s="100">
        <v>3</v>
      </c>
      <c r="C378" s="101">
        <v>46111</v>
      </c>
      <c r="D378" s="101" t="str">
        <f t="shared" si="60"/>
        <v>PPS00002464Таш.Обл_Шахло опа</v>
      </c>
      <c r="E378" s="99" t="s">
        <v>840</v>
      </c>
      <c r="F378" s="102" t="s">
        <v>463</v>
      </c>
      <c r="G378" s="102" t="s">
        <v>464</v>
      </c>
      <c r="H378" s="99" t="s">
        <v>255</v>
      </c>
      <c r="I378" s="102" t="s">
        <v>465</v>
      </c>
      <c r="J378" s="102" t="s">
        <v>466</v>
      </c>
      <c r="K378" s="103">
        <v>33</v>
      </c>
      <c r="L378" s="104">
        <v>120000</v>
      </c>
      <c r="M378" s="104">
        <v>3960000</v>
      </c>
      <c r="N378" s="39">
        <f t="shared" si="76"/>
        <v>1155000</v>
      </c>
      <c r="O378" s="107">
        <f>+M378*$O$1</f>
        <v>712800</v>
      </c>
      <c r="P378" s="108">
        <f>+N378+O378</f>
        <v>1867800</v>
      </c>
      <c r="Q378" s="39">
        <v>100</v>
      </c>
      <c r="R378" s="39">
        <f t="shared" si="61"/>
        <v>3960000</v>
      </c>
      <c r="S378" s="42">
        <f t="shared" si="62"/>
        <v>0</v>
      </c>
    </row>
    <row r="379" spans="1:19">
      <c r="A379" s="99">
        <v>2026</v>
      </c>
      <c r="B379" s="100">
        <v>3</v>
      </c>
      <c r="C379" s="101">
        <v>46111</v>
      </c>
      <c r="D379" s="101" t="str">
        <f t="shared" si="60"/>
        <v>PPS00002464Таш.Обл_Шахло опа</v>
      </c>
      <c r="E379" s="99" t="s">
        <v>840</v>
      </c>
      <c r="F379" s="102" t="s">
        <v>463</v>
      </c>
      <c r="G379" s="102" t="s">
        <v>464</v>
      </c>
      <c r="H379" s="99" t="s">
        <v>255</v>
      </c>
      <c r="I379" s="102" t="s">
        <v>465</v>
      </c>
      <c r="J379" s="102" t="s">
        <v>466</v>
      </c>
      <c r="K379" s="103">
        <v>7</v>
      </c>
      <c r="L379" s="104">
        <v>120000</v>
      </c>
      <c r="M379" s="104">
        <v>840000</v>
      </c>
      <c r="N379" s="39">
        <f t="shared" si="76"/>
        <v>245000</v>
      </c>
      <c r="O379" s="107">
        <f>+M379*$O$1</f>
        <v>151200</v>
      </c>
      <c r="P379" s="108">
        <f>+N379+O379</f>
        <v>396200</v>
      </c>
      <c r="Q379" s="39">
        <v>100</v>
      </c>
      <c r="R379" s="39">
        <f t="shared" si="61"/>
        <v>840000</v>
      </c>
      <c r="S379" s="42">
        <f t="shared" si="62"/>
        <v>0</v>
      </c>
    </row>
    <row r="380" spans="1:19">
      <c r="A380" s="99">
        <v>2026</v>
      </c>
      <c r="B380" s="100">
        <v>3</v>
      </c>
      <c r="C380" s="101">
        <v>46112</v>
      </c>
      <c r="D380" s="101" t="str">
        <f t="shared" si="60"/>
        <v>PPS00002467Тошкент_Мохира опа</v>
      </c>
      <c r="E380" s="99" t="s">
        <v>841</v>
      </c>
      <c r="F380" s="102" t="s">
        <v>414</v>
      </c>
      <c r="G380" s="102" t="s">
        <v>305</v>
      </c>
      <c r="H380" s="99" t="s">
        <v>255</v>
      </c>
      <c r="I380" s="102" t="s">
        <v>60</v>
      </c>
      <c r="J380" s="102" t="s">
        <v>21</v>
      </c>
      <c r="K380" s="103">
        <v>50</v>
      </c>
      <c r="L380" s="104">
        <v>40621</v>
      </c>
      <c r="M380" s="104">
        <v>2031050</v>
      </c>
      <c r="N380" s="39">
        <f t="shared" ref="N380:N382" si="77">+K380*15000</f>
        <v>750000</v>
      </c>
      <c r="O380" s="107">
        <f>+M380*$O$1</f>
        <v>365589</v>
      </c>
      <c r="P380" s="108">
        <f>+N380+O380</f>
        <v>1115589</v>
      </c>
      <c r="Q380" s="39">
        <v>34</v>
      </c>
      <c r="R380" s="39">
        <f t="shared" si="61"/>
        <v>690557</v>
      </c>
      <c r="S380" s="42">
        <f t="shared" si="62"/>
        <v>1340493</v>
      </c>
    </row>
    <row r="381" spans="1:19">
      <c r="A381" s="99">
        <v>2026</v>
      </c>
      <c r="B381" s="100">
        <v>3</v>
      </c>
      <c r="C381" s="101">
        <v>46112</v>
      </c>
      <c r="D381" s="101" t="str">
        <f t="shared" si="60"/>
        <v>PPS00002476Сурхондарьё_Сарвар ака</v>
      </c>
      <c r="E381" s="99" t="s">
        <v>842</v>
      </c>
      <c r="F381" s="102" t="s">
        <v>298</v>
      </c>
      <c r="G381" s="102" t="s">
        <v>253</v>
      </c>
      <c r="H381" s="99" t="s">
        <v>255</v>
      </c>
      <c r="I381" s="102" t="s">
        <v>322</v>
      </c>
      <c r="J381" s="102" t="s">
        <v>21</v>
      </c>
      <c r="K381" s="103">
        <v>116</v>
      </c>
      <c r="L381" s="104">
        <v>40621</v>
      </c>
      <c r="M381" s="104">
        <v>4712036</v>
      </c>
      <c r="N381" s="39">
        <f t="shared" si="77"/>
        <v>1740000</v>
      </c>
      <c r="O381" s="107">
        <f>+M381*$O$1</f>
        <v>848166.48</v>
      </c>
      <c r="P381" s="108">
        <f>+N381+O381</f>
        <v>2588166.48</v>
      </c>
      <c r="Q381" s="39">
        <v>49</v>
      </c>
      <c r="R381" s="39">
        <f t="shared" si="61"/>
        <v>2308897.64</v>
      </c>
      <c r="S381" s="42">
        <f t="shared" si="62"/>
        <v>2403138.36</v>
      </c>
    </row>
    <row r="382" spans="1:19">
      <c r="A382" s="99">
        <v>2026</v>
      </c>
      <c r="B382" s="100">
        <v>3</v>
      </c>
      <c r="C382" s="101">
        <v>46112</v>
      </c>
      <c r="D382" s="101" t="str">
        <f t="shared" si="60"/>
        <v>PPS00002476Сурхондарьё_Сарвар ака</v>
      </c>
      <c r="E382" s="99" t="s">
        <v>842</v>
      </c>
      <c r="F382" s="102" t="s">
        <v>298</v>
      </c>
      <c r="G382" s="102" t="s">
        <v>253</v>
      </c>
      <c r="H382" s="99" t="s">
        <v>255</v>
      </c>
      <c r="I382" s="102" t="s">
        <v>322</v>
      </c>
      <c r="J382" s="102" t="s">
        <v>21</v>
      </c>
      <c r="K382" s="103">
        <v>4</v>
      </c>
      <c r="L382" s="104">
        <v>40621</v>
      </c>
      <c r="M382" s="104">
        <v>162484</v>
      </c>
      <c r="N382" s="39">
        <f t="shared" si="77"/>
        <v>60000</v>
      </c>
      <c r="O382" s="107">
        <f>+M382*$O$1</f>
        <v>29247.119999999999</v>
      </c>
      <c r="P382" s="108">
        <f>+N382+O382</f>
        <v>89247.12</v>
      </c>
      <c r="Q382" s="39">
        <v>49</v>
      </c>
      <c r="R382" s="39">
        <f t="shared" si="61"/>
        <v>79617.16</v>
      </c>
      <c r="S382" s="42">
        <f t="shared" si="62"/>
        <v>82866.84</v>
      </c>
    </row>
    <row r="383" spans="1:19">
      <c r="A383" s="99">
        <v>2026</v>
      </c>
      <c r="B383" s="100">
        <v>3</v>
      </c>
      <c r="C383" s="101">
        <v>46112</v>
      </c>
      <c r="D383" s="101" t="str">
        <f t="shared" si="60"/>
        <v>PPS00002481Кашкадарьё_Феруз ака</v>
      </c>
      <c r="E383" s="99" t="s">
        <v>843</v>
      </c>
      <c r="F383" s="102" t="s">
        <v>575</v>
      </c>
      <c r="G383" s="102" t="s">
        <v>502</v>
      </c>
      <c r="H383" s="99" t="s">
        <v>255</v>
      </c>
      <c r="I383" s="102" t="s">
        <v>617</v>
      </c>
      <c r="J383" s="102" t="s">
        <v>38</v>
      </c>
      <c r="K383" s="103">
        <v>400</v>
      </c>
      <c r="L383" s="104">
        <v>65000</v>
      </c>
      <c r="M383" s="104">
        <v>26000000</v>
      </c>
      <c r="N383" s="39">
        <f>+K383*20000</f>
        <v>8000000</v>
      </c>
      <c r="O383" s="107">
        <f>+M383*$O$1</f>
        <v>4680000</v>
      </c>
      <c r="P383" s="108">
        <f>+N383+O383</f>
        <v>12680000</v>
      </c>
      <c r="Q383" s="39">
        <v>100</v>
      </c>
      <c r="R383" s="39">
        <f t="shared" si="61"/>
        <v>26000000</v>
      </c>
      <c r="S383" s="42">
        <f t="shared" si="62"/>
        <v>0</v>
      </c>
    </row>
    <row r="384" spans="1:19">
      <c r="A384" s="99">
        <v>2026</v>
      </c>
      <c r="B384" s="100">
        <v>3</v>
      </c>
      <c r="C384" s="101">
        <v>46112</v>
      </c>
      <c r="D384" s="101" t="str">
        <f t="shared" si="60"/>
        <v>PPS00002496Таш.Обл_Шахло опа</v>
      </c>
      <c r="E384" s="99" t="s">
        <v>257</v>
      </c>
      <c r="F384" s="102" t="s">
        <v>489</v>
      </c>
      <c r="G384" s="102" t="s">
        <v>464</v>
      </c>
      <c r="H384" s="99" t="s">
        <v>255</v>
      </c>
      <c r="I384" s="102" t="s">
        <v>529</v>
      </c>
      <c r="J384" s="102" t="s">
        <v>466</v>
      </c>
      <c r="K384" s="103">
        <v>30</v>
      </c>
      <c r="L384" s="104">
        <v>120000</v>
      </c>
      <c r="M384" s="104">
        <v>3600000</v>
      </c>
      <c r="N384" s="39">
        <f>+K384*35000</f>
        <v>1050000</v>
      </c>
      <c r="O384" s="107">
        <f>+M384*$O$1</f>
        <v>648000</v>
      </c>
      <c r="P384" s="108">
        <f>+N384+O384</f>
        <v>1698000</v>
      </c>
      <c r="Q384" s="39">
        <v>100</v>
      </c>
      <c r="R384" s="39">
        <f t="shared" si="61"/>
        <v>3600000</v>
      </c>
      <c r="S384" s="42">
        <f t="shared" si="62"/>
        <v>0</v>
      </c>
    </row>
    <row r="385" spans="1:19">
      <c r="A385" s="99">
        <v>2026</v>
      </c>
      <c r="B385" s="100">
        <v>4</v>
      </c>
      <c r="C385" s="101">
        <v>46113</v>
      </c>
      <c r="D385" s="101" t="str">
        <f t="shared" si="60"/>
        <v>PPS00002506Тошкент_Мохира опа</v>
      </c>
      <c r="E385" s="99" t="s">
        <v>844</v>
      </c>
      <c r="F385" s="102" t="s">
        <v>414</v>
      </c>
      <c r="G385" s="102" t="s">
        <v>305</v>
      </c>
      <c r="H385" s="99" t="s">
        <v>255</v>
      </c>
      <c r="I385" s="102" t="s">
        <v>422</v>
      </c>
      <c r="J385" s="102" t="s">
        <v>21</v>
      </c>
      <c r="K385" s="103">
        <v>50</v>
      </c>
      <c r="L385" s="104">
        <v>40621</v>
      </c>
      <c r="M385" s="104">
        <v>2031050</v>
      </c>
      <c r="N385" s="39">
        <f t="shared" ref="N385:N386" si="78">+K385*15000</f>
        <v>750000</v>
      </c>
      <c r="O385" s="107">
        <f>+M385*$O$1</f>
        <v>365589</v>
      </c>
      <c r="P385" s="108">
        <f>+N385+O385</f>
        <v>1115589</v>
      </c>
      <c r="Q385" s="39">
        <v>100</v>
      </c>
      <c r="R385" s="39">
        <f t="shared" si="61"/>
        <v>2031050</v>
      </c>
      <c r="S385" s="42">
        <f t="shared" si="62"/>
        <v>0</v>
      </c>
    </row>
    <row r="386" spans="1:19">
      <c r="A386" s="99">
        <v>2026</v>
      </c>
      <c r="B386" s="100">
        <v>4</v>
      </c>
      <c r="C386" s="101">
        <v>46114</v>
      </c>
      <c r="D386" s="101" t="str">
        <f t="shared" si="60"/>
        <v>PPS00002531Бухоро_Рустам ака</v>
      </c>
      <c r="E386" s="99" t="s">
        <v>845</v>
      </c>
      <c r="F386" s="102" t="s">
        <v>258</v>
      </c>
      <c r="G386" s="102" t="s">
        <v>259</v>
      </c>
      <c r="H386" s="99" t="s">
        <v>255</v>
      </c>
      <c r="I386" s="102" t="s">
        <v>368</v>
      </c>
      <c r="J386" s="102" t="s">
        <v>21</v>
      </c>
      <c r="K386" s="103">
        <v>120</v>
      </c>
      <c r="L386" s="104">
        <v>40621</v>
      </c>
      <c r="M386" s="104">
        <v>4874520</v>
      </c>
      <c r="N386" s="39">
        <f t="shared" si="78"/>
        <v>1800000</v>
      </c>
      <c r="O386" s="107">
        <f>+M386*$O$1</f>
        <v>877413.6</v>
      </c>
      <c r="P386" s="108">
        <f>+N386+O386</f>
        <v>2677413.6</v>
      </c>
      <c r="Q386" s="39">
        <v>67</v>
      </c>
      <c r="R386" s="39">
        <f t="shared" si="61"/>
        <v>3265928.4000000004</v>
      </c>
      <c r="S386" s="42">
        <f t="shared" si="62"/>
        <v>1608591.5999999996</v>
      </c>
    </row>
    <row r="387" spans="1:19">
      <c r="A387" s="99">
        <v>2026</v>
      </c>
      <c r="B387" s="100">
        <v>4</v>
      </c>
      <c r="C387" s="101">
        <v>46114</v>
      </c>
      <c r="D387" s="101" t="str">
        <f t="shared" si="60"/>
        <v>PPS00002543Тошкент_Зилола опа</v>
      </c>
      <c r="E387" s="99" t="s">
        <v>846</v>
      </c>
      <c r="F387" s="102" t="s">
        <v>673</v>
      </c>
      <c r="G387" s="102" t="s">
        <v>674</v>
      </c>
      <c r="H387" s="99" t="s">
        <v>255</v>
      </c>
      <c r="I387" s="102" t="s">
        <v>847</v>
      </c>
      <c r="J387" s="102" t="s">
        <v>466</v>
      </c>
      <c r="K387" s="103">
        <v>15</v>
      </c>
      <c r="L387" s="104">
        <v>120000</v>
      </c>
      <c r="M387" s="104">
        <v>1800000</v>
      </c>
      <c r="N387" s="39">
        <f>+K387*35000</f>
        <v>525000</v>
      </c>
      <c r="O387" s="107">
        <f>+M387*$O$1</f>
        <v>324000</v>
      </c>
      <c r="P387" s="108">
        <f>+N387+O387</f>
        <v>849000</v>
      </c>
      <c r="Q387" s="39">
        <v>100</v>
      </c>
      <c r="R387" s="39">
        <f t="shared" si="61"/>
        <v>1800000</v>
      </c>
      <c r="S387" s="42">
        <f t="shared" si="62"/>
        <v>0</v>
      </c>
    </row>
    <row r="388" spans="1:19">
      <c r="A388" s="99">
        <v>2026</v>
      </c>
      <c r="B388" s="100">
        <v>4</v>
      </c>
      <c r="C388" s="101">
        <v>46114</v>
      </c>
      <c r="D388" s="101" t="str">
        <f t="shared" ref="D388:D451" si="79">+E388&amp;G388</f>
        <v>PPS00002564Бухоро_Мадина опа</v>
      </c>
      <c r="E388" s="99" t="s">
        <v>848</v>
      </c>
      <c r="F388" s="102" t="s">
        <v>606</v>
      </c>
      <c r="G388" s="102" t="s">
        <v>607</v>
      </c>
      <c r="H388" s="99" t="s">
        <v>255</v>
      </c>
      <c r="I388" s="102" t="s">
        <v>849</v>
      </c>
      <c r="J388" s="102" t="s">
        <v>46</v>
      </c>
      <c r="K388" s="103">
        <v>20</v>
      </c>
      <c r="L388" s="104">
        <v>64700</v>
      </c>
      <c r="M388" s="104">
        <v>1294000</v>
      </c>
      <c r="N388" s="39">
        <f>20000*K388</f>
        <v>400000</v>
      </c>
      <c r="O388" s="107">
        <f>+M388*$O$1</f>
        <v>232920</v>
      </c>
      <c r="P388" s="108">
        <f>+N388+O388</f>
        <v>632920</v>
      </c>
      <c r="Q388" s="39">
        <v>30</v>
      </c>
      <c r="R388" s="39">
        <f t="shared" ref="R388:R451" si="80">+M388*Q388%</f>
        <v>388200</v>
      </c>
      <c r="S388" s="42">
        <f t="shared" ref="S388:S451" si="81">M388-R388</f>
        <v>905800</v>
      </c>
    </row>
    <row r="389" spans="1:19">
      <c r="A389" s="99">
        <v>2026</v>
      </c>
      <c r="B389" s="100">
        <v>4</v>
      </c>
      <c r="C389" s="101">
        <v>46115</v>
      </c>
      <c r="D389" s="101" t="str">
        <f t="shared" si="79"/>
        <v>PPS00002578Тошкент_Мохира опа</v>
      </c>
      <c r="E389" s="99" t="s">
        <v>850</v>
      </c>
      <c r="F389" s="102" t="s">
        <v>851</v>
      </c>
      <c r="G389" s="102" t="s">
        <v>305</v>
      </c>
      <c r="H389" s="99" t="s">
        <v>255</v>
      </c>
      <c r="I389" s="102" t="s">
        <v>307</v>
      </c>
      <c r="J389" s="102" t="s">
        <v>21</v>
      </c>
      <c r="K389" s="103">
        <v>25</v>
      </c>
      <c r="L389" s="104">
        <v>40621</v>
      </c>
      <c r="M389" s="104">
        <v>1015525</v>
      </c>
      <c r="N389" s="39">
        <f>+K389*15000</f>
        <v>375000</v>
      </c>
      <c r="O389" s="107">
        <f>+M389*$O$1</f>
        <v>182794.5</v>
      </c>
      <c r="P389" s="108">
        <f>+N389+O389</f>
        <v>557794.5</v>
      </c>
      <c r="Q389" s="39">
        <v>51</v>
      </c>
      <c r="R389" s="39">
        <f t="shared" si="80"/>
        <v>517917.75</v>
      </c>
      <c r="S389" s="42">
        <f t="shared" si="81"/>
        <v>497607.25</v>
      </c>
    </row>
    <row r="390" spans="1:19">
      <c r="A390" s="99">
        <v>2026</v>
      </c>
      <c r="B390" s="100">
        <v>4</v>
      </c>
      <c r="C390" s="101">
        <v>46115</v>
      </c>
      <c r="D390" s="101" t="str">
        <f t="shared" si="79"/>
        <v>PPS00002588Кашкадарьё_Феруз ака</v>
      </c>
      <c r="E390" s="99" t="s">
        <v>852</v>
      </c>
      <c r="F390" s="102" t="s">
        <v>501</v>
      </c>
      <c r="G390" s="102" t="s">
        <v>502</v>
      </c>
      <c r="H390" s="99" t="s">
        <v>255</v>
      </c>
      <c r="I390" s="102" t="s">
        <v>508</v>
      </c>
      <c r="J390" s="102" t="s">
        <v>38</v>
      </c>
      <c r="K390" s="103">
        <v>60</v>
      </c>
      <c r="L390" s="104">
        <v>65000</v>
      </c>
      <c r="M390" s="104">
        <v>3900000</v>
      </c>
      <c r="N390" s="39">
        <f>+K390*20000</f>
        <v>1200000</v>
      </c>
      <c r="O390" s="107">
        <f>+M390*$O$1</f>
        <v>702000</v>
      </c>
      <c r="P390" s="108">
        <f>+N390+O390</f>
        <v>1902000</v>
      </c>
      <c r="Q390" s="39">
        <v>100</v>
      </c>
      <c r="R390" s="39">
        <f t="shared" si="80"/>
        <v>3900000</v>
      </c>
      <c r="S390" s="42">
        <f t="shared" si="81"/>
        <v>0</v>
      </c>
    </row>
    <row r="391" spans="1:19">
      <c r="A391" s="99">
        <v>2026</v>
      </c>
      <c r="B391" s="100">
        <v>4</v>
      </c>
      <c r="C391" s="101">
        <v>46115</v>
      </c>
      <c r="D391" s="101" t="str">
        <f t="shared" si="79"/>
        <v>PPS00002600Тошкент_Мохира опа</v>
      </c>
      <c r="E391" s="99" t="s">
        <v>853</v>
      </c>
      <c r="F391" s="102" t="s">
        <v>414</v>
      </c>
      <c r="G391" s="102" t="s">
        <v>305</v>
      </c>
      <c r="H391" s="99" t="s">
        <v>255</v>
      </c>
      <c r="I391" s="102" t="s">
        <v>448</v>
      </c>
      <c r="J391" s="102" t="s">
        <v>21</v>
      </c>
      <c r="K391" s="103">
        <v>39</v>
      </c>
      <c r="L391" s="104">
        <v>40621</v>
      </c>
      <c r="M391" s="104">
        <v>1584219</v>
      </c>
      <c r="N391" s="39">
        <f t="shared" ref="N391:N396" si="82">+K391*15000</f>
        <v>585000</v>
      </c>
      <c r="O391" s="107">
        <f>+M391*$O$1</f>
        <v>285159.42</v>
      </c>
      <c r="P391" s="108">
        <f>+N391+O391</f>
        <v>870159.41999999993</v>
      </c>
      <c r="Q391" s="39">
        <v>51</v>
      </c>
      <c r="R391" s="39">
        <f t="shared" si="80"/>
        <v>807951.69000000006</v>
      </c>
      <c r="S391" s="42">
        <f t="shared" si="81"/>
        <v>776267.30999999994</v>
      </c>
    </row>
    <row r="392" spans="1:19">
      <c r="A392" s="99">
        <v>2026</v>
      </c>
      <c r="B392" s="100">
        <v>4</v>
      </c>
      <c r="C392" s="101">
        <v>46115</v>
      </c>
      <c r="D392" s="101" t="str">
        <f t="shared" si="79"/>
        <v>PPS00002600Тошкент_Мохира опа</v>
      </c>
      <c r="E392" s="99" t="s">
        <v>853</v>
      </c>
      <c r="F392" s="102" t="s">
        <v>414</v>
      </c>
      <c r="G392" s="102" t="s">
        <v>305</v>
      </c>
      <c r="H392" s="99" t="s">
        <v>255</v>
      </c>
      <c r="I392" s="102" t="s">
        <v>448</v>
      </c>
      <c r="J392" s="102" t="s">
        <v>21</v>
      </c>
      <c r="K392" s="103">
        <v>11</v>
      </c>
      <c r="L392" s="104">
        <v>40621</v>
      </c>
      <c r="M392" s="104">
        <v>446831</v>
      </c>
      <c r="N392" s="39">
        <f t="shared" si="82"/>
        <v>165000</v>
      </c>
      <c r="O392" s="107">
        <f>+M392*$O$1</f>
        <v>80429.58</v>
      </c>
      <c r="P392" s="108">
        <f>+N392+O392</f>
        <v>245429.58000000002</v>
      </c>
      <c r="Q392" s="39">
        <v>51</v>
      </c>
      <c r="R392" s="39">
        <f t="shared" si="80"/>
        <v>227883.81</v>
      </c>
      <c r="S392" s="42">
        <f t="shared" si="81"/>
        <v>218947.19</v>
      </c>
    </row>
    <row r="393" spans="1:19">
      <c r="A393" s="99">
        <v>2026</v>
      </c>
      <c r="B393" s="100">
        <v>4</v>
      </c>
      <c r="C393" s="101">
        <v>46115</v>
      </c>
      <c r="D393" s="101" t="str">
        <f t="shared" si="79"/>
        <v>PPS00002616Тошкент_Мохира опа</v>
      </c>
      <c r="E393" s="99" t="s">
        <v>854</v>
      </c>
      <c r="F393" s="102" t="s">
        <v>414</v>
      </c>
      <c r="G393" s="102" t="s">
        <v>305</v>
      </c>
      <c r="H393" s="99" t="s">
        <v>255</v>
      </c>
      <c r="I393" s="102" t="s">
        <v>456</v>
      </c>
      <c r="J393" s="102" t="s">
        <v>21</v>
      </c>
      <c r="K393" s="103">
        <v>30</v>
      </c>
      <c r="L393" s="104">
        <v>40621</v>
      </c>
      <c r="M393" s="104">
        <v>1218630</v>
      </c>
      <c r="N393" s="39">
        <f t="shared" si="82"/>
        <v>450000</v>
      </c>
      <c r="O393" s="107">
        <f>+M393*$O$1</f>
        <v>219353.4</v>
      </c>
      <c r="P393" s="108">
        <f>+N393+O393</f>
        <v>669353.4</v>
      </c>
      <c r="Q393" s="39">
        <v>100</v>
      </c>
      <c r="R393" s="39">
        <f t="shared" si="80"/>
        <v>1218630</v>
      </c>
      <c r="S393" s="42">
        <f t="shared" si="81"/>
        <v>0</v>
      </c>
    </row>
    <row r="394" spans="1:19">
      <c r="A394" s="99">
        <v>2026</v>
      </c>
      <c r="B394" s="100">
        <v>4</v>
      </c>
      <c r="C394" s="101">
        <v>46118</v>
      </c>
      <c r="D394" s="101" t="str">
        <f t="shared" si="79"/>
        <v>PPS00002626Жиззах_Саодат опа</v>
      </c>
      <c r="E394" s="99" t="s">
        <v>855</v>
      </c>
      <c r="F394" s="102" t="s">
        <v>336</v>
      </c>
      <c r="G394" s="102" t="s">
        <v>337</v>
      </c>
      <c r="H394" s="99" t="s">
        <v>255</v>
      </c>
      <c r="I394" s="102" t="s">
        <v>346</v>
      </c>
      <c r="J394" s="102" t="s">
        <v>21</v>
      </c>
      <c r="K394" s="103">
        <v>20</v>
      </c>
      <c r="L394" s="104">
        <v>40621</v>
      </c>
      <c r="M394" s="104">
        <v>812420</v>
      </c>
      <c r="N394" s="39">
        <f t="shared" si="82"/>
        <v>300000</v>
      </c>
      <c r="O394" s="107">
        <f>+M394*$O$1</f>
        <v>146235.6</v>
      </c>
      <c r="P394" s="108">
        <f>+N394+O394</f>
        <v>446235.6</v>
      </c>
      <c r="Q394" s="39">
        <v>100</v>
      </c>
      <c r="R394" s="39">
        <f t="shared" si="80"/>
        <v>812420</v>
      </c>
      <c r="S394" s="42">
        <f t="shared" si="81"/>
        <v>0</v>
      </c>
    </row>
    <row r="395" spans="1:19">
      <c r="A395" s="99">
        <v>2026</v>
      </c>
      <c r="B395" s="100">
        <v>4</v>
      </c>
      <c r="C395" s="101">
        <v>46118</v>
      </c>
      <c r="D395" s="101" t="str">
        <f t="shared" si="79"/>
        <v>PPS00002635Жиззах_Саодат опа</v>
      </c>
      <c r="E395" s="99" t="s">
        <v>856</v>
      </c>
      <c r="F395" s="102" t="s">
        <v>336</v>
      </c>
      <c r="G395" s="102" t="s">
        <v>337</v>
      </c>
      <c r="H395" s="99" t="s">
        <v>255</v>
      </c>
      <c r="I395" s="102" t="s">
        <v>344</v>
      </c>
      <c r="J395" s="102" t="s">
        <v>21</v>
      </c>
      <c r="K395" s="103">
        <v>10</v>
      </c>
      <c r="L395" s="104">
        <v>40621</v>
      </c>
      <c r="M395" s="104">
        <v>406210</v>
      </c>
      <c r="N395" s="39">
        <f t="shared" si="82"/>
        <v>150000</v>
      </c>
      <c r="O395" s="107">
        <f>+M395*$O$1</f>
        <v>73117.8</v>
      </c>
      <c r="P395" s="108">
        <f>+N395+O395</f>
        <v>223117.8</v>
      </c>
      <c r="Q395" s="39">
        <v>100</v>
      </c>
      <c r="R395" s="39">
        <f t="shared" si="80"/>
        <v>406210</v>
      </c>
      <c r="S395" s="42">
        <f t="shared" si="81"/>
        <v>0</v>
      </c>
    </row>
    <row r="396" spans="1:19">
      <c r="A396" s="99">
        <v>2026</v>
      </c>
      <c r="B396" s="100">
        <v>4</v>
      </c>
      <c r="C396" s="101">
        <v>46118</v>
      </c>
      <c r="D396" s="101" t="str">
        <f t="shared" si="79"/>
        <v>PPS00002643Навоий_Дильноза опа</v>
      </c>
      <c r="E396" s="99" t="s">
        <v>857</v>
      </c>
      <c r="F396" s="102" t="s">
        <v>332</v>
      </c>
      <c r="G396" s="102" t="s">
        <v>333</v>
      </c>
      <c r="H396" s="99" t="s">
        <v>255</v>
      </c>
      <c r="I396" s="102" t="s">
        <v>439</v>
      </c>
      <c r="J396" s="102" t="s">
        <v>21</v>
      </c>
      <c r="K396" s="103">
        <v>30</v>
      </c>
      <c r="L396" s="104">
        <v>40621</v>
      </c>
      <c r="M396" s="104">
        <v>1218630</v>
      </c>
      <c r="N396" s="39">
        <f t="shared" si="82"/>
        <v>450000</v>
      </c>
      <c r="O396" s="107">
        <f>+M396*$O$1</f>
        <v>219353.4</v>
      </c>
      <c r="P396" s="108">
        <f>+N396+O396</f>
        <v>669353.4</v>
      </c>
      <c r="Q396" s="39">
        <v>100</v>
      </c>
      <c r="R396" s="39">
        <f t="shared" si="80"/>
        <v>1218630</v>
      </c>
      <c r="S396" s="42">
        <f t="shared" si="81"/>
        <v>0</v>
      </c>
    </row>
    <row r="397" spans="1:19">
      <c r="A397" s="99">
        <v>2026</v>
      </c>
      <c r="B397" s="100">
        <v>4</v>
      </c>
      <c r="C397" s="101">
        <v>46118</v>
      </c>
      <c r="D397" s="101" t="str">
        <f t="shared" si="79"/>
        <v>PPS00002645Таш.Обл_Шахло опа</v>
      </c>
      <c r="E397" s="99" t="s">
        <v>858</v>
      </c>
      <c r="F397" s="102" t="s">
        <v>547</v>
      </c>
      <c r="G397" s="102" t="s">
        <v>464</v>
      </c>
      <c r="H397" s="99" t="s">
        <v>255</v>
      </c>
      <c r="I397" s="102" t="s">
        <v>859</v>
      </c>
      <c r="J397" s="102" t="s">
        <v>46</v>
      </c>
      <c r="K397" s="103">
        <v>20</v>
      </c>
      <c r="L397" s="104">
        <v>64700</v>
      </c>
      <c r="M397" s="104">
        <v>1294000</v>
      </c>
      <c r="N397" s="39">
        <f t="shared" ref="N397:N398" si="83">20000*K397</f>
        <v>400000</v>
      </c>
      <c r="O397" s="107">
        <f>+M397*$O$1</f>
        <v>232920</v>
      </c>
      <c r="P397" s="108">
        <f>+N397+O397</f>
        <v>632920</v>
      </c>
      <c r="Q397" s="39">
        <v>100</v>
      </c>
      <c r="R397" s="39">
        <f t="shared" si="80"/>
        <v>1294000</v>
      </c>
      <c r="S397" s="42">
        <f t="shared" si="81"/>
        <v>0</v>
      </c>
    </row>
    <row r="398" spans="1:19">
      <c r="A398" s="99">
        <v>2026</v>
      </c>
      <c r="B398" s="100">
        <v>4</v>
      </c>
      <c r="C398" s="101">
        <v>46118</v>
      </c>
      <c r="D398" s="101" t="str">
        <f t="shared" si="79"/>
        <v>PPS00002668Таш.Обл_Шахло опа</v>
      </c>
      <c r="E398" s="99" t="s">
        <v>860</v>
      </c>
      <c r="F398" s="102" t="s">
        <v>463</v>
      </c>
      <c r="G398" s="102" t="s">
        <v>464</v>
      </c>
      <c r="H398" s="99" t="s">
        <v>255</v>
      </c>
      <c r="I398" s="102" t="s">
        <v>479</v>
      </c>
      <c r="J398" s="102" t="s">
        <v>46</v>
      </c>
      <c r="K398" s="103">
        <v>15</v>
      </c>
      <c r="L398" s="104">
        <v>64700</v>
      </c>
      <c r="M398" s="104">
        <v>970500</v>
      </c>
      <c r="N398" s="39">
        <f t="shared" si="83"/>
        <v>300000</v>
      </c>
      <c r="O398" s="107">
        <f>+M398*$O$1</f>
        <v>174690</v>
      </c>
      <c r="P398" s="108">
        <f>+N398+O398</f>
        <v>474690</v>
      </c>
      <c r="Q398" s="39">
        <v>100</v>
      </c>
      <c r="R398" s="39">
        <f t="shared" si="80"/>
        <v>970500</v>
      </c>
      <c r="S398" s="42">
        <f t="shared" si="81"/>
        <v>0</v>
      </c>
    </row>
    <row r="399" spans="1:19">
      <c r="A399" s="99">
        <v>2026</v>
      </c>
      <c r="B399" s="100">
        <v>4</v>
      </c>
      <c r="C399" s="101">
        <v>46119</v>
      </c>
      <c r="D399" s="101" t="str">
        <f t="shared" si="79"/>
        <v>PPS00002696Самарканд_Хуршед ака</v>
      </c>
      <c r="E399" s="99" t="s">
        <v>861</v>
      </c>
      <c r="F399" s="102" t="s">
        <v>271</v>
      </c>
      <c r="G399" s="102" t="s">
        <v>272</v>
      </c>
      <c r="H399" s="99" t="s">
        <v>255</v>
      </c>
      <c r="I399" s="102" t="s">
        <v>417</v>
      </c>
      <c r="J399" s="102" t="s">
        <v>41</v>
      </c>
      <c r="K399" s="103">
        <v>200</v>
      </c>
      <c r="L399" s="104">
        <v>90000</v>
      </c>
      <c r="M399" s="104">
        <v>18000000</v>
      </c>
      <c r="N399" s="39">
        <f>+K399*25000</f>
        <v>5000000</v>
      </c>
      <c r="O399" s="107">
        <f>+M399*$O$1</f>
        <v>3240000</v>
      </c>
      <c r="P399" s="108">
        <f>+N399+O399</f>
        <v>8240000</v>
      </c>
      <c r="Q399" s="39">
        <v>100</v>
      </c>
      <c r="R399" s="39">
        <f t="shared" si="80"/>
        <v>18000000</v>
      </c>
      <c r="S399" s="42">
        <f t="shared" si="81"/>
        <v>0</v>
      </c>
    </row>
    <row r="400" spans="1:19">
      <c r="A400" s="99">
        <v>2026</v>
      </c>
      <c r="B400" s="100">
        <v>4</v>
      </c>
      <c r="C400" s="101">
        <v>46119</v>
      </c>
      <c r="D400" s="101" t="str">
        <f t="shared" si="79"/>
        <v>PPS00002702Хоразм_Улугбек ака</v>
      </c>
      <c r="E400" s="99" t="s">
        <v>862</v>
      </c>
      <c r="F400" s="102" t="s">
        <v>863</v>
      </c>
      <c r="G400" s="102" t="s">
        <v>864</v>
      </c>
      <c r="H400" s="99" t="s">
        <v>255</v>
      </c>
      <c r="I400" s="102" t="s">
        <v>865</v>
      </c>
      <c r="J400" s="102" t="s">
        <v>41</v>
      </c>
      <c r="K400" s="103">
        <v>200</v>
      </c>
      <c r="L400" s="104">
        <v>90000</v>
      </c>
      <c r="M400" s="104">
        <v>18000000</v>
      </c>
      <c r="N400" s="39">
        <f t="shared" ref="N400" si="84">+K400*25000</f>
        <v>5000000</v>
      </c>
      <c r="O400" s="107">
        <f>+M400*$O$1</f>
        <v>3240000</v>
      </c>
      <c r="P400" s="108">
        <f>+N400+O400</f>
        <v>8240000</v>
      </c>
      <c r="Q400" s="39">
        <v>100</v>
      </c>
      <c r="R400" s="39">
        <f t="shared" si="80"/>
        <v>18000000</v>
      </c>
      <c r="S400" s="42">
        <f t="shared" si="81"/>
        <v>0</v>
      </c>
    </row>
    <row r="401" spans="1:19">
      <c r="A401" s="99">
        <v>2026</v>
      </c>
      <c r="B401" s="100">
        <v>4</v>
      </c>
      <c r="C401" s="101">
        <v>46119</v>
      </c>
      <c r="D401" s="101" t="str">
        <f t="shared" si="79"/>
        <v>PPS00002707Сирдарьё_Зилола Опа</v>
      </c>
      <c r="E401" s="99" t="s">
        <v>866</v>
      </c>
      <c r="F401" s="102" t="s">
        <v>703</v>
      </c>
      <c r="G401" s="102" t="s">
        <v>704</v>
      </c>
      <c r="H401" s="99" t="s">
        <v>255</v>
      </c>
      <c r="I401" s="102" t="s">
        <v>867</v>
      </c>
      <c r="J401" s="102" t="s">
        <v>46</v>
      </c>
      <c r="K401" s="103">
        <v>28</v>
      </c>
      <c r="L401" s="104">
        <v>64700</v>
      </c>
      <c r="M401" s="104">
        <v>1811600</v>
      </c>
      <c r="N401" s="39">
        <f>20000*K401</f>
        <v>560000</v>
      </c>
      <c r="O401" s="107">
        <f>+M401*$O$1</f>
        <v>326088</v>
      </c>
      <c r="P401" s="108">
        <f>+N401+O401</f>
        <v>886088</v>
      </c>
      <c r="Q401" s="39">
        <v>100</v>
      </c>
      <c r="R401" s="39">
        <f t="shared" si="80"/>
        <v>1811600</v>
      </c>
      <c r="S401" s="42">
        <f t="shared" si="81"/>
        <v>0</v>
      </c>
    </row>
    <row r="402" spans="1:19">
      <c r="A402" s="99">
        <v>2026</v>
      </c>
      <c r="B402" s="100">
        <v>4</v>
      </c>
      <c r="C402" s="101">
        <v>46120</v>
      </c>
      <c r="D402" s="101" t="str">
        <f t="shared" si="79"/>
        <v>PPS00002742Таш.Обл_Шахло опа</v>
      </c>
      <c r="E402" s="99" t="s">
        <v>868</v>
      </c>
      <c r="F402" s="102" t="s">
        <v>489</v>
      </c>
      <c r="G402" s="102" t="s">
        <v>464</v>
      </c>
      <c r="H402" s="99" t="s">
        <v>255</v>
      </c>
      <c r="I402" s="102" t="s">
        <v>529</v>
      </c>
      <c r="J402" s="102" t="s">
        <v>466</v>
      </c>
      <c r="K402" s="103">
        <v>30</v>
      </c>
      <c r="L402" s="104">
        <v>120000</v>
      </c>
      <c r="M402" s="104">
        <v>3600000</v>
      </c>
      <c r="N402" s="39">
        <f>+K402*35000</f>
        <v>1050000</v>
      </c>
      <c r="O402" s="107">
        <f>+M402*$O$1</f>
        <v>648000</v>
      </c>
      <c r="P402" s="108">
        <f>+N402+O402</f>
        <v>1698000</v>
      </c>
      <c r="Q402" s="39">
        <v>100</v>
      </c>
      <c r="R402" s="39">
        <f t="shared" si="80"/>
        <v>3600000</v>
      </c>
      <c r="S402" s="42">
        <f t="shared" si="81"/>
        <v>0</v>
      </c>
    </row>
    <row r="403" spans="1:19">
      <c r="A403" s="99">
        <v>2026</v>
      </c>
      <c r="B403" s="100">
        <v>4</v>
      </c>
      <c r="C403" s="101">
        <v>46121</v>
      </c>
      <c r="D403" s="101" t="str">
        <f t="shared" si="79"/>
        <v>PPS00002782Самарканд_Хуршед ака 2</v>
      </c>
      <c r="E403" s="99" t="s">
        <v>869</v>
      </c>
      <c r="F403" s="102" t="s">
        <v>870</v>
      </c>
      <c r="G403" s="102" t="s">
        <v>871</v>
      </c>
      <c r="H403" s="99" t="s">
        <v>255</v>
      </c>
      <c r="I403" s="102" t="s">
        <v>872</v>
      </c>
      <c r="J403" s="102" t="s">
        <v>41</v>
      </c>
      <c r="K403" s="103">
        <v>30</v>
      </c>
      <c r="L403" s="104">
        <v>90000</v>
      </c>
      <c r="M403" s="104">
        <v>2700000</v>
      </c>
      <c r="N403" s="39">
        <f>+K403*25000</f>
        <v>750000</v>
      </c>
      <c r="O403" s="107">
        <f>+M403*$O$1</f>
        <v>486000</v>
      </c>
      <c r="P403" s="108">
        <f>+N403+O403</f>
        <v>1236000</v>
      </c>
      <c r="Q403" s="39">
        <v>52</v>
      </c>
      <c r="R403" s="39">
        <f t="shared" si="80"/>
        <v>1404000</v>
      </c>
      <c r="S403" s="42">
        <f t="shared" si="81"/>
        <v>1296000</v>
      </c>
    </row>
    <row r="404" spans="1:19">
      <c r="A404" s="99">
        <v>2026</v>
      </c>
      <c r="B404" s="100">
        <v>4</v>
      </c>
      <c r="C404" s="101">
        <v>46121</v>
      </c>
      <c r="D404" s="101" t="str">
        <f t="shared" si="79"/>
        <v>PPS00002782Самарканд_Хуршед ака 2</v>
      </c>
      <c r="E404" s="99" t="s">
        <v>869</v>
      </c>
      <c r="F404" s="102" t="s">
        <v>870</v>
      </c>
      <c r="G404" s="102" t="s">
        <v>871</v>
      </c>
      <c r="H404" s="99" t="s">
        <v>255</v>
      </c>
      <c r="I404" s="102" t="s">
        <v>872</v>
      </c>
      <c r="J404" s="102" t="s">
        <v>466</v>
      </c>
      <c r="K404" s="103">
        <v>30</v>
      </c>
      <c r="L404" s="104">
        <v>120000</v>
      </c>
      <c r="M404" s="104">
        <v>3600000</v>
      </c>
      <c r="N404" s="39">
        <f t="shared" ref="N404:N405" si="85">+K404*35000</f>
        <v>1050000</v>
      </c>
      <c r="O404" s="107">
        <f>+M404*$O$1</f>
        <v>648000</v>
      </c>
      <c r="P404" s="108">
        <f>+N404+O404</f>
        <v>1698000</v>
      </c>
      <c r="Q404" s="39">
        <v>52</v>
      </c>
      <c r="R404" s="39">
        <f t="shared" si="80"/>
        <v>1872000</v>
      </c>
      <c r="S404" s="42">
        <f t="shared" si="81"/>
        <v>1728000</v>
      </c>
    </row>
    <row r="405" spans="1:19">
      <c r="A405" s="99">
        <v>2026</v>
      </c>
      <c r="B405" s="100">
        <v>4</v>
      </c>
      <c r="C405" s="101">
        <v>46121</v>
      </c>
      <c r="D405" s="101" t="str">
        <f t="shared" si="79"/>
        <v>PPS00002787Сурхондарьё_Анвар ака</v>
      </c>
      <c r="E405" s="99" t="s">
        <v>873</v>
      </c>
      <c r="F405" s="102" t="s">
        <v>874</v>
      </c>
      <c r="G405" s="102" t="s">
        <v>875</v>
      </c>
      <c r="H405" s="99" t="s">
        <v>255</v>
      </c>
      <c r="I405" s="102" t="s">
        <v>876</v>
      </c>
      <c r="J405" s="102" t="s">
        <v>466</v>
      </c>
      <c r="K405" s="103">
        <v>47</v>
      </c>
      <c r="L405" s="104">
        <v>120000</v>
      </c>
      <c r="M405" s="104">
        <v>5640000</v>
      </c>
      <c r="N405" s="39">
        <f t="shared" si="85"/>
        <v>1645000</v>
      </c>
      <c r="O405" s="107">
        <f>+M405*$O$1</f>
        <v>1015200</v>
      </c>
      <c r="P405" s="108">
        <f>+N405+O405</f>
        <v>2660200</v>
      </c>
      <c r="Q405" s="39">
        <v>100</v>
      </c>
      <c r="R405" s="39">
        <f t="shared" si="80"/>
        <v>5640000</v>
      </c>
      <c r="S405" s="42">
        <f t="shared" si="81"/>
        <v>0</v>
      </c>
    </row>
    <row r="406" spans="1:19">
      <c r="A406" s="99">
        <v>2026</v>
      </c>
      <c r="B406" s="100">
        <v>4</v>
      </c>
      <c r="C406" s="101">
        <v>46121</v>
      </c>
      <c r="D406" s="101" t="str">
        <f t="shared" si="79"/>
        <v>PPS00002796Навоий_Дильноза опа</v>
      </c>
      <c r="E406" s="99" t="s">
        <v>877</v>
      </c>
      <c r="F406" s="102" t="s">
        <v>332</v>
      </c>
      <c r="G406" s="102" t="s">
        <v>333</v>
      </c>
      <c r="H406" s="99" t="s">
        <v>255</v>
      </c>
      <c r="I406" s="102" t="s">
        <v>289</v>
      </c>
      <c r="J406" s="102" t="s">
        <v>21</v>
      </c>
      <c r="K406" s="103">
        <v>100</v>
      </c>
      <c r="L406" s="104">
        <v>40621</v>
      </c>
      <c r="M406" s="104">
        <v>4062100</v>
      </c>
      <c r="N406" s="39">
        <f>+K406*15000</f>
        <v>1500000</v>
      </c>
      <c r="O406" s="107">
        <f>+M406*$O$1</f>
        <v>731178</v>
      </c>
      <c r="P406" s="108">
        <f>+N406+O406</f>
        <v>2231178</v>
      </c>
      <c r="Q406" s="39">
        <v>100</v>
      </c>
      <c r="R406" s="39">
        <f t="shared" si="80"/>
        <v>4062100</v>
      </c>
      <c r="S406" s="42">
        <f t="shared" si="81"/>
        <v>0</v>
      </c>
    </row>
    <row r="407" spans="1:19">
      <c r="A407" s="99">
        <v>2026</v>
      </c>
      <c r="B407" s="100">
        <v>4</v>
      </c>
      <c r="C407" s="101">
        <v>46121</v>
      </c>
      <c r="D407" s="101" t="str">
        <f t="shared" si="79"/>
        <v>PPS00002801Тошкент_Зилола опа</v>
      </c>
      <c r="E407" s="99" t="s">
        <v>878</v>
      </c>
      <c r="F407" s="102" t="s">
        <v>673</v>
      </c>
      <c r="G407" s="102" t="s">
        <v>674</v>
      </c>
      <c r="H407" s="99" t="s">
        <v>255</v>
      </c>
      <c r="I407" s="102" t="s">
        <v>822</v>
      </c>
      <c r="J407" s="102" t="s">
        <v>466</v>
      </c>
      <c r="K407" s="103">
        <v>25</v>
      </c>
      <c r="L407" s="104">
        <v>120000</v>
      </c>
      <c r="M407" s="104">
        <v>3000000</v>
      </c>
      <c r="N407" s="39">
        <f>+K407*35000</f>
        <v>875000</v>
      </c>
      <c r="O407" s="107">
        <f>+M407*$O$1</f>
        <v>540000</v>
      </c>
      <c r="P407" s="108">
        <f>+N407+O407</f>
        <v>1415000</v>
      </c>
      <c r="Q407" s="39">
        <v>100</v>
      </c>
      <c r="R407" s="39">
        <f t="shared" si="80"/>
        <v>3000000</v>
      </c>
      <c r="S407" s="42">
        <f t="shared" si="81"/>
        <v>0</v>
      </c>
    </row>
    <row r="408" spans="1:19">
      <c r="A408" s="99">
        <v>2026</v>
      </c>
      <c r="B408" s="100">
        <v>4</v>
      </c>
      <c r="C408" s="101">
        <v>46121</v>
      </c>
      <c r="D408" s="101" t="str">
        <f t="shared" si="79"/>
        <v>PPS00002803Жиззах_Саодат опа</v>
      </c>
      <c r="E408" s="99" t="s">
        <v>879</v>
      </c>
      <c r="F408" s="102" t="s">
        <v>336</v>
      </c>
      <c r="G408" s="102" t="s">
        <v>337</v>
      </c>
      <c r="H408" s="99" t="s">
        <v>255</v>
      </c>
      <c r="I408" s="102" t="s">
        <v>424</v>
      </c>
      <c r="J408" s="102" t="s">
        <v>21</v>
      </c>
      <c r="K408" s="103">
        <v>30</v>
      </c>
      <c r="L408" s="104">
        <v>40621</v>
      </c>
      <c r="M408" s="104">
        <v>1218630</v>
      </c>
      <c r="N408" s="39">
        <f>+K408*15000</f>
        <v>450000</v>
      </c>
      <c r="O408" s="107">
        <f>+M408*$O$1</f>
        <v>219353.4</v>
      </c>
      <c r="P408" s="108">
        <f>+N408+O408</f>
        <v>669353.4</v>
      </c>
      <c r="Q408" s="39">
        <v>100</v>
      </c>
      <c r="R408" s="39">
        <f t="shared" si="80"/>
        <v>1218630</v>
      </c>
      <c r="S408" s="42">
        <f t="shared" si="81"/>
        <v>0</v>
      </c>
    </row>
    <row r="409" spans="1:19">
      <c r="A409" s="99">
        <v>2026</v>
      </c>
      <c r="B409" s="100">
        <v>4</v>
      </c>
      <c r="C409" s="101">
        <v>46121</v>
      </c>
      <c r="D409" s="101" t="str">
        <f t="shared" si="79"/>
        <v>PPS00002804Сирдарьё_Зилола Опа</v>
      </c>
      <c r="E409" s="99" t="s">
        <v>880</v>
      </c>
      <c r="F409" s="102" t="s">
        <v>703</v>
      </c>
      <c r="G409" s="102" t="s">
        <v>704</v>
      </c>
      <c r="H409" s="99" t="s">
        <v>255</v>
      </c>
      <c r="I409" s="102" t="s">
        <v>881</v>
      </c>
      <c r="J409" s="102" t="s">
        <v>46</v>
      </c>
      <c r="K409" s="103">
        <v>10</v>
      </c>
      <c r="L409" s="104">
        <v>64700</v>
      </c>
      <c r="M409" s="104">
        <v>647000</v>
      </c>
      <c r="N409" s="39">
        <f>20000*K409</f>
        <v>200000</v>
      </c>
      <c r="O409" s="107">
        <f>+M409*$O$1</f>
        <v>116460</v>
      </c>
      <c r="P409" s="108">
        <f>+N409+O409</f>
        <v>316460</v>
      </c>
      <c r="Q409" s="39">
        <v>100</v>
      </c>
      <c r="R409" s="39">
        <f t="shared" si="80"/>
        <v>647000</v>
      </c>
      <c r="S409" s="42">
        <f t="shared" si="81"/>
        <v>0</v>
      </c>
    </row>
    <row r="410" spans="1:19">
      <c r="A410" s="99">
        <v>2026</v>
      </c>
      <c r="B410" s="100">
        <v>4</v>
      </c>
      <c r="C410" s="101">
        <v>46121</v>
      </c>
      <c r="D410" s="101" t="str">
        <f t="shared" si="79"/>
        <v>PPS00002805Самарканд_Хуршед ака 2</v>
      </c>
      <c r="E410" s="99" t="s">
        <v>882</v>
      </c>
      <c r="F410" s="102" t="s">
        <v>870</v>
      </c>
      <c r="G410" s="102" t="s">
        <v>871</v>
      </c>
      <c r="H410" s="99" t="s">
        <v>255</v>
      </c>
      <c r="I410" s="102" t="s">
        <v>883</v>
      </c>
      <c r="J410" s="102" t="s">
        <v>41</v>
      </c>
      <c r="K410" s="103">
        <v>20</v>
      </c>
      <c r="L410" s="104">
        <v>90000</v>
      </c>
      <c r="M410" s="104">
        <v>1800000</v>
      </c>
      <c r="N410" s="39">
        <f>+K410*25000</f>
        <v>500000</v>
      </c>
      <c r="O410" s="107">
        <f>+M410*$O$1</f>
        <v>324000</v>
      </c>
      <c r="P410" s="108">
        <f>+N410+O410</f>
        <v>824000</v>
      </c>
      <c r="Q410" s="39">
        <v>100</v>
      </c>
      <c r="R410" s="39">
        <f t="shared" si="80"/>
        <v>1800000</v>
      </c>
      <c r="S410" s="42">
        <f t="shared" si="81"/>
        <v>0</v>
      </c>
    </row>
    <row r="411" spans="1:19">
      <c r="A411" s="99">
        <v>2026</v>
      </c>
      <c r="B411" s="100">
        <v>4</v>
      </c>
      <c r="C411" s="101">
        <v>46121</v>
      </c>
      <c r="D411" s="101" t="str">
        <f t="shared" si="79"/>
        <v>PPS00002809Навоий_Дильноза опа</v>
      </c>
      <c r="E411" s="99" t="s">
        <v>884</v>
      </c>
      <c r="F411" s="102" t="s">
        <v>332</v>
      </c>
      <c r="G411" s="102" t="s">
        <v>333</v>
      </c>
      <c r="H411" s="99" t="s">
        <v>255</v>
      </c>
      <c r="I411" s="102" t="s">
        <v>62</v>
      </c>
      <c r="J411" s="102" t="s">
        <v>21</v>
      </c>
      <c r="K411" s="103">
        <v>20</v>
      </c>
      <c r="L411" s="104">
        <v>40621</v>
      </c>
      <c r="M411" s="104">
        <v>812420</v>
      </c>
      <c r="N411" s="39">
        <f>+K411*15000</f>
        <v>300000</v>
      </c>
      <c r="O411" s="107">
        <f>+M411*$O$1</f>
        <v>146235.6</v>
      </c>
      <c r="P411" s="108">
        <f>+N411+O411</f>
        <v>446235.6</v>
      </c>
      <c r="Q411" s="39">
        <v>100</v>
      </c>
      <c r="R411" s="39">
        <f t="shared" si="80"/>
        <v>812420</v>
      </c>
      <c r="S411" s="42">
        <f t="shared" si="81"/>
        <v>0</v>
      </c>
    </row>
    <row r="412" spans="1:19">
      <c r="A412" s="99">
        <v>2026</v>
      </c>
      <c r="B412" s="100">
        <v>4</v>
      </c>
      <c r="C412" s="101">
        <v>46121</v>
      </c>
      <c r="D412" s="101" t="str">
        <f t="shared" si="79"/>
        <v>PPS00002813Самарканд_Хуршед ака 3</v>
      </c>
      <c r="E412" s="99" t="s">
        <v>885</v>
      </c>
      <c r="F412" s="102" t="s">
        <v>886</v>
      </c>
      <c r="G412" s="102" t="s">
        <v>887</v>
      </c>
      <c r="H412" s="99" t="s">
        <v>255</v>
      </c>
      <c r="I412" s="102" t="s">
        <v>888</v>
      </c>
      <c r="J412" s="102" t="s">
        <v>46</v>
      </c>
      <c r="K412" s="103">
        <v>30</v>
      </c>
      <c r="L412" s="104">
        <v>64700</v>
      </c>
      <c r="M412" s="104">
        <v>1941000</v>
      </c>
      <c r="N412" s="39">
        <f>20000*K412</f>
        <v>600000</v>
      </c>
      <c r="O412" s="107">
        <f>+M412*$O$1</f>
        <v>349380</v>
      </c>
      <c r="P412" s="108">
        <f>+N412+O412</f>
        <v>949380</v>
      </c>
      <c r="Q412" s="39">
        <v>55</v>
      </c>
      <c r="R412" s="39">
        <f t="shared" si="80"/>
        <v>1067550</v>
      </c>
      <c r="S412" s="42">
        <f t="shared" si="81"/>
        <v>873450</v>
      </c>
    </row>
    <row r="413" spans="1:19">
      <c r="A413" s="99">
        <v>2026</v>
      </c>
      <c r="B413" s="100">
        <v>4</v>
      </c>
      <c r="C413" s="101">
        <v>46121</v>
      </c>
      <c r="D413" s="101" t="str">
        <f t="shared" si="79"/>
        <v>PPS00002821Сирдарё_Фотима опа</v>
      </c>
      <c r="E413" s="99" t="s">
        <v>889</v>
      </c>
      <c r="F413" s="102" t="s">
        <v>890</v>
      </c>
      <c r="G413" s="102" t="s">
        <v>281</v>
      </c>
      <c r="H413" s="99" t="s">
        <v>255</v>
      </c>
      <c r="I413" s="102" t="s">
        <v>492</v>
      </c>
      <c r="J413" s="102" t="s">
        <v>466</v>
      </c>
      <c r="K413" s="103">
        <v>30</v>
      </c>
      <c r="L413" s="104">
        <v>120000</v>
      </c>
      <c r="M413" s="104">
        <v>3600000</v>
      </c>
      <c r="N413" s="39">
        <f>+K413*35000</f>
        <v>1050000</v>
      </c>
      <c r="O413" s="107">
        <f>+M413*$O$1</f>
        <v>648000</v>
      </c>
      <c r="P413" s="108">
        <f>+N413+O413</f>
        <v>1698000</v>
      </c>
      <c r="Q413" s="39">
        <v>75</v>
      </c>
      <c r="R413" s="39">
        <f t="shared" si="80"/>
        <v>2700000</v>
      </c>
      <c r="S413" s="42">
        <f t="shared" si="81"/>
        <v>900000</v>
      </c>
    </row>
    <row r="414" spans="1:19">
      <c r="A414" s="99">
        <v>2026</v>
      </c>
      <c r="B414" s="100">
        <v>4</v>
      </c>
      <c r="C414" s="101">
        <v>46121</v>
      </c>
      <c r="D414" s="101" t="str">
        <f t="shared" si="79"/>
        <v>PPS00002821Сирдарё_Фотима опа</v>
      </c>
      <c r="E414" s="99" t="s">
        <v>889</v>
      </c>
      <c r="F414" s="102" t="s">
        <v>890</v>
      </c>
      <c r="G414" s="102" t="s">
        <v>281</v>
      </c>
      <c r="H414" s="99" t="s">
        <v>255</v>
      </c>
      <c r="I414" s="102" t="s">
        <v>492</v>
      </c>
      <c r="J414" s="102" t="s">
        <v>38</v>
      </c>
      <c r="K414" s="103">
        <v>30</v>
      </c>
      <c r="L414" s="104">
        <v>65000</v>
      </c>
      <c r="M414" s="104">
        <v>1950000</v>
      </c>
      <c r="N414" s="39">
        <f>+K414*20000</f>
        <v>600000</v>
      </c>
      <c r="O414" s="107">
        <f>+M414*$O$1</f>
        <v>351000</v>
      </c>
      <c r="P414" s="108">
        <f>+N414+O414</f>
        <v>951000</v>
      </c>
      <c r="Q414" s="39">
        <v>75</v>
      </c>
      <c r="R414" s="39">
        <f t="shared" si="80"/>
        <v>1462500</v>
      </c>
      <c r="S414" s="42">
        <f t="shared" si="81"/>
        <v>487500</v>
      </c>
    </row>
    <row r="415" spans="1:19">
      <c r="A415" s="99">
        <v>2026</v>
      </c>
      <c r="B415" s="100">
        <v>4</v>
      </c>
      <c r="C415" s="101">
        <v>46122</v>
      </c>
      <c r="D415" s="101" t="str">
        <f t="shared" si="79"/>
        <v>PPS00002843Самарканд_Хуршед ака 3</v>
      </c>
      <c r="E415" s="99" t="s">
        <v>891</v>
      </c>
      <c r="F415" s="102" t="s">
        <v>886</v>
      </c>
      <c r="G415" s="102" t="s">
        <v>887</v>
      </c>
      <c r="H415" s="99" t="s">
        <v>255</v>
      </c>
      <c r="I415" s="102" t="s">
        <v>872</v>
      </c>
      <c r="J415" s="102" t="s">
        <v>46</v>
      </c>
      <c r="K415" s="103">
        <v>100</v>
      </c>
      <c r="L415" s="104">
        <v>64700</v>
      </c>
      <c r="M415" s="104">
        <v>6470000</v>
      </c>
      <c r="N415" s="39">
        <f>20000*K415</f>
        <v>2000000</v>
      </c>
      <c r="O415" s="107">
        <f>+M415*$O$1</f>
        <v>1164600</v>
      </c>
      <c r="P415" s="108">
        <f>+N415+O415</f>
        <v>3164600</v>
      </c>
      <c r="Q415" s="39">
        <v>50</v>
      </c>
      <c r="R415" s="39">
        <f t="shared" si="80"/>
        <v>3235000</v>
      </c>
      <c r="S415" s="42">
        <f t="shared" si="81"/>
        <v>3235000</v>
      </c>
    </row>
    <row r="416" spans="1:19">
      <c r="A416" s="99">
        <v>2026</v>
      </c>
      <c r="B416" s="100">
        <v>4</v>
      </c>
      <c r="C416" s="101">
        <v>46122</v>
      </c>
      <c r="D416" s="101" t="str">
        <f t="shared" si="79"/>
        <v>PPS00002861Бухоро_Нафосат опа</v>
      </c>
      <c r="E416" s="99" t="s">
        <v>892</v>
      </c>
      <c r="F416" s="102" t="s">
        <v>893</v>
      </c>
      <c r="G416" s="102" t="s">
        <v>894</v>
      </c>
      <c r="H416" s="99" t="s">
        <v>255</v>
      </c>
      <c r="I416" s="102" t="s">
        <v>635</v>
      </c>
      <c r="J416" s="102" t="s">
        <v>41</v>
      </c>
      <c r="K416" s="103">
        <v>150</v>
      </c>
      <c r="L416" s="104">
        <v>90000</v>
      </c>
      <c r="M416" s="104">
        <v>13500000</v>
      </c>
      <c r="N416" s="39">
        <f>+K416*25000</f>
        <v>3750000</v>
      </c>
      <c r="O416" s="107">
        <f>+M416*$O$1</f>
        <v>2430000</v>
      </c>
      <c r="P416" s="108">
        <f>+N416+O416</f>
        <v>6180000</v>
      </c>
      <c r="Q416" s="39">
        <v>100</v>
      </c>
      <c r="R416" s="39">
        <f t="shared" si="80"/>
        <v>13500000</v>
      </c>
      <c r="S416" s="42">
        <f t="shared" si="81"/>
        <v>0</v>
      </c>
    </row>
    <row r="417" spans="1:19">
      <c r="A417" s="99">
        <v>2026</v>
      </c>
      <c r="B417" s="100">
        <v>4</v>
      </c>
      <c r="C417" s="101">
        <v>46122</v>
      </c>
      <c r="D417" s="101" t="str">
        <f t="shared" si="79"/>
        <v>PPS00002872Самарканд_Хуршед ака 3</v>
      </c>
      <c r="E417" s="99" t="s">
        <v>895</v>
      </c>
      <c r="F417" s="102" t="s">
        <v>886</v>
      </c>
      <c r="G417" s="102" t="s">
        <v>887</v>
      </c>
      <c r="H417" s="99" t="s">
        <v>255</v>
      </c>
      <c r="I417" s="102" t="s">
        <v>896</v>
      </c>
      <c r="J417" s="102" t="s">
        <v>46</v>
      </c>
      <c r="K417" s="103">
        <v>50</v>
      </c>
      <c r="L417" s="104">
        <v>64700</v>
      </c>
      <c r="M417" s="104">
        <v>3235000</v>
      </c>
      <c r="N417" s="39">
        <f>20000*K417</f>
        <v>1000000</v>
      </c>
      <c r="O417" s="107">
        <f>+M417*$O$1</f>
        <v>582300</v>
      </c>
      <c r="P417" s="108">
        <f>+N417+O417</f>
        <v>1582300</v>
      </c>
      <c r="Q417" s="39">
        <v>50</v>
      </c>
      <c r="R417" s="39">
        <f t="shared" si="80"/>
        <v>1617500</v>
      </c>
      <c r="S417" s="42">
        <f t="shared" si="81"/>
        <v>1617500</v>
      </c>
    </row>
    <row r="418" spans="1:19">
      <c r="A418" s="99">
        <v>2026</v>
      </c>
      <c r="B418" s="100">
        <v>4</v>
      </c>
      <c r="C418" s="101">
        <v>46122</v>
      </c>
      <c r="D418" s="101" t="str">
        <f t="shared" si="79"/>
        <v>PPS00002880Навоий_Дильноза опа</v>
      </c>
      <c r="E418" s="99" t="s">
        <v>897</v>
      </c>
      <c r="F418" s="102" t="s">
        <v>332</v>
      </c>
      <c r="G418" s="102" t="s">
        <v>333</v>
      </c>
      <c r="H418" s="99" t="s">
        <v>255</v>
      </c>
      <c r="I418" s="102" t="s">
        <v>117</v>
      </c>
      <c r="J418" s="102" t="s">
        <v>21</v>
      </c>
      <c r="K418" s="103">
        <v>64</v>
      </c>
      <c r="L418" s="104">
        <v>40621</v>
      </c>
      <c r="M418" s="104">
        <v>2599744</v>
      </c>
      <c r="N418" s="39">
        <f>+K418*15000</f>
        <v>960000</v>
      </c>
      <c r="O418" s="107">
        <f>+M418*$O$1</f>
        <v>467953.91999999998</v>
      </c>
      <c r="P418" s="108">
        <f>+N418+O418</f>
        <v>1427953.92</v>
      </c>
      <c r="Q418" s="39">
        <v>100</v>
      </c>
      <c r="R418" s="39">
        <f t="shared" si="80"/>
        <v>2599744</v>
      </c>
      <c r="S418" s="42">
        <f t="shared" si="81"/>
        <v>0</v>
      </c>
    </row>
    <row r="419" spans="1:19">
      <c r="A419" s="99">
        <v>2026</v>
      </c>
      <c r="B419" s="100">
        <v>4</v>
      </c>
      <c r="C419" s="101">
        <v>46125</v>
      </c>
      <c r="D419" s="101" t="str">
        <f t="shared" si="79"/>
        <v>PPS00002907Самарканд_Хуршед ака 2</v>
      </c>
      <c r="E419" s="99" t="s">
        <v>898</v>
      </c>
      <c r="F419" s="102" t="s">
        <v>899</v>
      </c>
      <c r="G419" s="102" t="s">
        <v>871</v>
      </c>
      <c r="H419" s="99" t="s">
        <v>255</v>
      </c>
      <c r="I419" s="102" t="s">
        <v>900</v>
      </c>
      <c r="J419" s="102" t="s">
        <v>41</v>
      </c>
      <c r="K419" s="103">
        <v>50</v>
      </c>
      <c r="L419" s="104">
        <v>90000</v>
      </c>
      <c r="M419" s="104">
        <v>4500000</v>
      </c>
      <c r="N419" s="39">
        <f>+K419*25000</f>
        <v>1250000</v>
      </c>
      <c r="O419" s="107">
        <f>+M419*$O$1</f>
        <v>810000</v>
      </c>
      <c r="P419" s="108">
        <f>+N419+O419</f>
        <v>2060000</v>
      </c>
      <c r="Q419" s="39">
        <v>100</v>
      </c>
      <c r="R419" s="39">
        <f t="shared" si="80"/>
        <v>4500000</v>
      </c>
      <c r="S419" s="42">
        <f t="shared" si="81"/>
        <v>0</v>
      </c>
    </row>
    <row r="420" spans="1:19">
      <c r="A420" s="99">
        <v>2026</v>
      </c>
      <c r="B420" s="100">
        <v>4</v>
      </c>
      <c r="C420" s="101">
        <v>46125</v>
      </c>
      <c r="D420" s="101" t="str">
        <f t="shared" si="79"/>
        <v>PPS00002910Самарканд_Хуршед ака 2</v>
      </c>
      <c r="E420" s="99" t="s">
        <v>901</v>
      </c>
      <c r="F420" s="102" t="s">
        <v>870</v>
      </c>
      <c r="G420" s="102" t="s">
        <v>871</v>
      </c>
      <c r="H420" s="99" t="s">
        <v>255</v>
      </c>
      <c r="I420" s="102" t="s">
        <v>902</v>
      </c>
      <c r="J420" s="102" t="s">
        <v>466</v>
      </c>
      <c r="K420" s="103">
        <v>8</v>
      </c>
      <c r="L420" s="104">
        <v>120000</v>
      </c>
      <c r="M420" s="104">
        <v>960000</v>
      </c>
      <c r="N420" s="39">
        <f>+K420*35000</f>
        <v>280000</v>
      </c>
      <c r="O420" s="107">
        <f>+M420*$O$1</f>
        <v>172800</v>
      </c>
      <c r="P420" s="108">
        <f>+N420+O420</f>
        <v>452800</v>
      </c>
      <c r="Q420" s="39">
        <v>100</v>
      </c>
      <c r="R420" s="39">
        <f t="shared" si="80"/>
        <v>960000</v>
      </c>
      <c r="S420" s="42">
        <f t="shared" si="81"/>
        <v>0</v>
      </c>
    </row>
    <row r="421" spans="1:19">
      <c r="A421" s="99">
        <v>2026</v>
      </c>
      <c r="B421" s="100">
        <v>4</v>
      </c>
      <c r="C421" s="101">
        <v>46125</v>
      </c>
      <c r="D421" s="101" t="str">
        <f t="shared" si="79"/>
        <v>PPS00002910Самарканд_Хуршед ака 2</v>
      </c>
      <c r="E421" s="99" t="s">
        <v>901</v>
      </c>
      <c r="F421" s="102" t="s">
        <v>870</v>
      </c>
      <c r="G421" s="102" t="s">
        <v>871</v>
      </c>
      <c r="H421" s="99" t="s">
        <v>255</v>
      </c>
      <c r="I421" s="102" t="s">
        <v>902</v>
      </c>
      <c r="J421" s="102" t="s">
        <v>41</v>
      </c>
      <c r="K421" s="103">
        <v>50</v>
      </c>
      <c r="L421" s="104">
        <v>90000</v>
      </c>
      <c r="M421" s="104">
        <v>4500000</v>
      </c>
      <c r="N421" s="39">
        <f>+K421*25000</f>
        <v>1250000</v>
      </c>
      <c r="O421" s="107">
        <f>+M421*$O$1</f>
        <v>810000</v>
      </c>
      <c r="P421" s="108">
        <f>+N421+O421</f>
        <v>2060000</v>
      </c>
      <c r="Q421" s="39">
        <v>100</v>
      </c>
      <c r="R421" s="39">
        <f t="shared" si="80"/>
        <v>4500000</v>
      </c>
      <c r="S421" s="42">
        <f t="shared" si="81"/>
        <v>0</v>
      </c>
    </row>
    <row r="422" spans="1:19">
      <c r="A422" s="99">
        <v>2026</v>
      </c>
      <c r="B422" s="100">
        <v>4</v>
      </c>
      <c r="C422" s="101">
        <v>46125</v>
      </c>
      <c r="D422" s="101" t="str">
        <f t="shared" si="79"/>
        <v>PPS00002914Тошкент_Мохира опа</v>
      </c>
      <c r="E422" s="99" t="s">
        <v>903</v>
      </c>
      <c r="F422" s="102" t="s">
        <v>414</v>
      </c>
      <c r="G422" s="102" t="s">
        <v>305</v>
      </c>
      <c r="H422" s="99" t="s">
        <v>255</v>
      </c>
      <c r="I422" s="102" t="s">
        <v>904</v>
      </c>
      <c r="J422" s="102" t="s">
        <v>21</v>
      </c>
      <c r="K422" s="103">
        <v>10</v>
      </c>
      <c r="L422" s="104">
        <v>40621</v>
      </c>
      <c r="M422" s="104">
        <v>406210</v>
      </c>
      <c r="N422" s="39">
        <f t="shared" ref="N422:N423" si="86">+K422*15000</f>
        <v>150000</v>
      </c>
      <c r="O422" s="107">
        <f>+M422*$O$1</f>
        <v>73117.8</v>
      </c>
      <c r="P422" s="108">
        <f>+N422+O422</f>
        <v>223117.8</v>
      </c>
      <c r="Q422" s="39">
        <v>100</v>
      </c>
      <c r="R422" s="39">
        <f t="shared" si="80"/>
        <v>406210</v>
      </c>
      <c r="S422" s="42">
        <f t="shared" si="81"/>
        <v>0</v>
      </c>
    </row>
    <row r="423" spans="1:19">
      <c r="A423" s="99">
        <v>2026</v>
      </c>
      <c r="B423" s="100">
        <v>4</v>
      </c>
      <c r="C423" s="101">
        <v>46125</v>
      </c>
      <c r="D423" s="101" t="str">
        <f t="shared" si="79"/>
        <v>PPS00002948Навоий_Дильноза опа</v>
      </c>
      <c r="E423" s="99" t="s">
        <v>905</v>
      </c>
      <c r="F423" s="102" t="s">
        <v>332</v>
      </c>
      <c r="G423" s="102" t="s">
        <v>333</v>
      </c>
      <c r="H423" s="99" t="s">
        <v>255</v>
      </c>
      <c r="I423" s="102" t="s">
        <v>526</v>
      </c>
      <c r="J423" s="102" t="s">
        <v>21</v>
      </c>
      <c r="K423" s="103">
        <v>17</v>
      </c>
      <c r="L423" s="104">
        <v>40621</v>
      </c>
      <c r="M423" s="104">
        <v>690557</v>
      </c>
      <c r="N423" s="39">
        <f t="shared" si="86"/>
        <v>255000</v>
      </c>
      <c r="O423" s="107">
        <f>+M423*$O$1</f>
        <v>124300.26</v>
      </c>
      <c r="P423" s="108">
        <f>+N423+O423</f>
        <v>379300.26</v>
      </c>
      <c r="Q423" s="39">
        <v>100</v>
      </c>
      <c r="R423" s="39">
        <f t="shared" si="80"/>
        <v>690557</v>
      </c>
      <c r="S423" s="42">
        <f t="shared" si="81"/>
        <v>0</v>
      </c>
    </row>
    <row r="424" spans="1:19">
      <c r="A424" s="99">
        <v>2026</v>
      </c>
      <c r="B424" s="100">
        <v>4</v>
      </c>
      <c r="C424" s="101">
        <v>46125</v>
      </c>
      <c r="D424" s="101" t="str">
        <f t="shared" si="79"/>
        <v>PPS00002957Самарканд_Хуршед ака 2</v>
      </c>
      <c r="E424" s="99" t="s">
        <v>906</v>
      </c>
      <c r="F424" s="102" t="s">
        <v>899</v>
      </c>
      <c r="G424" s="102" t="s">
        <v>871</v>
      </c>
      <c r="H424" s="99" t="s">
        <v>255</v>
      </c>
      <c r="I424" s="102" t="s">
        <v>907</v>
      </c>
      <c r="J424" s="102" t="s">
        <v>41</v>
      </c>
      <c r="K424" s="103">
        <v>20</v>
      </c>
      <c r="L424" s="104">
        <v>90000</v>
      </c>
      <c r="M424" s="104">
        <v>1800000</v>
      </c>
      <c r="N424" s="39">
        <f>+K424*25000</f>
        <v>500000</v>
      </c>
      <c r="O424" s="107">
        <f>+M424*$O$1</f>
        <v>324000</v>
      </c>
      <c r="P424" s="108">
        <f>+N424+O424</f>
        <v>824000</v>
      </c>
      <c r="Q424" s="39">
        <v>95</v>
      </c>
      <c r="R424" s="39">
        <f t="shared" si="80"/>
        <v>1710000</v>
      </c>
      <c r="S424" s="42">
        <f t="shared" si="81"/>
        <v>90000</v>
      </c>
    </row>
    <row r="425" spans="1:19">
      <c r="A425" s="99">
        <v>2026</v>
      </c>
      <c r="B425" s="100">
        <v>4</v>
      </c>
      <c r="C425" s="101">
        <v>46125</v>
      </c>
      <c r="D425" s="101" t="str">
        <f t="shared" si="79"/>
        <v>PPS00002964Жиззах_Саодат опа</v>
      </c>
      <c r="E425" s="99" t="s">
        <v>908</v>
      </c>
      <c r="F425" s="102" t="s">
        <v>496</v>
      </c>
      <c r="G425" s="102" t="s">
        <v>337</v>
      </c>
      <c r="H425" s="99" t="s">
        <v>255</v>
      </c>
      <c r="I425" s="102" t="s">
        <v>571</v>
      </c>
      <c r="J425" s="102" t="s">
        <v>21</v>
      </c>
      <c r="K425" s="103">
        <v>16</v>
      </c>
      <c r="L425" s="104">
        <v>40621</v>
      </c>
      <c r="M425" s="104">
        <v>649936</v>
      </c>
      <c r="N425" s="39">
        <f t="shared" ref="N425:N426" si="87">+K425*15000</f>
        <v>240000</v>
      </c>
      <c r="O425" s="107">
        <f>+M425*$O$1</f>
        <v>116988.48</v>
      </c>
      <c r="P425" s="108">
        <f>+N425+O425</f>
        <v>356988.48</v>
      </c>
      <c r="Q425" s="39">
        <v>100</v>
      </c>
      <c r="R425" s="39">
        <f t="shared" si="80"/>
        <v>649936</v>
      </c>
      <c r="S425" s="42">
        <f t="shared" si="81"/>
        <v>0</v>
      </c>
    </row>
    <row r="426" spans="1:19">
      <c r="A426" s="99">
        <v>2026</v>
      </c>
      <c r="B426" s="100">
        <v>4</v>
      </c>
      <c r="C426" s="101">
        <v>46125</v>
      </c>
      <c r="D426" s="101" t="str">
        <f t="shared" si="79"/>
        <v>PPS00002965Жиззах_Саодат опа</v>
      </c>
      <c r="E426" s="99" t="s">
        <v>909</v>
      </c>
      <c r="F426" s="102" t="s">
        <v>336</v>
      </c>
      <c r="G426" s="102" t="s">
        <v>337</v>
      </c>
      <c r="H426" s="99" t="s">
        <v>255</v>
      </c>
      <c r="I426" s="102" t="s">
        <v>378</v>
      </c>
      <c r="J426" s="102" t="s">
        <v>21</v>
      </c>
      <c r="K426" s="103">
        <v>24</v>
      </c>
      <c r="L426" s="104">
        <v>40621</v>
      </c>
      <c r="M426" s="104">
        <v>974904</v>
      </c>
      <c r="N426" s="39">
        <f t="shared" si="87"/>
        <v>360000</v>
      </c>
      <c r="O426" s="107">
        <f>+M426*$O$1</f>
        <v>175482.72</v>
      </c>
      <c r="P426" s="108">
        <f>+N426+O426</f>
        <v>535482.72</v>
      </c>
      <c r="Q426" s="39">
        <v>100</v>
      </c>
      <c r="R426" s="39">
        <f t="shared" si="80"/>
        <v>974904</v>
      </c>
      <c r="S426" s="42">
        <f t="shared" si="81"/>
        <v>0</v>
      </c>
    </row>
    <row r="427" spans="1:19">
      <c r="A427" s="99">
        <v>2026</v>
      </c>
      <c r="B427" s="100">
        <v>4</v>
      </c>
      <c r="C427" s="101">
        <v>46125</v>
      </c>
      <c r="D427" s="101" t="str">
        <f t="shared" si="79"/>
        <v>PPS00002967Бухоро_Нафосат опа</v>
      </c>
      <c r="E427" s="99" t="s">
        <v>910</v>
      </c>
      <c r="F427" s="102" t="s">
        <v>893</v>
      </c>
      <c r="G427" s="102" t="s">
        <v>894</v>
      </c>
      <c r="H427" s="99" t="s">
        <v>255</v>
      </c>
      <c r="I427" s="102" t="s">
        <v>665</v>
      </c>
      <c r="J427" s="102" t="s">
        <v>41</v>
      </c>
      <c r="K427" s="103">
        <v>50</v>
      </c>
      <c r="L427" s="104">
        <v>90000</v>
      </c>
      <c r="M427" s="104">
        <v>4500000</v>
      </c>
      <c r="N427" s="39">
        <f>+K427*25000</f>
        <v>1250000</v>
      </c>
      <c r="O427" s="107">
        <f>+M427*$O$1</f>
        <v>810000</v>
      </c>
      <c r="P427" s="108">
        <f>+N427+O427</f>
        <v>2060000</v>
      </c>
      <c r="Q427" s="39">
        <v>94</v>
      </c>
      <c r="R427" s="39">
        <f t="shared" si="80"/>
        <v>4230000</v>
      </c>
      <c r="S427" s="42">
        <f t="shared" si="81"/>
        <v>270000</v>
      </c>
    </row>
    <row r="428" spans="1:19">
      <c r="A428" s="99">
        <v>2026</v>
      </c>
      <c r="B428" s="100">
        <v>4</v>
      </c>
      <c r="C428" s="101">
        <v>46126</v>
      </c>
      <c r="D428" s="101" t="str">
        <f t="shared" si="79"/>
        <v>PPS00002983Самарканд_Хуршед ака 2</v>
      </c>
      <c r="E428" s="99" t="s">
        <v>911</v>
      </c>
      <c r="F428" s="102" t="s">
        <v>912</v>
      </c>
      <c r="G428" s="102" t="s">
        <v>871</v>
      </c>
      <c r="H428" s="99" t="s">
        <v>255</v>
      </c>
      <c r="I428" s="102" t="s">
        <v>913</v>
      </c>
      <c r="J428" s="102" t="s">
        <v>38</v>
      </c>
      <c r="K428" s="103">
        <v>100</v>
      </c>
      <c r="L428" s="104">
        <v>65000</v>
      </c>
      <c r="M428" s="104">
        <v>6500000</v>
      </c>
      <c r="N428" s="39">
        <f>+K428*20000</f>
        <v>2000000</v>
      </c>
      <c r="O428" s="107">
        <f>+M428*$O$1</f>
        <v>1170000</v>
      </c>
      <c r="P428" s="108">
        <f>+N428+O428</f>
        <v>3170000</v>
      </c>
      <c r="Q428" s="39">
        <v>50</v>
      </c>
      <c r="R428" s="39">
        <f t="shared" si="80"/>
        <v>3250000</v>
      </c>
      <c r="S428" s="42">
        <f t="shared" si="81"/>
        <v>3250000</v>
      </c>
    </row>
    <row r="429" spans="1:19">
      <c r="A429" s="99">
        <v>2026</v>
      </c>
      <c r="B429" s="100">
        <v>4</v>
      </c>
      <c r="C429" s="101">
        <v>46126</v>
      </c>
      <c r="D429" s="101" t="str">
        <f t="shared" si="79"/>
        <v>PPS00002983Самарканд_Хуршед ака 2</v>
      </c>
      <c r="E429" s="99" t="s">
        <v>911</v>
      </c>
      <c r="F429" s="102" t="s">
        <v>912</v>
      </c>
      <c r="G429" s="102" t="s">
        <v>871</v>
      </c>
      <c r="H429" s="99" t="s">
        <v>255</v>
      </c>
      <c r="I429" s="102" t="s">
        <v>913</v>
      </c>
      <c r="J429" s="102" t="s">
        <v>41</v>
      </c>
      <c r="K429" s="103">
        <v>100</v>
      </c>
      <c r="L429" s="104">
        <v>90000</v>
      </c>
      <c r="M429" s="104">
        <v>9000000</v>
      </c>
      <c r="N429" s="39">
        <f>+K429*25000</f>
        <v>2500000</v>
      </c>
      <c r="O429" s="107">
        <f>+M429*$O$1</f>
        <v>1620000</v>
      </c>
      <c r="P429" s="108">
        <f>+N429+O429</f>
        <v>4120000</v>
      </c>
      <c r="Q429" s="39">
        <v>50</v>
      </c>
      <c r="R429" s="39">
        <f t="shared" si="80"/>
        <v>4500000</v>
      </c>
      <c r="S429" s="42">
        <f t="shared" si="81"/>
        <v>4500000</v>
      </c>
    </row>
    <row r="430" spans="1:19">
      <c r="A430" s="99">
        <v>2026</v>
      </c>
      <c r="B430" s="100">
        <v>4</v>
      </c>
      <c r="C430" s="101">
        <v>46126</v>
      </c>
      <c r="D430" s="101" t="str">
        <f t="shared" si="79"/>
        <v>PPS00002999Сирдарьё_Зилола Опа</v>
      </c>
      <c r="E430" s="99" t="s">
        <v>914</v>
      </c>
      <c r="F430" s="102" t="s">
        <v>703</v>
      </c>
      <c r="G430" s="102" t="s">
        <v>704</v>
      </c>
      <c r="H430" s="99" t="s">
        <v>255</v>
      </c>
      <c r="I430" s="102" t="s">
        <v>915</v>
      </c>
      <c r="J430" s="102" t="s">
        <v>46</v>
      </c>
      <c r="K430" s="103">
        <v>20</v>
      </c>
      <c r="L430" s="104">
        <v>64700</v>
      </c>
      <c r="M430" s="104">
        <v>1294000</v>
      </c>
      <c r="N430" s="39">
        <f>20000*K430</f>
        <v>400000</v>
      </c>
      <c r="O430" s="107">
        <f>+M430*$O$1</f>
        <v>232920</v>
      </c>
      <c r="P430" s="108">
        <f>+N430+O430</f>
        <v>632920</v>
      </c>
      <c r="Q430" s="39">
        <v>100</v>
      </c>
      <c r="R430" s="39">
        <f t="shared" si="80"/>
        <v>1294000</v>
      </c>
      <c r="S430" s="42">
        <f t="shared" si="81"/>
        <v>0</v>
      </c>
    </row>
    <row r="431" spans="1:19">
      <c r="A431" s="99">
        <v>2026</v>
      </c>
      <c r="B431" s="100">
        <v>4</v>
      </c>
      <c r="C431" s="101">
        <v>46126</v>
      </c>
      <c r="D431" s="101" t="str">
        <f t="shared" si="79"/>
        <v>PPS00003004Самарканд_Хуршед ака 2</v>
      </c>
      <c r="E431" s="99" t="s">
        <v>916</v>
      </c>
      <c r="F431" s="102" t="s">
        <v>912</v>
      </c>
      <c r="G431" s="102" t="s">
        <v>871</v>
      </c>
      <c r="H431" s="99" t="s">
        <v>255</v>
      </c>
      <c r="I431" s="102" t="s">
        <v>917</v>
      </c>
      <c r="J431" s="102" t="s">
        <v>38</v>
      </c>
      <c r="K431" s="103">
        <v>50</v>
      </c>
      <c r="L431" s="104">
        <v>65000</v>
      </c>
      <c r="M431" s="104">
        <v>3250000</v>
      </c>
      <c r="N431" s="39">
        <f>+K431*20000</f>
        <v>1000000</v>
      </c>
      <c r="O431" s="107">
        <f>+M431*$O$1</f>
        <v>585000</v>
      </c>
      <c r="P431" s="108">
        <f>+N431+O431</f>
        <v>1585000</v>
      </c>
      <c r="Q431" s="39">
        <v>100</v>
      </c>
      <c r="R431" s="39">
        <f t="shared" si="80"/>
        <v>3250000</v>
      </c>
      <c r="S431" s="42">
        <f t="shared" si="81"/>
        <v>0</v>
      </c>
    </row>
    <row r="432" spans="1:19">
      <c r="A432" s="99">
        <v>2026</v>
      </c>
      <c r="B432" s="100">
        <v>4</v>
      </c>
      <c r="C432" s="101">
        <v>46126</v>
      </c>
      <c r="D432" s="101" t="str">
        <f t="shared" si="79"/>
        <v>PPS00003006Таш.Обл_Шахло опа</v>
      </c>
      <c r="E432" s="99" t="s">
        <v>918</v>
      </c>
      <c r="F432" s="102" t="s">
        <v>547</v>
      </c>
      <c r="G432" s="102" t="s">
        <v>464</v>
      </c>
      <c r="H432" s="99" t="s">
        <v>255</v>
      </c>
      <c r="I432" s="102" t="s">
        <v>784</v>
      </c>
      <c r="J432" s="102" t="s">
        <v>46</v>
      </c>
      <c r="K432" s="103">
        <v>10</v>
      </c>
      <c r="L432" s="104">
        <v>64700</v>
      </c>
      <c r="M432" s="104">
        <v>647000</v>
      </c>
      <c r="N432" s="39">
        <f>20000*K432</f>
        <v>200000</v>
      </c>
      <c r="O432" s="107">
        <f>+M432*$O$1</f>
        <v>116460</v>
      </c>
      <c r="P432" s="108">
        <f>+N432+O432</f>
        <v>316460</v>
      </c>
      <c r="Q432" s="39">
        <v>100</v>
      </c>
      <c r="R432" s="39">
        <f t="shared" si="80"/>
        <v>647000</v>
      </c>
      <c r="S432" s="42">
        <f t="shared" si="81"/>
        <v>0</v>
      </c>
    </row>
    <row r="433" spans="1:19">
      <c r="A433" s="99">
        <v>2026</v>
      </c>
      <c r="B433" s="100">
        <v>4</v>
      </c>
      <c r="C433" s="101">
        <v>46127</v>
      </c>
      <c r="D433" s="101" t="str">
        <f t="shared" si="79"/>
        <v>PPS00003011Самарканд_Хуршед ака 2</v>
      </c>
      <c r="E433" s="99" t="s">
        <v>919</v>
      </c>
      <c r="F433" s="102" t="s">
        <v>920</v>
      </c>
      <c r="G433" s="102" t="s">
        <v>871</v>
      </c>
      <c r="H433" s="99" t="s">
        <v>255</v>
      </c>
      <c r="I433" s="102" t="s">
        <v>921</v>
      </c>
      <c r="J433" s="102" t="s">
        <v>466</v>
      </c>
      <c r="K433" s="103">
        <v>30</v>
      </c>
      <c r="L433" s="104">
        <v>120000</v>
      </c>
      <c r="M433" s="104">
        <v>3600000</v>
      </c>
      <c r="N433" s="39">
        <f>+K433*35000</f>
        <v>1050000</v>
      </c>
      <c r="O433" s="107">
        <f>+M433*$O$1</f>
        <v>648000</v>
      </c>
      <c r="P433" s="108">
        <f>+N433+O433</f>
        <v>1698000</v>
      </c>
      <c r="Q433" s="39">
        <v>50</v>
      </c>
      <c r="R433" s="39">
        <f t="shared" si="80"/>
        <v>1800000</v>
      </c>
      <c r="S433" s="42">
        <f t="shared" si="81"/>
        <v>1800000</v>
      </c>
    </row>
    <row r="434" spans="1:19">
      <c r="A434" s="99">
        <v>2026</v>
      </c>
      <c r="B434" s="100">
        <v>4</v>
      </c>
      <c r="C434" s="101">
        <v>46127</v>
      </c>
      <c r="D434" s="101" t="str">
        <f t="shared" si="79"/>
        <v>PPS00003011Самарканд_Хуршед ака 2</v>
      </c>
      <c r="E434" s="99" t="s">
        <v>919</v>
      </c>
      <c r="F434" s="102" t="s">
        <v>920</v>
      </c>
      <c r="G434" s="102" t="s">
        <v>871</v>
      </c>
      <c r="H434" s="99" t="s">
        <v>255</v>
      </c>
      <c r="I434" s="102" t="s">
        <v>921</v>
      </c>
      <c r="J434" s="102" t="s">
        <v>38</v>
      </c>
      <c r="K434" s="103">
        <v>30</v>
      </c>
      <c r="L434" s="104">
        <v>65000</v>
      </c>
      <c r="M434" s="104">
        <v>1950000</v>
      </c>
      <c r="N434" s="39">
        <f>+K434*20000</f>
        <v>600000</v>
      </c>
      <c r="O434" s="107">
        <f>+M434*$O$1</f>
        <v>351000</v>
      </c>
      <c r="P434" s="108">
        <f>+N434+O434</f>
        <v>951000</v>
      </c>
      <c r="Q434" s="39">
        <v>50</v>
      </c>
      <c r="R434" s="39">
        <f t="shared" si="80"/>
        <v>975000</v>
      </c>
      <c r="S434" s="42">
        <f t="shared" si="81"/>
        <v>975000</v>
      </c>
    </row>
    <row r="435" spans="1:19">
      <c r="A435" s="99">
        <v>2026</v>
      </c>
      <c r="B435" s="100">
        <v>4</v>
      </c>
      <c r="C435" s="101">
        <v>46127</v>
      </c>
      <c r="D435" s="101" t="str">
        <f t="shared" si="79"/>
        <v>PPS00003011Самарканд_Хуршед ака 2</v>
      </c>
      <c r="E435" s="99" t="s">
        <v>919</v>
      </c>
      <c r="F435" s="102" t="s">
        <v>920</v>
      </c>
      <c r="G435" s="102" t="s">
        <v>871</v>
      </c>
      <c r="H435" s="99" t="s">
        <v>255</v>
      </c>
      <c r="I435" s="102" t="s">
        <v>921</v>
      </c>
      <c r="J435" s="102" t="s">
        <v>41</v>
      </c>
      <c r="K435" s="103">
        <v>50</v>
      </c>
      <c r="L435" s="104">
        <v>90000</v>
      </c>
      <c r="M435" s="104">
        <v>4500000</v>
      </c>
      <c r="N435" s="39">
        <f t="shared" ref="N435:N437" si="88">+K435*25000</f>
        <v>1250000</v>
      </c>
      <c r="O435" s="107">
        <f>+M435*$O$1</f>
        <v>810000</v>
      </c>
      <c r="P435" s="108">
        <f>+N435+O435</f>
        <v>2060000</v>
      </c>
      <c r="Q435" s="39">
        <v>50</v>
      </c>
      <c r="R435" s="39">
        <f t="shared" si="80"/>
        <v>2250000</v>
      </c>
      <c r="S435" s="42">
        <f t="shared" si="81"/>
        <v>2250000</v>
      </c>
    </row>
    <row r="436" spans="1:19">
      <c r="A436" s="99">
        <v>2026</v>
      </c>
      <c r="B436" s="100">
        <v>4</v>
      </c>
      <c r="C436" s="101">
        <v>46127</v>
      </c>
      <c r="D436" s="101" t="str">
        <f t="shared" si="79"/>
        <v>PPS00003013Самарканд_Хуршед ака 2</v>
      </c>
      <c r="E436" s="99" t="s">
        <v>922</v>
      </c>
      <c r="F436" s="102" t="s">
        <v>899</v>
      </c>
      <c r="G436" s="102" t="s">
        <v>871</v>
      </c>
      <c r="H436" s="99" t="s">
        <v>255</v>
      </c>
      <c r="I436" s="102" t="s">
        <v>923</v>
      </c>
      <c r="J436" s="102" t="s">
        <v>41</v>
      </c>
      <c r="K436" s="103">
        <v>100</v>
      </c>
      <c r="L436" s="104">
        <v>90000</v>
      </c>
      <c r="M436" s="104">
        <v>9000000</v>
      </c>
      <c r="N436" s="39">
        <f t="shared" si="88"/>
        <v>2500000</v>
      </c>
      <c r="O436" s="107">
        <f>+M436*$O$1</f>
        <v>1620000</v>
      </c>
      <c r="P436" s="108">
        <f>+N436+O436</f>
        <v>4120000</v>
      </c>
      <c r="Q436" s="39">
        <v>50</v>
      </c>
      <c r="R436" s="39">
        <f t="shared" si="80"/>
        <v>4500000</v>
      </c>
      <c r="S436" s="42">
        <f t="shared" si="81"/>
        <v>4500000</v>
      </c>
    </row>
    <row r="437" spans="1:19">
      <c r="A437" s="99">
        <v>2026</v>
      </c>
      <c r="B437" s="100">
        <v>4</v>
      </c>
      <c r="C437" s="101">
        <v>46127</v>
      </c>
      <c r="D437" s="101" t="str">
        <f t="shared" si="79"/>
        <v>PPS00003016Самарканд_Хуршед ака</v>
      </c>
      <c r="E437" s="99" t="s">
        <v>924</v>
      </c>
      <c r="F437" s="102" t="s">
        <v>271</v>
      </c>
      <c r="G437" s="102" t="s">
        <v>272</v>
      </c>
      <c r="H437" s="99" t="s">
        <v>255</v>
      </c>
      <c r="I437" s="102" t="s">
        <v>925</v>
      </c>
      <c r="J437" s="102" t="s">
        <v>41</v>
      </c>
      <c r="K437" s="103">
        <v>200</v>
      </c>
      <c r="L437" s="104">
        <v>90000</v>
      </c>
      <c r="M437" s="104">
        <v>18000000</v>
      </c>
      <c r="N437" s="39">
        <f t="shared" si="88"/>
        <v>5000000</v>
      </c>
      <c r="O437" s="107">
        <f>+M437*$O$1</f>
        <v>3240000</v>
      </c>
      <c r="P437" s="108">
        <f>+N437+O437</f>
        <v>8240000</v>
      </c>
      <c r="Q437" s="39">
        <v>33</v>
      </c>
      <c r="R437" s="39">
        <f t="shared" si="80"/>
        <v>5940000</v>
      </c>
      <c r="S437" s="42">
        <f t="shared" si="81"/>
        <v>12060000</v>
      </c>
    </row>
    <row r="438" spans="1:19">
      <c r="A438" s="99">
        <v>2026</v>
      </c>
      <c r="B438" s="100">
        <v>4</v>
      </c>
      <c r="C438" s="101">
        <v>46127</v>
      </c>
      <c r="D438" s="101" t="str">
        <f t="shared" si="79"/>
        <v>PPS00003017Самарканд_Хуршед ака</v>
      </c>
      <c r="E438" s="99" t="s">
        <v>926</v>
      </c>
      <c r="F438" s="102" t="s">
        <v>271</v>
      </c>
      <c r="G438" s="102" t="s">
        <v>272</v>
      </c>
      <c r="H438" s="99" t="s">
        <v>255</v>
      </c>
      <c r="I438" s="102" t="s">
        <v>925</v>
      </c>
      <c r="J438" s="102" t="s">
        <v>46</v>
      </c>
      <c r="K438" s="103">
        <v>200</v>
      </c>
      <c r="L438" s="104">
        <v>64700</v>
      </c>
      <c r="M438" s="104">
        <v>12940000</v>
      </c>
      <c r="N438" s="39">
        <f>20000*K438</f>
        <v>4000000</v>
      </c>
      <c r="O438" s="107">
        <f>+M438*$O$1</f>
        <v>2329200</v>
      </c>
      <c r="P438" s="108">
        <f>+N438+O438</f>
        <v>6329200</v>
      </c>
      <c r="Q438" s="39">
        <v>16</v>
      </c>
      <c r="R438" s="39">
        <f t="shared" si="80"/>
        <v>2070400</v>
      </c>
      <c r="S438" s="42">
        <f t="shared" si="81"/>
        <v>10869600</v>
      </c>
    </row>
    <row r="439" spans="1:19">
      <c r="A439" s="99">
        <v>2026</v>
      </c>
      <c r="B439" s="100">
        <v>4</v>
      </c>
      <c r="C439" s="101">
        <v>46127</v>
      </c>
      <c r="D439" s="101" t="str">
        <f t="shared" si="79"/>
        <v>PPS00003044Сирдарё_Фотима опа</v>
      </c>
      <c r="E439" s="99" t="s">
        <v>927</v>
      </c>
      <c r="F439" s="102" t="s">
        <v>284</v>
      </c>
      <c r="G439" s="102" t="s">
        <v>281</v>
      </c>
      <c r="H439" s="99" t="s">
        <v>255</v>
      </c>
      <c r="I439" s="102" t="s">
        <v>928</v>
      </c>
      <c r="J439" s="102" t="s">
        <v>38</v>
      </c>
      <c r="K439" s="103">
        <v>50</v>
      </c>
      <c r="L439" s="104">
        <v>65000</v>
      </c>
      <c r="M439" s="104">
        <v>3250000</v>
      </c>
      <c r="N439" s="39">
        <f t="shared" ref="N439:N440" si="89">+K439*20000</f>
        <v>1000000</v>
      </c>
      <c r="O439" s="107">
        <f>+M439*$O$1</f>
        <v>585000</v>
      </c>
      <c r="P439" s="108">
        <f>+N439+O439</f>
        <v>1585000</v>
      </c>
      <c r="Q439" s="39">
        <v>100</v>
      </c>
      <c r="R439" s="39">
        <f t="shared" si="80"/>
        <v>3250000</v>
      </c>
      <c r="S439" s="42">
        <f t="shared" si="81"/>
        <v>0</v>
      </c>
    </row>
    <row r="440" spans="1:19">
      <c r="A440" s="99">
        <v>2026</v>
      </c>
      <c r="B440" s="100">
        <v>4</v>
      </c>
      <c r="C440" s="101">
        <v>46127</v>
      </c>
      <c r="D440" s="101" t="str">
        <f t="shared" si="79"/>
        <v>PPS00003045Сурхондарьё_Анвар ака</v>
      </c>
      <c r="E440" s="99" t="s">
        <v>929</v>
      </c>
      <c r="F440" s="102" t="s">
        <v>874</v>
      </c>
      <c r="G440" s="102" t="s">
        <v>875</v>
      </c>
      <c r="H440" s="99" t="s">
        <v>255</v>
      </c>
      <c r="I440" s="102" t="s">
        <v>930</v>
      </c>
      <c r="J440" s="102" t="s">
        <v>38</v>
      </c>
      <c r="K440" s="103">
        <v>40</v>
      </c>
      <c r="L440" s="104">
        <v>65000</v>
      </c>
      <c r="M440" s="104">
        <v>2600000</v>
      </c>
      <c r="N440" s="39">
        <f t="shared" si="89"/>
        <v>800000</v>
      </c>
      <c r="O440" s="107">
        <f>+M440*$O$1</f>
        <v>468000</v>
      </c>
      <c r="P440" s="108">
        <f>+N440+O440</f>
        <v>1268000</v>
      </c>
      <c r="Q440" s="39">
        <v>100</v>
      </c>
      <c r="R440" s="39">
        <f t="shared" si="80"/>
        <v>2600000</v>
      </c>
      <c r="S440" s="42">
        <f t="shared" si="81"/>
        <v>0</v>
      </c>
    </row>
    <row r="441" spans="1:19">
      <c r="A441" s="99">
        <v>2026</v>
      </c>
      <c r="B441" s="100">
        <v>4</v>
      </c>
      <c r="C441" s="101">
        <v>46128</v>
      </c>
      <c r="D441" s="101" t="str">
        <f t="shared" si="79"/>
        <v>PPS00003060Сирдарьё_Зилола Опа</v>
      </c>
      <c r="E441" s="99" t="s">
        <v>931</v>
      </c>
      <c r="F441" s="102" t="s">
        <v>703</v>
      </c>
      <c r="G441" s="102" t="s">
        <v>704</v>
      </c>
      <c r="H441" s="99" t="s">
        <v>255</v>
      </c>
      <c r="I441" s="102" t="s">
        <v>320</v>
      </c>
      <c r="J441" s="102" t="s">
        <v>46</v>
      </c>
      <c r="K441" s="103">
        <v>60</v>
      </c>
      <c r="L441" s="104">
        <v>64700</v>
      </c>
      <c r="M441" s="104">
        <v>3882000</v>
      </c>
      <c r="N441" s="39">
        <f t="shared" ref="N441:N442" si="90">20000*K441</f>
        <v>1200000</v>
      </c>
      <c r="O441" s="107">
        <f>+M441*$O$1</f>
        <v>698760</v>
      </c>
      <c r="P441" s="108">
        <f>+N441+O441</f>
        <v>1898760</v>
      </c>
      <c r="Q441" s="39">
        <v>100</v>
      </c>
      <c r="R441" s="39">
        <f t="shared" si="80"/>
        <v>3882000</v>
      </c>
      <c r="S441" s="42">
        <f t="shared" si="81"/>
        <v>0</v>
      </c>
    </row>
    <row r="442" spans="1:19">
      <c r="A442" s="99">
        <v>2026</v>
      </c>
      <c r="B442" s="100">
        <v>4</v>
      </c>
      <c r="C442" s="101">
        <v>46128</v>
      </c>
      <c r="D442" s="101" t="str">
        <f t="shared" si="79"/>
        <v>PPS00003067Сирдарьё_Зилола Опа</v>
      </c>
      <c r="E442" s="99" t="s">
        <v>932</v>
      </c>
      <c r="F442" s="102" t="s">
        <v>736</v>
      </c>
      <c r="G442" s="102" t="s">
        <v>704</v>
      </c>
      <c r="H442" s="99" t="s">
        <v>255</v>
      </c>
      <c r="I442" s="102" t="s">
        <v>705</v>
      </c>
      <c r="J442" s="102" t="s">
        <v>46</v>
      </c>
      <c r="K442" s="103">
        <v>10</v>
      </c>
      <c r="L442" s="104">
        <v>64700</v>
      </c>
      <c r="M442" s="104">
        <v>647000</v>
      </c>
      <c r="N442" s="39">
        <f t="shared" si="90"/>
        <v>200000</v>
      </c>
      <c r="O442" s="107">
        <f>+M442*$O$1</f>
        <v>116460</v>
      </c>
      <c r="P442" s="108">
        <f>+N442+O442</f>
        <v>316460</v>
      </c>
      <c r="Q442" s="39">
        <v>100</v>
      </c>
      <c r="R442" s="39">
        <f t="shared" si="80"/>
        <v>647000</v>
      </c>
      <c r="S442" s="42">
        <f t="shared" si="81"/>
        <v>0</v>
      </c>
    </row>
    <row r="443" spans="1:19">
      <c r="A443" s="99">
        <v>2026</v>
      </c>
      <c r="B443" s="100">
        <v>4</v>
      </c>
      <c r="C443" s="101">
        <v>46128</v>
      </c>
      <c r="D443" s="101" t="str">
        <f t="shared" si="79"/>
        <v>PPS00003073Самарканд_Хуршед ака 2</v>
      </c>
      <c r="E443" s="99" t="s">
        <v>933</v>
      </c>
      <c r="F443" s="102" t="s">
        <v>912</v>
      </c>
      <c r="G443" s="102" t="s">
        <v>871</v>
      </c>
      <c r="H443" s="99" t="s">
        <v>255</v>
      </c>
      <c r="I443" s="102" t="s">
        <v>934</v>
      </c>
      <c r="J443" s="102" t="s">
        <v>466</v>
      </c>
      <c r="K443" s="103">
        <v>20</v>
      </c>
      <c r="L443" s="104">
        <v>120000</v>
      </c>
      <c r="M443" s="104">
        <v>2400000</v>
      </c>
      <c r="N443" s="39">
        <f>+K443*35000</f>
        <v>700000</v>
      </c>
      <c r="O443" s="107">
        <f>+M443*$O$1</f>
        <v>432000</v>
      </c>
      <c r="P443" s="108">
        <f>+N443+O443</f>
        <v>1132000</v>
      </c>
      <c r="Q443" s="39">
        <v>50</v>
      </c>
      <c r="R443" s="39">
        <f t="shared" si="80"/>
        <v>1200000</v>
      </c>
      <c r="S443" s="42">
        <f t="shared" si="81"/>
        <v>1200000</v>
      </c>
    </row>
    <row r="444" spans="1:19">
      <c r="A444" s="99">
        <v>2026</v>
      </c>
      <c r="B444" s="100">
        <v>4</v>
      </c>
      <c r="C444" s="101">
        <v>46128</v>
      </c>
      <c r="D444" s="101" t="str">
        <f t="shared" si="79"/>
        <v>PPS00003073Самарканд_Хуршед ака 2</v>
      </c>
      <c r="E444" s="99" t="s">
        <v>933</v>
      </c>
      <c r="F444" s="102" t="s">
        <v>912</v>
      </c>
      <c r="G444" s="102" t="s">
        <v>871</v>
      </c>
      <c r="H444" s="99" t="s">
        <v>255</v>
      </c>
      <c r="I444" s="102" t="s">
        <v>934</v>
      </c>
      <c r="J444" s="102" t="s">
        <v>41</v>
      </c>
      <c r="K444" s="103">
        <v>20</v>
      </c>
      <c r="L444" s="104">
        <v>90000</v>
      </c>
      <c r="M444" s="104">
        <v>1800000</v>
      </c>
      <c r="N444" s="39">
        <f>+K444*25000</f>
        <v>500000</v>
      </c>
      <c r="O444" s="107">
        <f>+M444*$O$1</f>
        <v>324000</v>
      </c>
      <c r="P444" s="108">
        <f>+N444+O444</f>
        <v>824000</v>
      </c>
      <c r="Q444" s="39">
        <v>50</v>
      </c>
      <c r="R444" s="39">
        <f t="shared" si="80"/>
        <v>900000</v>
      </c>
      <c r="S444" s="42">
        <f t="shared" si="81"/>
        <v>900000</v>
      </c>
    </row>
    <row r="445" spans="1:19">
      <c r="A445" s="99">
        <v>2026</v>
      </c>
      <c r="B445" s="100">
        <v>4</v>
      </c>
      <c r="C445" s="101">
        <v>46128</v>
      </c>
      <c r="D445" s="101" t="str">
        <f t="shared" si="79"/>
        <v>PPS00003090Самарканд_Хуршед ака 3</v>
      </c>
      <c r="E445" s="99" t="s">
        <v>935</v>
      </c>
      <c r="F445" s="102" t="s">
        <v>271</v>
      </c>
      <c r="G445" s="102" t="s">
        <v>887</v>
      </c>
      <c r="H445" s="99" t="s">
        <v>255</v>
      </c>
      <c r="I445" s="102" t="s">
        <v>936</v>
      </c>
      <c r="J445" s="102" t="s">
        <v>46</v>
      </c>
      <c r="K445" s="103">
        <v>100</v>
      </c>
      <c r="L445" s="104">
        <v>64700</v>
      </c>
      <c r="M445" s="104">
        <v>6470000</v>
      </c>
      <c r="N445" s="39">
        <f t="shared" ref="N445:N447" si="91">20000*K445</f>
        <v>2000000</v>
      </c>
      <c r="O445" s="107">
        <f>+M445*$O$1</f>
        <v>1164600</v>
      </c>
      <c r="P445" s="108">
        <f>+N445+O445</f>
        <v>3164600</v>
      </c>
      <c r="Q445" s="39">
        <v>100</v>
      </c>
      <c r="R445" s="39">
        <f t="shared" si="80"/>
        <v>6470000</v>
      </c>
      <c r="S445" s="42">
        <f t="shared" si="81"/>
        <v>0</v>
      </c>
    </row>
    <row r="446" spans="1:19">
      <c r="A446" s="99">
        <v>2026</v>
      </c>
      <c r="B446" s="100">
        <v>4</v>
      </c>
      <c r="C446" s="101">
        <v>46128</v>
      </c>
      <c r="D446" s="101" t="str">
        <f t="shared" si="79"/>
        <v>PPS00003095Сирдарьё_Зилола Опа</v>
      </c>
      <c r="E446" s="99" t="s">
        <v>937</v>
      </c>
      <c r="F446" s="102" t="s">
        <v>736</v>
      </c>
      <c r="G446" s="102" t="s">
        <v>704</v>
      </c>
      <c r="H446" s="99" t="s">
        <v>255</v>
      </c>
      <c r="I446" s="102" t="s">
        <v>443</v>
      </c>
      <c r="J446" s="102" t="s">
        <v>46</v>
      </c>
      <c r="K446" s="103">
        <v>20</v>
      </c>
      <c r="L446" s="104">
        <v>64700</v>
      </c>
      <c r="M446" s="104">
        <v>1294000</v>
      </c>
      <c r="N446" s="39">
        <f t="shared" si="91"/>
        <v>400000</v>
      </c>
      <c r="O446" s="107">
        <f>+M446*$O$1</f>
        <v>232920</v>
      </c>
      <c r="P446" s="108">
        <f>+N446+O446</f>
        <v>632920</v>
      </c>
      <c r="Q446" s="39">
        <v>100</v>
      </c>
      <c r="R446" s="39">
        <f t="shared" si="80"/>
        <v>1294000</v>
      </c>
      <c r="S446" s="42">
        <f t="shared" si="81"/>
        <v>0</v>
      </c>
    </row>
    <row r="447" spans="1:19">
      <c r="A447" s="99">
        <v>2026</v>
      </c>
      <c r="B447" s="100">
        <v>4</v>
      </c>
      <c r="C447" s="101">
        <v>46128</v>
      </c>
      <c r="D447" s="101" t="str">
        <f t="shared" si="79"/>
        <v>PPS00003097Таш.Обл_Шахло опа</v>
      </c>
      <c r="E447" s="99" t="s">
        <v>938</v>
      </c>
      <c r="F447" s="102" t="s">
        <v>677</v>
      </c>
      <c r="G447" s="102" t="s">
        <v>464</v>
      </c>
      <c r="H447" s="99" t="s">
        <v>255</v>
      </c>
      <c r="I447" s="102" t="s">
        <v>825</v>
      </c>
      <c r="J447" s="102" t="s">
        <v>46</v>
      </c>
      <c r="K447" s="103">
        <v>20</v>
      </c>
      <c r="L447" s="104">
        <v>64700</v>
      </c>
      <c r="M447" s="104">
        <v>1294000</v>
      </c>
      <c r="N447" s="39">
        <f t="shared" si="91"/>
        <v>400000</v>
      </c>
      <c r="O447" s="107">
        <f>+M447*$O$1</f>
        <v>232920</v>
      </c>
      <c r="P447" s="108">
        <f>+N447+O447</f>
        <v>632920</v>
      </c>
      <c r="Q447" s="39">
        <v>56</v>
      </c>
      <c r="R447" s="39">
        <f t="shared" si="80"/>
        <v>724640.00000000012</v>
      </c>
      <c r="S447" s="42">
        <f t="shared" si="81"/>
        <v>569359.99999999988</v>
      </c>
    </row>
    <row r="448" spans="1:19">
      <c r="A448" s="99">
        <v>2026</v>
      </c>
      <c r="B448" s="100">
        <v>4</v>
      </c>
      <c r="C448" s="101">
        <v>46128</v>
      </c>
      <c r="D448" s="101" t="str">
        <f t="shared" si="79"/>
        <v>PPS00003102Сирдарё_Фотима опа</v>
      </c>
      <c r="E448" s="99" t="s">
        <v>939</v>
      </c>
      <c r="F448" s="102" t="s">
        <v>284</v>
      </c>
      <c r="G448" s="102" t="s">
        <v>281</v>
      </c>
      <c r="H448" s="99" t="s">
        <v>255</v>
      </c>
      <c r="I448" s="102" t="s">
        <v>25</v>
      </c>
      <c r="J448" s="102" t="s">
        <v>38</v>
      </c>
      <c r="K448" s="103">
        <v>100</v>
      </c>
      <c r="L448" s="104">
        <v>65000</v>
      </c>
      <c r="M448" s="104">
        <v>6500000</v>
      </c>
      <c r="N448" s="39">
        <f>+K448*20000</f>
        <v>2000000</v>
      </c>
      <c r="O448" s="107">
        <f>+M448*$O$1</f>
        <v>1170000</v>
      </c>
      <c r="P448" s="108">
        <f>+N448+O448</f>
        <v>3170000</v>
      </c>
      <c r="Q448" s="39">
        <v>100</v>
      </c>
      <c r="R448" s="39">
        <f t="shared" si="80"/>
        <v>6500000</v>
      </c>
      <c r="S448" s="42">
        <f t="shared" si="81"/>
        <v>0</v>
      </c>
    </row>
    <row r="449" spans="1:19">
      <c r="A449" s="99">
        <v>2026</v>
      </c>
      <c r="B449" s="100">
        <v>4</v>
      </c>
      <c r="C449" s="101">
        <v>46128</v>
      </c>
      <c r="D449" s="101" t="str">
        <f t="shared" si="79"/>
        <v>PPS00003117Навоий_Дильноза опа</v>
      </c>
      <c r="E449" s="99" t="s">
        <v>940</v>
      </c>
      <c r="F449" s="102" t="s">
        <v>332</v>
      </c>
      <c r="G449" s="102" t="s">
        <v>333</v>
      </c>
      <c r="H449" s="99" t="s">
        <v>255</v>
      </c>
      <c r="I449" s="102" t="s">
        <v>439</v>
      </c>
      <c r="J449" s="102" t="s">
        <v>21</v>
      </c>
      <c r="K449" s="103">
        <v>12</v>
      </c>
      <c r="L449" s="104">
        <v>40621</v>
      </c>
      <c r="M449" s="104">
        <v>487452</v>
      </c>
      <c r="N449" s="39">
        <f>+K449*15000</f>
        <v>180000</v>
      </c>
      <c r="O449" s="107">
        <f>+M449*$O$1</f>
        <v>87741.36</v>
      </c>
      <c r="P449" s="108">
        <f>+N449+O449</f>
        <v>267741.36</v>
      </c>
      <c r="Q449" s="39">
        <v>100</v>
      </c>
      <c r="R449" s="39">
        <f t="shared" si="80"/>
        <v>487452</v>
      </c>
      <c r="S449" s="42">
        <f t="shared" si="81"/>
        <v>0</v>
      </c>
    </row>
    <row r="450" spans="1:19">
      <c r="A450" s="99">
        <v>2026</v>
      </c>
      <c r="B450" s="100">
        <v>4</v>
      </c>
      <c r="C450" s="101">
        <v>46129</v>
      </c>
      <c r="D450" s="101" t="str">
        <f t="shared" si="79"/>
        <v>PPS00003129Самарканд_Хуршед ака 2</v>
      </c>
      <c r="E450" s="99" t="s">
        <v>941</v>
      </c>
      <c r="F450" s="102" t="s">
        <v>920</v>
      </c>
      <c r="G450" s="102" t="s">
        <v>871</v>
      </c>
      <c r="H450" s="99" t="s">
        <v>255</v>
      </c>
      <c r="I450" s="102" t="s">
        <v>942</v>
      </c>
      <c r="J450" s="102" t="s">
        <v>38</v>
      </c>
      <c r="K450" s="103">
        <v>100</v>
      </c>
      <c r="L450" s="104">
        <v>65000</v>
      </c>
      <c r="M450" s="104">
        <v>6500000</v>
      </c>
      <c r="N450" s="39">
        <f>+K450*20000</f>
        <v>2000000</v>
      </c>
      <c r="O450" s="107">
        <f>+M450*$O$1</f>
        <v>1170000</v>
      </c>
      <c r="P450" s="108">
        <f>+N450+O450</f>
        <v>3170000</v>
      </c>
      <c r="Q450" s="39">
        <v>50</v>
      </c>
      <c r="R450" s="39">
        <f t="shared" si="80"/>
        <v>3250000</v>
      </c>
      <c r="S450" s="42">
        <f t="shared" si="81"/>
        <v>3250000</v>
      </c>
    </row>
    <row r="451" spans="1:19">
      <c r="A451" s="99">
        <v>2026</v>
      </c>
      <c r="B451" s="100">
        <v>4</v>
      </c>
      <c r="C451" s="101">
        <v>46129</v>
      </c>
      <c r="D451" s="101" t="str">
        <f t="shared" si="79"/>
        <v>PPS00003141Самарканд_Хуршед ака 2</v>
      </c>
      <c r="E451" s="99" t="s">
        <v>943</v>
      </c>
      <c r="F451" s="102" t="s">
        <v>912</v>
      </c>
      <c r="G451" s="102" t="s">
        <v>871</v>
      </c>
      <c r="H451" s="99" t="s">
        <v>255</v>
      </c>
      <c r="I451" s="102" t="s">
        <v>944</v>
      </c>
      <c r="J451" s="102" t="s">
        <v>41</v>
      </c>
      <c r="K451" s="103">
        <v>40</v>
      </c>
      <c r="L451" s="104">
        <v>90000</v>
      </c>
      <c r="M451" s="104">
        <v>3600000</v>
      </c>
      <c r="N451" s="39">
        <f t="shared" ref="N451:N453" si="92">+K451*25000</f>
        <v>1000000</v>
      </c>
      <c r="O451" s="107">
        <f>+M451*$O$1</f>
        <v>648000</v>
      </c>
      <c r="P451" s="108">
        <f>+N451+O451</f>
        <v>1648000</v>
      </c>
      <c r="Q451" s="39">
        <v>50</v>
      </c>
      <c r="R451" s="39">
        <f t="shared" si="80"/>
        <v>1800000</v>
      </c>
      <c r="S451" s="42">
        <f t="shared" si="81"/>
        <v>1800000</v>
      </c>
    </row>
    <row r="452" spans="1:19">
      <c r="A452" s="99">
        <v>2026</v>
      </c>
      <c r="B452" s="100">
        <v>4</v>
      </c>
      <c r="C452" s="101">
        <v>46129</v>
      </c>
      <c r="D452" s="101" t="str">
        <f t="shared" ref="D452:D515" si="93">+E452&amp;G452</f>
        <v>PPS00003141Самарканд_Хуршед ака 2</v>
      </c>
      <c r="E452" s="99" t="s">
        <v>943</v>
      </c>
      <c r="F452" s="102" t="s">
        <v>912</v>
      </c>
      <c r="G452" s="102" t="s">
        <v>871</v>
      </c>
      <c r="H452" s="99" t="s">
        <v>255</v>
      </c>
      <c r="I452" s="102" t="s">
        <v>944</v>
      </c>
      <c r="J452" s="102" t="s">
        <v>41</v>
      </c>
      <c r="K452" s="103">
        <v>10</v>
      </c>
      <c r="L452" s="104">
        <v>90000</v>
      </c>
      <c r="M452" s="104">
        <v>900000</v>
      </c>
      <c r="N452" s="39">
        <f t="shared" si="92"/>
        <v>250000</v>
      </c>
      <c r="O452" s="107">
        <f>+M452*$O$1</f>
        <v>162000</v>
      </c>
      <c r="P452" s="108">
        <f>+N452+O452</f>
        <v>412000</v>
      </c>
      <c r="Q452" s="39">
        <v>50</v>
      </c>
      <c r="R452" s="39">
        <f t="shared" ref="R452:R515" si="94">+M452*Q452%</f>
        <v>450000</v>
      </c>
      <c r="S452" s="42">
        <f t="shared" ref="S452:S515" si="95">M452-R452</f>
        <v>450000</v>
      </c>
    </row>
    <row r="453" spans="1:19">
      <c r="A453" s="99">
        <v>2026</v>
      </c>
      <c r="B453" s="100">
        <v>4</v>
      </c>
      <c r="C453" s="101">
        <v>46129</v>
      </c>
      <c r="D453" s="101" t="str">
        <f t="shared" si="93"/>
        <v>PPS00003145Самарканд_Хуршед ака 2</v>
      </c>
      <c r="E453" s="99" t="s">
        <v>945</v>
      </c>
      <c r="F453" s="102" t="s">
        <v>912</v>
      </c>
      <c r="G453" s="102" t="s">
        <v>871</v>
      </c>
      <c r="H453" s="99" t="s">
        <v>255</v>
      </c>
      <c r="I453" s="102" t="s">
        <v>946</v>
      </c>
      <c r="J453" s="102" t="s">
        <v>41</v>
      </c>
      <c r="K453" s="103">
        <v>40</v>
      </c>
      <c r="L453" s="104">
        <v>90000</v>
      </c>
      <c r="M453" s="104">
        <v>3600000</v>
      </c>
      <c r="N453" s="39">
        <f t="shared" si="92"/>
        <v>1000000</v>
      </c>
      <c r="O453" s="107">
        <f>+M453*$O$1</f>
        <v>648000</v>
      </c>
      <c r="P453" s="108">
        <f>+N453+O453</f>
        <v>1648000</v>
      </c>
      <c r="Q453" s="39">
        <v>51</v>
      </c>
      <c r="R453" s="39">
        <f t="shared" si="94"/>
        <v>1836000</v>
      </c>
      <c r="S453" s="42">
        <f t="shared" si="95"/>
        <v>1764000</v>
      </c>
    </row>
    <row r="454" spans="1:19">
      <c r="A454" s="99">
        <v>2026</v>
      </c>
      <c r="B454" s="100">
        <v>4</v>
      </c>
      <c r="C454" s="101">
        <v>46129</v>
      </c>
      <c r="D454" s="101" t="str">
        <f t="shared" si="93"/>
        <v>PPS00003145Самарканд_Хуршед ака 2</v>
      </c>
      <c r="E454" s="99" t="s">
        <v>945</v>
      </c>
      <c r="F454" s="102" t="s">
        <v>912</v>
      </c>
      <c r="G454" s="102" t="s">
        <v>871</v>
      </c>
      <c r="H454" s="99" t="s">
        <v>255</v>
      </c>
      <c r="I454" s="102" t="s">
        <v>946</v>
      </c>
      <c r="J454" s="102" t="s">
        <v>38</v>
      </c>
      <c r="K454" s="103">
        <v>20</v>
      </c>
      <c r="L454" s="104">
        <v>65000</v>
      </c>
      <c r="M454" s="104">
        <v>1300000</v>
      </c>
      <c r="N454" s="39">
        <f>+K454*20000</f>
        <v>400000</v>
      </c>
      <c r="O454" s="107">
        <f>+M454*$O$1</f>
        <v>234000</v>
      </c>
      <c r="P454" s="108">
        <f>+N454+O454</f>
        <v>634000</v>
      </c>
      <c r="Q454" s="39">
        <v>51</v>
      </c>
      <c r="R454" s="39">
        <f t="shared" si="94"/>
        <v>663000</v>
      </c>
      <c r="S454" s="42">
        <f t="shared" si="95"/>
        <v>637000</v>
      </c>
    </row>
    <row r="455" spans="1:19">
      <c r="A455" s="99">
        <v>2026</v>
      </c>
      <c r="B455" s="100">
        <v>4</v>
      </c>
      <c r="C455" s="101">
        <v>46129</v>
      </c>
      <c r="D455" s="101" t="str">
        <f t="shared" si="93"/>
        <v>PPS00003145Самарканд_Хуршед ака 2</v>
      </c>
      <c r="E455" s="99" t="s">
        <v>945</v>
      </c>
      <c r="F455" s="102" t="s">
        <v>912</v>
      </c>
      <c r="G455" s="102" t="s">
        <v>871</v>
      </c>
      <c r="H455" s="99" t="s">
        <v>255</v>
      </c>
      <c r="I455" s="102" t="s">
        <v>946</v>
      </c>
      <c r="J455" s="102" t="s">
        <v>466</v>
      </c>
      <c r="K455" s="103">
        <v>10</v>
      </c>
      <c r="L455" s="104">
        <v>120000</v>
      </c>
      <c r="M455" s="104">
        <v>1200000</v>
      </c>
      <c r="N455" s="39">
        <f>+K455*35000</f>
        <v>350000</v>
      </c>
      <c r="O455" s="107">
        <f>+M455*$O$1</f>
        <v>216000</v>
      </c>
      <c r="P455" s="108">
        <f>+N455+O455</f>
        <v>566000</v>
      </c>
      <c r="Q455" s="39">
        <v>51</v>
      </c>
      <c r="R455" s="39">
        <f t="shared" si="94"/>
        <v>612000</v>
      </c>
      <c r="S455" s="42">
        <f t="shared" si="95"/>
        <v>588000</v>
      </c>
    </row>
    <row r="456" spans="1:19">
      <c r="A456" s="99">
        <v>2026</v>
      </c>
      <c r="B456" s="100">
        <v>4</v>
      </c>
      <c r="C456" s="101">
        <v>46129</v>
      </c>
      <c r="D456" s="101" t="str">
        <f t="shared" si="93"/>
        <v>PPS00003152Сирдарьё_Зилола Опа</v>
      </c>
      <c r="E456" s="99" t="s">
        <v>947</v>
      </c>
      <c r="F456" s="102" t="s">
        <v>736</v>
      </c>
      <c r="G456" s="102" t="s">
        <v>704</v>
      </c>
      <c r="H456" s="99" t="s">
        <v>255</v>
      </c>
      <c r="I456" s="102" t="s">
        <v>948</v>
      </c>
      <c r="J456" s="102" t="s">
        <v>46</v>
      </c>
      <c r="K456" s="103">
        <v>20</v>
      </c>
      <c r="L456" s="104">
        <v>64700</v>
      </c>
      <c r="M456" s="104">
        <v>1294000</v>
      </c>
      <c r="N456" s="39">
        <f>20000*K456</f>
        <v>400000</v>
      </c>
      <c r="O456" s="107">
        <f>+M456*$O$1</f>
        <v>232920</v>
      </c>
      <c r="P456" s="108">
        <f>+N456+O456</f>
        <v>632920</v>
      </c>
      <c r="Q456" s="39">
        <v>36</v>
      </c>
      <c r="R456" s="39">
        <f t="shared" si="94"/>
        <v>465840</v>
      </c>
      <c r="S456" s="42">
        <f t="shared" si="95"/>
        <v>828160</v>
      </c>
    </row>
    <row r="457" spans="1:19">
      <c r="A457" s="99">
        <v>2026</v>
      </c>
      <c r="B457" s="100">
        <v>4</v>
      </c>
      <c r="C457" s="101">
        <v>46129</v>
      </c>
      <c r="D457" s="101" t="str">
        <f t="shared" si="93"/>
        <v>PPS00003155Самарканд_Хуршед ака 2</v>
      </c>
      <c r="E457" s="99" t="s">
        <v>949</v>
      </c>
      <c r="F457" s="102" t="s">
        <v>920</v>
      </c>
      <c r="G457" s="102" t="s">
        <v>871</v>
      </c>
      <c r="H457" s="99" t="s">
        <v>255</v>
      </c>
      <c r="I457" s="102" t="s">
        <v>950</v>
      </c>
      <c r="J457" s="102" t="s">
        <v>38</v>
      </c>
      <c r="K457" s="103">
        <v>10</v>
      </c>
      <c r="L457" s="104">
        <v>65000</v>
      </c>
      <c r="M457" s="104">
        <v>650000</v>
      </c>
      <c r="N457" s="39">
        <f>+K457*20000</f>
        <v>200000</v>
      </c>
      <c r="O457" s="107">
        <f>+M457*$O$1</f>
        <v>117000</v>
      </c>
      <c r="P457" s="108">
        <f>+N457+O457</f>
        <v>317000</v>
      </c>
      <c r="Q457" s="39">
        <v>100</v>
      </c>
      <c r="R457" s="39">
        <f t="shared" si="94"/>
        <v>650000</v>
      </c>
      <c r="S457" s="42">
        <f t="shared" si="95"/>
        <v>0</v>
      </c>
    </row>
    <row r="458" spans="1:19">
      <c r="A458" s="99">
        <v>2026</v>
      </c>
      <c r="B458" s="100">
        <v>4</v>
      </c>
      <c r="C458" s="101">
        <v>46129</v>
      </c>
      <c r="D458" s="101" t="str">
        <f t="shared" si="93"/>
        <v>PPS00003155Самарканд_Хуршед ака 2</v>
      </c>
      <c r="E458" s="99" t="s">
        <v>949</v>
      </c>
      <c r="F458" s="102" t="s">
        <v>920</v>
      </c>
      <c r="G458" s="102" t="s">
        <v>871</v>
      </c>
      <c r="H458" s="99" t="s">
        <v>255</v>
      </c>
      <c r="I458" s="102" t="s">
        <v>950</v>
      </c>
      <c r="J458" s="102" t="s">
        <v>41</v>
      </c>
      <c r="K458" s="103">
        <v>19</v>
      </c>
      <c r="L458" s="104">
        <v>90000</v>
      </c>
      <c r="M458" s="104">
        <v>1710000</v>
      </c>
      <c r="N458" s="39">
        <f>+K458*25000</f>
        <v>475000</v>
      </c>
      <c r="O458" s="107">
        <f>+M458*$O$1</f>
        <v>307800</v>
      </c>
      <c r="P458" s="108">
        <f>+N458+O458</f>
        <v>782800</v>
      </c>
      <c r="Q458" s="39">
        <v>100</v>
      </c>
      <c r="R458" s="39">
        <f t="shared" si="94"/>
        <v>1710000</v>
      </c>
      <c r="S458" s="42">
        <f t="shared" si="95"/>
        <v>0</v>
      </c>
    </row>
    <row r="459" spans="1:19">
      <c r="A459" s="99">
        <v>2026</v>
      </c>
      <c r="B459" s="100">
        <v>4</v>
      </c>
      <c r="C459" s="101">
        <v>46129</v>
      </c>
      <c r="D459" s="101" t="str">
        <f t="shared" si="93"/>
        <v>PPS00003156Кашкадарьё_Феруз ака</v>
      </c>
      <c r="E459" s="99" t="s">
        <v>951</v>
      </c>
      <c r="F459" s="102" t="s">
        <v>501</v>
      </c>
      <c r="G459" s="102" t="s">
        <v>502</v>
      </c>
      <c r="H459" s="99" t="s">
        <v>255</v>
      </c>
      <c r="I459" s="102" t="s">
        <v>508</v>
      </c>
      <c r="J459" s="102" t="s">
        <v>38</v>
      </c>
      <c r="K459" s="103">
        <v>60</v>
      </c>
      <c r="L459" s="104">
        <v>65000</v>
      </c>
      <c r="M459" s="104">
        <v>3900000</v>
      </c>
      <c r="N459" s="39">
        <f>+K459*20000</f>
        <v>1200000</v>
      </c>
      <c r="O459" s="107">
        <f>+M459*$O$1</f>
        <v>702000</v>
      </c>
      <c r="P459" s="108">
        <f>+N459+O459</f>
        <v>1902000</v>
      </c>
      <c r="Q459" s="39">
        <v>100</v>
      </c>
      <c r="R459" s="39">
        <f t="shared" si="94"/>
        <v>3900000</v>
      </c>
      <c r="S459" s="42">
        <f t="shared" si="95"/>
        <v>0</v>
      </c>
    </row>
    <row r="460" spans="1:19">
      <c r="A460" s="99">
        <v>2026</v>
      </c>
      <c r="B460" s="100">
        <v>4</v>
      </c>
      <c r="C460" s="101">
        <v>46129</v>
      </c>
      <c r="D460" s="101" t="str">
        <f t="shared" si="93"/>
        <v>PPS00003174Таш.Обл_Шахло опа</v>
      </c>
      <c r="E460" s="99" t="s">
        <v>952</v>
      </c>
      <c r="F460" s="102" t="s">
        <v>547</v>
      </c>
      <c r="G460" s="102" t="s">
        <v>464</v>
      </c>
      <c r="H460" s="99" t="s">
        <v>255</v>
      </c>
      <c r="I460" s="102" t="s">
        <v>953</v>
      </c>
      <c r="J460" s="102" t="s">
        <v>46</v>
      </c>
      <c r="K460" s="103">
        <v>50</v>
      </c>
      <c r="L460" s="104">
        <v>64700</v>
      </c>
      <c r="M460" s="104">
        <v>3235000</v>
      </c>
      <c r="N460" s="39">
        <f>20000*K460</f>
        <v>1000000</v>
      </c>
      <c r="O460" s="107">
        <f>+M460*$O$1</f>
        <v>582300</v>
      </c>
      <c r="P460" s="108">
        <f>+N460+O460</f>
        <v>1582300</v>
      </c>
      <c r="Q460" s="39">
        <v>100</v>
      </c>
      <c r="R460" s="39">
        <f t="shared" si="94"/>
        <v>3235000</v>
      </c>
      <c r="S460" s="42">
        <f t="shared" si="95"/>
        <v>0</v>
      </c>
    </row>
    <row r="461" spans="1:19">
      <c r="A461" s="99">
        <v>2026</v>
      </c>
      <c r="B461" s="100">
        <v>4</v>
      </c>
      <c r="C461" s="101">
        <v>46132</v>
      </c>
      <c r="D461" s="101" t="str">
        <f t="shared" si="93"/>
        <v>PPS00003208Самарканд_Хуршед ака 2</v>
      </c>
      <c r="E461" s="99" t="s">
        <v>954</v>
      </c>
      <c r="F461" s="102" t="s">
        <v>912</v>
      </c>
      <c r="G461" s="102" t="s">
        <v>871</v>
      </c>
      <c r="H461" s="99" t="s">
        <v>255</v>
      </c>
      <c r="I461" s="102" t="s">
        <v>942</v>
      </c>
      <c r="J461" s="102" t="s">
        <v>41</v>
      </c>
      <c r="K461" s="103">
        <v>30</v>
      </c>
      <c r="L461" s="104">
        <v>90000</v>
      </c>
      <c r="M461" s="104">
        <v>2700000</v>
      </c>
      <c r="N461" s="39">
        <f>+K461*25000</f>
        <v>750000</v>
      </c>
      <c r="O461" s="107">
        <f>+M461*$O$1</f>
        <v>486000</v>
      </c>
      <c r="P461" s="108">
        <f>+N461+O461</f>
        <v>1236000</v>
      </c>
      <c r="Q461" s="39">
        <v>51</v>
      </c>
      <c r="R461" s="39">
        <f t="shared" si="94"/>
        <v>1377000</v>
      </c>
      <c r="S461" s="42">
        <f t="shared" si="95"/>
        <v>1323000</v>
      </c>
    </row>
    <row r="462" spans="1:19">
      <c r="A462" s="99">
        <v>2026</v>
      </c>
      <c r="B462" s="100">
        <v>4</v>
      </c>
      <c r="C462" s="101">
        <v>46132</v>
      </c>
      <c r="D462" s="101" t="str">
        <f t="shared" si="93"/>
        <v>PPS00003209Таш.Обл_Шахло опа</v>
      </c>
      <c r="E462" s="99" t="s">
        <v>955</v>
      </c>
      <c r="F462" s="102" t="s">
        <v>489</v>
      </c>
      <c r="G462" s="102" t="s">
        <v>464</v>
      </c>
      <c r="H462" s="99" t="s">
        <v>255</v>
      </c>
      <c r="I462" s="102" t="s">
        <v>529</v>
      </c>
      <c r="J462" s="102" t="s">
        <v>466</v>
      </c>
      <c r="K462" s="103">
        <v>5</v>
      </c>
      <c r="L462" s="104">
        <v>120000</v>
      </c>
      <c r="M462" s="104">
        <v>600000</v>
      </c>
      <c r="N462" s="39">
        <f t="shared" ref="N462:N463" si="96">+K462*35000</f>
        <v>175000</v>
      </c>
      <c r="O462" s="107">
        <f>+M462*$O$1</f>
        <v>108000</v>
      </c>
      <c r="P462" s="108">
        <f>+N462+O462</f>
        <v>283000</v>
      </c>
      <c r="Q462" s="39">
        <v>100</v>
      </c>
      <c r="R462" s="39">
        <f t="shared" si="94"/>
        <v>600000</v>
      </c>
      <c r="S462" s="42">
        <f t="shared" si="95"/>
        <v>0</v>
      </c>
    </row>
    <row r="463" spans="1:19">
      <c r="A463" s="99">
        <v>2026</v>
      </c>
      <c r="B463" s="100">
        <v>4</v>
      </c>
      <c r="C463" s="101">
        <v>46132</v>
      </c>
      <c r="D463" s="101" t="str">
        <f t="shared" si="93"/>
        <v>PPS00003209Таш.Обл_Шахло опа</v>
      </c>
      <c r="E463" s="99" t="s">
        <v>955</v>
      </c>
      <c r="F463" s="102" t="s">
        <v>489</v>
      </c>
      <c r="G463" s="102" t="s">
        <v>464</v>
      </c>
      <c r="H463" s="99" t="s">
        <v>255</v>
      </c>
      <c r="I463" s="102" t="s">
        <v>529</v>
      </c>
      <c r="J463" s="102" t="s">
        <v>466</v>
      </c>
      <c r="K463" s="103">
        <v>45</v>
      </c>
      <c r="L463" s="104">
        <v>120000</v>
      </c>
      <c r="M463" s="104">
        <v>5400000</v>
      </c>
      <c r="N463" s="39">
        <f t="shared" si="96"/>
        <v>1575000</v>
      </c>
      <c r="O463" s="107">
        <f>+M463*$O$1</f>
        <v>972000</v>
      </c>
      <c r="P463" s="108">
        <f>+N463+O463</f>
        <v>2547000</v>
      </c>
      <c r="Q463" s="39">
        <v>100</v>
      </c>
      <c r="R463" s="39">
        <f t="shared" si="94"/>
        <v>5400000</v>
      </c>
      <c r="S463" s="42">
        <f t="shared" si="95"/>
        <v>0</v>
      </c>
    </row>
    <row r="464" spans="1:19">
      <c r="A464" s="99">
        <v>2026</v>
      </c>
      <c r="B464" s="100">
        <v>4</v>
      </c>
      <c r="C464" s="101">
        <v>46132</v>
      </c>
      <c r="D464" s="101" t="str">
        <f t="shared" si="93"/>
        <v>PPS00003263Таш.Обл_Шахло опа</v>
      </c>
      <c r="E464" s="99" t="s">
        <v>958</v>
      </c>
      <c r="F464" s="102" t="s">
        <v>547</v>
      </c>
      <c r="G464" s="102" t="s">
        <v>464</v>
      </c>
      <c r="H464" s="99" t="s">
        <v>255</v>
      </c>
      <c r="I464" s="102" t="s">
        <v>696</v>
      </c>
      <c r="J464" s="102" t="s">
        <v>46</v>
      </c>
      <c r="K464" s="103">
        <v>40</v>
      </c>
      <c r="L464" s="104">
        <v>64700</v>
      </c>
      <c r="M464" s="104">
        <v>2588000</v>
      </c>
      <c r="N464" s="39">
        <f>20000*K464</f>
        <v>800000</v>
      </c>
      <c r="O464" s="107">
        <f>+M464*$O$1</f>
        <v>465840</v>
      </c>
      <c r="P464" s="108">
        <f>+N464+O464</f>
        <v>1265840</v>
      </c>
      <c r="Q464" s="39">
        <v>100</v>
      </c>
      <c r="R464" s="39">
        <f t="shared" si="94"/>
        <v>2588000</v>
      </c>
      <c r="S464" s="42">
        <f t="shared" si="95"/>
        <v>0</v>
      </c>
    </row>
    <row r="465" spans="1:19">
      <c r="A465" s="99">
        <v>2026</v>
      </c>
      <c r="B465" s="100">
        <v>4</v>
      </c>
      <c r="C465" s="101">
        <v>46133</v>
      </c>
      <c r="D465" s="101" t="str">
        <f t="shared" si="93"/>
        <v>PPS00003285Сурхондарьё_Анвар ака</v>
      </c>
      <c r="E465" s="99" t="s">
        <v>959</v>
      </c>
      <c r="F465" s="102" t="s">
        <v>874</v>
      </c>
      <c r="G465" s="102" t="s">
        <v>875</v>
      </c>
      <c r="H465" s="99" t="s">
        <v>255</v>
      </c>
      <c r="I465" s="102" t="s">
        <v>960</v>
      </c>
      <c r="J465" s="102" t="s">
        <v>466</v>
      </c>
      <c r="K465" s="103">
        <v>40</v>
      </c>
      <c r="L465" s="104">
        <v>120000</v>
      </c>
      <c r="M465" s="104">
        <v>4800000</v>
      </c>
      <c r="N465" s="39">
        <f>+K465*35000</f>
        <v>1400000</v>
      </c>
      <c r="O465" s="107">
        <f>+M465*$O$1</f>
        <v>864000</v>
      </c>
      <c r="P465" s="108">
        <f>+N465+O465</f>
        <v>2264000</v>
      </c>
      <c r="Q465" s="39">
        <v>100</v>
      </c>
      <c r="R465" s="39">
        <f t="shared" si="94"/>
        <v>4800000</v>
      </c>
      <c r="S465" s="42">
        <f t="shared" si="95"/>
        <v>0</v>
      </c>
    </row>
    <row r="466" spans="1:19">
      <c r="A466" s="99">
        <v>2026</v>
      </c>
      <c r="B466" s="100">
        <v>4</v>
      </c>
      <c r="C466" s="101">
        <v>46133</v>
      </c>
      <c r="D466" s="101" t="str">
        <f t="shared" si="93"/>
        <v>PPS00003294Самарканд_Хуршед ака 3</v>
      </c>
      <c r="E466" s="99" t="s">
        <v>961</v>
      </c>
      <c r="F466" s="102" t="s">
        <v>886</v>
      </c>
      <c r="G466" s="102" t="s">
        <v>887</v>
      </c>
      <c r="H466" s="99" t="s">
        <v>255</v>
      </c>
      <c r="I466" s="102" t="s">
        <v>962</v>
      </c>
      <c r="J466" s="102" t="s">
        <v>46</v>
      </c>
      <c r="K466" s="103">
        <v>20</v>
      </c>
      <c r="L466" s="104">
        <v>64700</v>
      </c>
      <c r="M466" s="104">
        <v>1294000</v>
      </c>
      <c r="N466" s="39">
        <f>20000*K466</f>
        <v>400000</v>
      </c>
      <c r="O466" s="107">
        <f>+M466*$O$1</f>
        <v>232920</v>
      </c>
      <c r="P466" s="108">
        <f>+N466+O466</f>
        <v>632920</v>
      </c>
      <c r="Q466" s="39">
        <v>100</v>
      </c>
      <c r="R466" s="39">
        <f t="shared" si="94"/>
        <v>1294000</v>
      </c>
      <c r="S466" s="42">
        <f t="shared" si="95"/>
        <v>0</v>
      </c>
    </row>
    <row r="467" spans="1:19">
      <c r="A467" s="99">
        <v>2026</v>
      </c>
      <c r="B467" s="100">
        <v>4</v>
      </c>
      <c r="C467" s="101">
        <v>46133</v>
      </c>
      <c r="D467" s="101" t="str">
        <f t="shared" si="93"/>
        <v>PPS00003299Сирдарё_Фотима опа</v>
      </c>
      <c r="E467" s="99" t="s">
        <v>963</v>
      </c>
      <c r="F467" s="102" t="s">
        <v>284</v>
      </c>
      <c r="G467" s="102" t="s">
        <v>281</v>
      </c>
      <c r="H467" s="99" t="s">
        <v>255</v>
      </c>
      <c r="I467" s="102" t="s">
        <v>292</v>
      </c>
      <c r="J467" s="102" t="s">
        <v>466</v>
      </c>
      <c r="K467" s="103">
        <v>10</v>
      </c>
      <c r="L467" s="104">
        <v>120000</v>
      </c>
      <c r="M467" s="104">
        <v>1200000</v>
      </c>
      <c r="N467" s="39">
        <f t="shared" ref="N467:N468" si="97">+K467*35000</f>
        <v>350000</v>
      </c>
      <c r="O467" s="107">
        <f>+M467*$O$1</f>
        <v>216000</v>
      </c>
      <c r="P467" s="108">
        <f>+N467+O467</f>
        <v>566000</v>
      </c>
      <c r="Q467" s="39">
        <v>50</v>
      </c>
      <c r="R467" s="39">
        <f t="shared" si="94"/>
        <v>600000</v>
      </c>
      <c r="S467" s="42">
        <f t="shared" si="95"/>
        <v>600000</v>
      </c>
    </row>
    <row r="468" spans="1:19">
      <c r="A468" s="99">
        <v>2026</v>
      </c>
      <c r="B468" s="100">
        <v>4</v>
      </c>
      <c r="C468" s="101">
        <v>46133</v>
      </c>
      <c r="D468" s="101" t="str">
        <f t="shared" si="93"/>
        <v>PPS00003301Таш.Обл_Шахло опа</v>
      </c>
      <c r="E468" s="99" t="s">
        <v>964</v>
      </c>
      <c r="F468" s="102" t="s">
        <v>463</v>
      </c>
      <c r="G468" s="102" t="s">
        <v>464</v>
      </c>
      <c r="H468" s="99" t="s">
        <v>255</v>
      </c>
      <c r="I468" s="102" t="s">
        <v>678</v>
      </c>
      <c r="J468" s="102" t="s">
        <v>466</v>
      </c>
      <c r="K468" s="103">
        <v>30</v>
      </c>
      <c r="L468" s="104">
        <v>120000</v>
      </c>
      <c r="M468" s="104">
        <v>3600000</v>
      </c>
      <c r="N468" s="39">
        <f t="shared" si="97"/>
        <v>1050000</v>
      </c>
      <c r="O468" s="107">
        <f>+M468*$O$1</f>
        <v>648000</v>
      </c>
      <c r="P468" s="108">
        <f>+N468+O468</f>
        <v>1698000</v>
      </c>
      <c r="Q468" s="39">
        <v>100</v>
      </c>
      <c r="R468" s="39">
        <f t="shared" si="94"/>
        <v>3600000</v>
      </c>
      <c r="S468" s="42">
        <f t="shared" si="95"/>
        <v>0</v>
      </c>
    </row>
    <row r="469" spans="1:19">
      <c r="A469" s="99">
        <v>2026</v>
      </c>
      <c r="B469" s="100">
        <v>4</v>
      </c>
      <c r="C469" s="101">
        <v>46133</v>
      </c>
      <c r="D469" s="101" t="str">
        <f t="shared" si="93"/>
        <v>PPS00003321Самарканд_Хуршед ака 2</v>
      </c>
      <c r="E469" s="99" t="s">
        <v>965</v>
      </c>
      <c r="F469" s="102" t="s">
        <v>912</v>
      </c>
      <c r="G469" s="102" t="s">
        <v>871</v>
      </c>
      <c r="H469" s="99" t="s">
        <v>255</v>
      </c>
      <c r="I469" s="102" t="s">
        <v>966</v>
      </c>
      <c r="J469" s="102" t="s">
        <v>41</v>
      </c>
      <c r="K469" s="103">
        <v>20</v>
      </c>
      <c r="L469" s="104">
        <v>90000</v>
      </c>
      <c r="M469" s="104">
        <v>1800000</v>
      </c>
      <c r="N469" s="39">
        <f>+K469*25000</f>
        <v>500000</v>
      </c>
      <c r="O469" s="107">
        <f>+M469*$O$1</f>
        <v>324000</v>
      </c>
      <c r="P469" s="108">
        <f>+N469+O469</f>
        <v>824000</v>
      </c>
      <c r="Q469" s="39">
        <v>50</v>
      </c>
      <c r="R469" s="39">
        <f t="shared" si="94"/>
        <v>900000</v>
      </c>
      <c r="S469" s="42">
        <f t="shared" si="95"/>
        <v>900000</v>
      </c>
    </row>
    <row r="470" spans="1:19">
      <c r="A470" s="99">
        <v>2026</v>
      </c>
      <c r="B470" s="100">
        <v>4</v>
      </c>
      <c r="C470" s="101">
        <v>46133</v>
      </c>
      <c r="D470" s="101" t="str">
        <f t="shared" si="93"/>
        <v>PPS00003321Самарканд_Хуршед ака 2</v>
      </c>
      <c r="E470" s="99" t="s">
        <v>965</v>
      </c>
      <c r="F470" s="102" t="s">
        <v>912</v>
      </c>
      <c r="G470" s="102" t="s">
        <v>871</v>
      </c>
      <c r="H470" s="99" t="s">
        <v>255</v>
      </c>
      <c r="I470" s="102" t="s">
        <v>966</v>
      </c>
      <c r="J470" s="102" t="s">
        <v>38</v>
      </c>
      <c r="K470" s="103">
        <v>30</v>
      </c>
      <c r="L470" s="104">
        <v>65000</v>
      </c>
      <c r="M470" s="104">
        <v>1950000</v>
      </c>
      <c r="N470" s="39">
        <f t="shared" ref="N470:N471" si="98">+K470*20000</f>
        <v>600000</v>
      </c>
      <c r="O470" s="107">
        <f>+M470*$O$1</f>
        <v>351000</v>
      </c>
      <c r="P470" s="108">
        <f>+N470+O470</f>
        <v>951000</v>
      </c>
      <c r="Q470" s="39">
        <v>50</v>
      </c>
      <c r="R470" s="39">
        <f t="shared" si="94"/>
        <v>975000</v>
      </c>
      <c r="S470" s="42">
        <f t="shared" si="95"/>
        <v>975000</v>
      </c>
    </row>
    <row r="471" spans="1:19">
      <c r="A471" s="99">
        <v>2026</v>
      </c>
      <c r="B471" s="100">
        <v>4</v>
      </c>
      <c r="C471" s="101">
        <v>46133</v>
      </c>
      <c r="D471" s="101" t="str">
        <f t="shared" si="93"/>
        <v>PPS00003332Сурхондарьё_Анвар ака</v>
      </c>
      <c r="E471" s="99" t="s">
        <v>967</v>
      </c>
      <c r="F471" s="102" t="s">
        <v>874</v>
      </c>
      <c r="G471" s="102" t="s">
        <v>875</v>
      </c>
      <c r="H471" s="99" t="s">
        <v>255</v>
      </c>
      <c r="I471" s="102" t="s">
        <v>968</v>
      </c>
      <c r="J471" s="102" t="s">
        <v>38</v>
      </c>
      <c r="K471" s="103">
        <v>30</v>
      </c>
      <c r="L471" s="104">
        <v>65000</v>
      </c>
      <c r="M471" s="104">
        <v>1950000</v>
      </c>
      <c r="N471" s="39">
        <f t="shared" si="98"/>
        <v>600000</v>
      </c>
      <c r="O471" s="107">
        <f>+M471*$O$1</f>
        <v>351000</v>
      </c>
      <c r="P471" s="108">
        <f>+N471+O471</f>
        <v>951000</v>
      </c>
      <c r="Q471" s="39">
        <v>100</v>
      </c>
      <c r="R471" s="39">
        <f t="shared" si="94"/>
        <v>1950000</v>
      </c>
      <c r="S471" s="42">
        <f t="shared" si="95"/>
        <v>0</v>
      </c>
    </row>
    <row r="472" spans="1:19">
      <c r="A472" s="99">
        <v>2026</v>
      </c>
      <c r="B472" s="100">
        <v>4</v>
      </c>
      <c r="C472" s="101">
        <v>46133</v>
      </c>
      <c r="D472" s="101" t="str">
        <f t="shared" si="93"/>
        <v>PPS00003333Самарканд_Хуршед ака 2</v>
      </c>
      <c r="E472" s="99" t="s">
        <v>969</v>
      </c>
      <c r="F472" s="102" t="s">
        <v>870</v>
      </c>
      <c r="G472" s="102" t="s">
        <v>871</v>
      </c>
      <c r="H472" s="99" t="s">
        <v>255</v>
      </c>
      <c r="I472" s="102" t="s">
        <v>872</v>
      </c>
      <c r="J472" s="102" t="s">
        <v>466</v>
      </c>
      <c r="K472" s="103">
        <v>30</v>
      </c>
      <c r="L472" s="104">
        <v>120000</v>
      </c>
      <c r="M472" s="104">
        <v>3600000</v>
      </c>
      <c r="N472" s="39">
        <f>+K472*35000</f>
        <v>1050000</v>
      </c>
      <c r="O472" s="107">
        <f>+M472*$O$1</f>
        <v>648000</v>
      </c>
      <c r="P472" s="108">
        <f>+N472+O472</f>
        <v>1698000</v>
      </c>
      <c r="Q472" s="39">
        <v>50</v>
      </c>
      <c r="R472" s="39">
        <f t="shared" si="94"/>
        <v>1800000</v>
      </c>
      <c r="S472" s="42">
        <f t="shared" si="95"/>
        <v>1800000</v>
      </c>
    </row>
    <row r="473" spans="1:19">
      <c r="A473" s="99">
        <v>2026</v>
      </c>
      <c r="B473" s="100">
        <v>4</v>
      </c>
      <c r="C473" s="101">
        <v>46133</v>
      </c>
      <c r="D473" s="101" t="str">
        <f t="shared" si="93"/>
        <v>PPS00003333Самарканд_Хуршед ака 2</v>
      </c>
      <c r="E473" s="99" t="s">
        <v>969</v>
      </c>
      <c r="F473" s="102" t="s">
        <v>870</v>
      </c>
      <c r="G473" s="102" t="s">
        <v>871</v>
      </c>
      <c r="H473" s="99" t="s">
        <v>255</v>
      </c>
      <c r="I473" s="102" t="s">
        <v>872</v>
      </c>
      <c r="J473" s="102" t="s">
        <v>41</v>
      </c>
      <c r="K473" s="103">
        <v>40</v>
      </c>
      <c r="L473" s="104">
        <v>90000</v>
      </c>
      <c r="M473" s="104">
        <v>3600000</v>
      </c>
      <c r="N473" s="39">
        <f>+K473*25000</f>
        <v>1000000</v>
      </c>
      <c r="O473" s="107">
        <f>+M473*$O$1</f>
        <v>648000</v>
      </c>
      <c r="P473" s="108">
        <f>+N473+O473</f>
        <v>1648000</v>
      </c>
      <c r="Q473" s="39">
        <v>50</v>
      </c>
      <c r="R473" s="39">
        <f t="shared" si="94"/>
        <v>1800000</v>
      </c>
      <c r="S473" s="42">
        <f t="shared" si="95"/>
        <v>1800000</v>
      </c>
    </row>
    <row r="474" spans="1:19">
      <c r="A474" s="99">
        <v>2026</v>
      </c>
      <c r="B474" s="100">
        <v>4</v>
      </c>
      <c r="C474" s="101">
        <v>46133</v>
      </c>
      <c r="D474" s="101" t="str">
        <f t="shared" si="93"/>
        <v>PPS00003336Сурхондарьё_Анвар ака</v>
      </c>
      <c r="E474" s="99" t="s">
        <v>970</v>
      </c>
      <c r="F474" s="102" t="s">
        <v>874</v>
      </c>
      <c r="G474" s="102" t="s">
        <v>875</v>
      </c>
      <c r="H474" s="99" t="s">
        <v>255</v>
      </c>
      <c r="I474" s="102" t="s">
        <v>971</v>
      </c>
      <c r="J474" s="102" t="s">
        <v>466</v>
      </c>
      <c r="K474" s="103">
        <v>40</v>
      </c>
      <c r="L474" s="104">
        <v>120000</v>
      </c>
      <c r="M474" s="104">
        <v>4800000</v>
      </c>
      <c r="N474" s="39">
        <f>+K474*35000</f>
        <v>1400000</v>
      </c>
      <c r="O474" s="107">
        <f>+M474*$O$1</f>
        <v>864000</v>
      </c>
      <c r="P474" s="108">
        <f>+N474+O474</f>
        <v>2264000</v>
      </c>
      <c r="Q474" s="39">
        <v>100</v>
      </c>
      <c r="R474" s="39">
        <f t="shared" si="94"/>
        <v>4800000</v>
      </c>
      <c r="S474" s="42">
        <f t="shared" si="95"/>
        <v>0</v>
      </c>
    </row>
    <row r="475" spans="1:19">
      <c r="A475" s="99">
        <v>2026</v>
      </c>
      <c r="B475" s="100">
        <v>4</v>
      </c>
      <c r="C475" s="101">
        <v>46133</v>
      </c>
      <c r="D475" s="101" t="str">
        <f t="shared" si="93"/>
        <v>PPS00003337Самарканд_Хуршед ака 2</v>
      </c>
      <c r="E475" s="99" t="s">
        <v>972</v>
      </c>
      <c r="F475" s="102" t="s">
        <v>920</v>
      </c>
      <c r="G475" s="102" t="s">
        <v>871</v>
      </c>
      <c r="H475" s="99" t="s">
        <v>255</v>
      </c>
      <c r="I475" s="102" t="s">
        <v>973</v>
      </c>
      <c r="J475" s="102" t="s">
        <v>41</v>
      </c>
      <c r="K475" s="103">
        <v>50</v>
      </c>
      <c r="L475" s="104">
        <v>90000</v>
      </c>
      <c r="M475" s="104">
        <v>4500000</v>
      </c>
      <c r="N475" s="39">
        <f>+K475*25000</f>
        <v>1250000</v>
      </c>
      <c r="O475" s="107">
        <f>+M475*$O$1</f>
        <v>810000</v>
      </c>
      <c r="P475" s="108">
        <f>+N475+O475</f>
        <v>2060000</v>
      </c>
      <c r="Q475" s="39">
        <v>50</v>
      </c>
      <c r="R475" s="39">
        <f t="shared" si="94"/>
        <v>2250000</v>
      </c>
      <c r="S475" s="42">
        <f t="shared" si="95"/>
        <v>2250000</v>
      </c>
    </row>
    <row r="476" spans="1:19">
      <c r="A476" s="99">
        <v>2026</v>
      </c>
      <c r="B476" s="100">
        <v>4</v>
      </c>
      <c r="C476" s="101">
        <v>46133</v>
      </c>
      <c r="D476" s="101" t="str">
        <f t="shared" si="93"/>
        <v>PPS00003353Кашкадарьё_Феруз ака</v>
      </c>
      <c r="E476" s="99" t="s">
        <v>974</v>
      </c>
      <c r="F476" s="102" t="s">
        <v>975</v>
      </c>
      <c r="G476" s="102" t="s">
        <v>502</v>
      </c>
      <c r="H476" s="99" t="s">
        <v>255</v>
      </c>
      <c r="I476" s="102" t="s">
        <v>976</v>
      </c>
      <c r="J476" s="102" t="s">
        <v>38</v>
      </c>
      <c r="K476" s="103">
        <v>10</v>
      </c>
      <c r="L476" s="104">
        <v>65000</v>
      </c>
      <c r="M476" s="104">
        <v>650000</v>
      </c>
      <c r="N476" s="39">
        <f t="shared" ref="N476:N478" si="99">+K476*20000</f>
        <v>200000</v>
      </c>
      <c r="O476" s="107">
        <f>+M476*$O$1</f>
        <v>117000</v>
      </c>
      <c r="P476" s="108">
        <f>+N476+O476</f>
        <v>317000</v>
      </c>
      <c r="Q476" s="39">
        <v>61</v>
      </c>
      <c r="R476" s="39">
        <f t="shared" si="94"/>
        <v>396500</v>
      </c>
      <c r="S476" s="42">
        <f t="shared" si="95"/>
        <v>253500</v>
      </c>
    </row>
    <row r="477" spans="1:19">
      <c r="A477" s="99">
        <v>2026</v>
      </c>
      <c r="B477" s="100">
        <v>4</v>
      </c>
      <c r="C477" s="101">
        <v>46133</v>
      </c>
      <c r="D477" s="101" t="str">
        <f t="shared" si="93"/>
        <v>PPS00003366Кашкадарьё_Феруз ака</v>
      </c>
      <c r="E477" s="99" t="s">
        <v>977</v>
      </c>
      <c r="F477" s="102" t="s">
        <v>501</v>
      </c>
      <c r="G477" s="102" t="s">
        <v>502</v>
      </c>
      <c r="H477" s="99" t="s">
        <v>255</v>
      </c>
      <c r="I477" s="102" t="s">
        <v>518</v>
      </c>
      <c r="J477" s="102" t="s">
        <v>38</v>
      </c>
      <c r="K477" s="103">
        <v>10</v>
      </c>
      <c r="L477" s="104">
        <v>65000</v>
      </c>
      <c r="M477" s="104">
        <v>650000</v>
      </c>
      <c r="N477" s="39">
        <f t="shared" si="99"/>
        <v>200000</v>
      </c>
      <c r="O477" s="107">
        <f>+M477*$O$1</f>
        <v>117000</v>
      </c>
      <c r="P477" s="108">
        <f>+N477+O477</f>
        <v>317000</v>
      </c>
      <c r="Q477" s="39">
        <v>100</v>
      </c>
      <c r="R477" s="39">
        <f t="shared" si="94"/>
        <v>650000</v>
      </c>
      <c r="S477" s="42">
        <f t="shared" si="95"/>
        <v>0</v>
      </c>
    </row>
    <row r="478" spans="1:19">
      <c r="A478" s="99">
        <v>2026</v>
      </c>
      <c r="B478" s="100">
        <v>4</v>
      </c>
      <c r="C478" s="101">
        <v>46134</v>
      </c>
      <c r="D478" s="101" t="str">
        <f t="shared" si="93"/>
        <v>PPS00003383Самарканд_Хуршед ака 2</v>
      </c>
      <c r="E478" s="99" t="s">
        <v>978</v>
      </c>
      <c r="F478" s="102" t="s">
        <v>912</v>
      </c>
      <c r="G478" s="102" t="s">
        <v>871</v>
      </c>
      <c r="H478" s="99" t="s">
        <v>255</v>
      </c>
      <c r="I478" s="102" t="s">
        <v>923</v>
      </c>
      <c r="J478" s="102" t="s">
        <v>38</v>
      </c>
      <c r="K478" s="103">
        <v>30</v>
      </c>
      <c r="L478" s="104">
        <v>65000</v>
      </c>
      <c r="M478" s="104">
        <v>1950000</v>
      </c>
      <c r="N478" s="39">
        <f t="shared" si="99"/>
        <v>600000</v>
      </c>
      <c r="O478" s="107">
        <f>+M478*$O$1</f>
        <v>351000</v>
      </c>
      <c r="P478" s="108">
        <f>+N478+O478</f>
        <v>951000</v>
      </c>
      <c r="Q478" s="39">
        <v>100</v>
      </c>
      <c r="R478" s="39">
        <f t="shared" si="94"/>
        <v>1950000</v>
      </c>
      <c r="S478" s="42">
        <f t="shared" si="95"/>
        <v>0</v>
      </c>
    </row>
    <row r="479" spans="1:19">
      <c r="A479" s="99">
        <v>2026</v>
      </c>
      <c r="B479" s="100">
        <v>4</v>
      </c>
      <c r="C479" s="101">
        <v>46134</v>
      </c>
      <c r="D479" s="101" t="str">
        <f t="shared" si="93"/>
        <v>PPS00003410Таш.Обл_Шахло опа</v>
      </c>
      <c r="E479" s="99" t="s">
        <v>979</v>
      </c>
      <c r="F479" s="102" t="s">
        <v>463</v>
      </c>
      <c r="G479" s="102" t="s">
        <v>464</v>
      </c>
      <c r="H479" s="99" t="s">
        <v>255</v>
      </c>
      <c r="I479" s="102" t="s">
        <v>479</v>
      </c>
      <c r="J479" s="102" t="s">
        <v>466</v>
      </c>
      <c r="K479" s="103">
        <v>40</v>
      </c>
      <c r="L479" s="104">
        <v>120000</v>
      </c>
      <c r="M479" s="104">
        <v>4800000</v>
      </c>
      <c r="N479" s="39">
        <f>+K479*35000</f>
        <v>1400000</v>
      </c>
      <c r="O479" s="107">
        <f>+M479*$O$1</f>
        <v>864000</v>
      </c>
      <c r="P479" s="108">
        <f>+N479+O479</f>
        <v>2264000</v>
      </c>
      <c r="Q479" s="39">
        <v>95</v>
      </c>
      <c r="R479" s="39">
        <f t="shared" si="94"/>
        <v>4560000</v>
      </c>
      <c r="S479" s="42">
        <f t="shared" si="95"/>
        <v>240000</v>
      </c>
    </row>
    <row r="480" spans="1:19">
      <c r="A480" s="99">
        <v>2026</v>
      </c>
      <c r="B480" s="100">
        <v>4</v>
      </c>
      <c r="C480" s="101">
        <v>46134</v>
      </c>
      <c r="D480" s="101" t="str">
        <f t="shared" si="93"/>
        <v>PPS00003414Самарканд_Хуршед ака 2</v>
      </c>
      <c r="E480" s="99" t="s">
        <v>980</v>
      </c>
      <c r="F480" s="102" t="s">
        <v>912</v>
      </c>
      <c r="G480" s="102" t="s">
        <v>871</v>
      </c>
      <c r="H480" s="99" t="s">
        <v>255</v>
      </c>
      <c r="I480" s="102" t="s">
        <v>981</v>
      </c>
      <c r="J480" s="102" t="s">
        <v>41</v>
      </c>
      <c r="K480" s="103">
        <v>20</v>
      </c>
      <c r="L480" s="104">
        <v>90000</v>
      </c>
      <c r="M480" s="104">
        <v>1800000</v>
      </c>
      <c r="N480" s="39">
        <f>+K480*25000</f>
        <v>500000</v>
      </c>
      <c r="O480" s="107">
        <f>+M480*$O$1</f>
        <v>324000</v>
      </c>
      <c r="P480" s="108">
        <f>+N480+O480</f>
        <v>824000</v>
      </c>
      <c r="Q480" s="39">
        <v>50</v>
      </c>
      <c r="R480" s="39">
        <f t="shared" si="94"/>
        <v>900000</v>
      </c>
      <c r="S480" s="42">
        <f t="shared" si="95"/>
        <v>900000</v>
      </c>
    </row>
    <row r="481" spans="1:19">
      <c r="A481" s="99">
        <v>2026</v>
      </c>
      <c r="B481" s="100">
        <v>4</v>
      </c>
      <c r="C481" s="101">
        <v>46134</v>
      </c>
      <c r="D481" s="101" t="str">
        <f t="shared" si="93"/>
        <v>PPS00003418Самарканд_Хуршед ака 2</v>
      </c>
      <c r="E481" s="99" t="s">
        <v>982</v>
      </c>
      <c r="F481" s="102" t="s">
        <v>920</v>
      </c>
      <c r="G481" s="102" t="s">
        <v>871</v>
      </c>
      <c r="H481" s="99" t="s">
        <v>255</v>
      </c>
      <c r="I481" s="102" t="s">
        <v>983</v>
      </c>
      <c r="J481" s="102" t="s">
        <v>38</v>
      </c>
      <c r="K481" s="103">
        <v>50</v>
      </c>
      <c r="L481" s="104">
        <v>65000</v>
      </c>
      <c r="M481" s="104">
        <v>3250000</v>
      </c>
      <c r="N481" s="39">
        <f>+K481*20000</f>
        <v>1000000</v>
      </c>
      <c r="O481" s="107">
        <f>+M481*$O$1</f>
        <v>585000</v>
      </c>
      <c r="P481" s="108">
        <f>+N481+O481</f>
        <v>1585000</v>
      </c>
      <c r="Q481" s="39">
        <v>100</v>
      </c>
      <c r="R481" s="39">
        <f t="shared" si="94"/>
        <v>3250000</v>
      </c>
      <c r="S481" s="42">
        <f t="shared" si="95"/>
        <v>0</v>
      </c>
    </row>
    <row r="482" spans="1:19">
      <c r="A482" s="99">
        <v>2026</v>
      </c>
      <c r="B482" s="100">
        <v>4</v>
      </c>
      <c r="C482" s="101">
        <v>46134</v>
      </c>
      <c r="D482" s="101" t="str">
        <f t="shared" si="93"/>
        <v>PPS00003419Самарканд_Хуршед ака 2</v>
      </c>
      <c r="E482" s="99" t="s">
        <v>984</v>
      </c>
      <c r="F482" s="102" t="s">
        <v>920</v>
      </c>
      <c r="G482" s="102" t="s">
        <v>871</v>
      </c>
      <c r="H482" s="99" t="s">
        <v>255</v>
      </c>
      <c r="I482" s="102" t="s">
        <v>983</v>
      </c>
      <c r="J482" s="102" t="s">
        <v>41</v>
      </c>
      <c r="K482" s="103">
        <v>50</v>
      </c>
      <c r="L482" s="104">
        <v>90000</v>
      </c>
      <c r="M482" s="104">
        <v>4500000</v>
      </c>
      <c r="N482" s="39">
        <f t="shared" ref="N482:N483" si="100">+K482*25000</f>
        <v>1250000</v>
      </c>
      <c r="O482" s="107">
        <f>+M482*$O$1</f>
        <v>810000</v>
      </c>
      <c r="P482" s="108">
        <f>+N482+O482</f>
        <v>2060000</v>
      </c>
      <c r="Q482" s="39">
        <v>100</v>
      </c>
      <c r="R482" s="39">
        <f t="shared" si="94"/>
        <v>4500000</v>
      </c>
      <c r="S482" s="42">
        <f t="shared" si="95"/>
        <v>0</v>
      </c>
    </row>
    <row r="483" spans="1:19">
      <c r="A483" s="99">
        <v>2026</v>
      </c>
      <c r="B483" s="100">
        <v>4</v>
      </c>
      <c r="C483" s="101">
        <v>46134</v>
      </c>
      <c r="D483" s="101" t="str">
        <f t="shared" si="93"/>
        <v>PPS00003422Самарканд_Хуршед ака 2</v>
      </c>
      <c r="E483" s="99" t="s">
        <v>985</v>
      </c>
      <c r="F483" s="102" t="s">
        <v>920</v>
      </c>
      <c r="G483" s="102" t="s">
        <v>871</v>
      </c>
      <c r="H483" s="99" t="s">
        <v>255</v>
      </c>
      <c r="I483" s="102" t="s">
        <v>986</v>
      </c>
      <c r="J483" s="102" t="s">
        <v>41</v>
      </c>
      <c r="K483" s="103">
        <v>30</v>
      </c>
      <c r="L483" s="104">
        <v>90000</v>
      </c>
      <c r="M483" s="104">
        <v>2700000</v>
      </c>
      <c r="N483" s="39">
        <f t="shared" si="100"/>
        <v>750000</v>
      </c>
      <c r="O483" s="107">
        <f>+M483*$O$1</f>
        <v>486000</v>
      </c>
      <c r="P483" s="108">
        <f>+N483+O483</f>
        <v>1236000</v>
      </c>
      <c r="Q483" s="39">
        <v>50</v>
      </c>
      <c r="R483" s="39">
        <f t="shared" si="94"/>
        <v>1350000</v>
      </c>
      <c r="S483" s="42">
        <f t="shared" si="95"/>
        <v>1350000</v>
      </c>
    </row>
    <row r="484" spans="1:19">
      <c r="A484" s="99">
        <v>2026</v>
      </c>
      <c r="B484" s="100">
        <v>4</v>
      </c>
      <c r="C484" s="101">
        <v>46134</v>
      </c>
      <c r="D484" s="101" t="str">
        <f t="shared" si="93"/>
        <v>PPS00003425Самарканд_Хуршед ака 2</v>
      </c>
      <c r="E484" s="99" t="s">
        <v>987</v>
      </c>
      <c r="F484" s="102" t="s">
        <v>920</v>
      </c>
      <c r="G484" s="102" t="s">
        <v>871</v>
      </c>
      <c r="H484" s="99" t="s">
        <v>255</v>
      </c>
      <c r="I484" s="102" t="s">
        <v>986</v>
      </c>
      <c r="J484" s="102" t="s">
        <v>38</v>
      </c>
      <c r="K484" s="103">
        <v>50</v>
      </c>
      <c r="L484" s="104">
        <v>65000</v>
      </c>
      <c r="M484" s="104">
        <v>3250000</v>
      </c>
      <c r="N484" s="39">
        <f t="shared" ref="N484:N485" si="101">+K484*20000</f>
        <v>1000000</v>
      </c>
      <c r="O484" s="107">
        <f>+M484*$O$1</f>
        <v>585000</v>
      </c>
      <c r="P484" s="108">
        <f>+N484+O484</f>
        <v>1585000</v>
      </c>
      <c r="Q484" s="39">
        <v>50</v>
      </c>
      <c r="R484" s="39">
        <f t="shared" si="94"/>
        <v>1625000</v>
      </c>
      <c r="S484" s="42">
        <f t="shared" si="95"/>
        <v>1625000</v>
      </c>
    </row>
    <row r="485" spans="1:19">
      <c r="A485" s="99">
        <v>2026</v>
      </c>
      <c r="B485" s="100">
        <v>4</v>
      </c>
      <c r="C485" s="101">
        <v>46134</v>
      </c>
      <c r="D485" s="101" t="str">
        <f t="shared" si="93"/>
        <v>PPS00003432Самарканд_Хуршед ака 2</v>
      </c>
      <c r="E485" s="99" t="s">
        <v>988</v>
      </c>
      <c r="F485" s="102" t="s">
        <v>870</v>
      </c>
      <c r="G485" s="102" t="s">
        <v>871</v>
      </c>
      <c r="H485" s="99" t="s">
        <v>255</v>
      </c>
      <c r="I485" s="102" t="s">
        <v>989</v>
      </c>
      <c r="J485" s="102" t="s">
        <v>38</v>
      </c>
      <c r="K485" s="103">
        <v>20</v>
      </c>
      <c r="L485" s="104">
        <v>65000</v>
      </c>
      <c r="M485" s="104">
        <v>1300000</v>
      </c>
      <c r="N485" s="39">
        <f t="shared" si="101"/>
        <v>400000</v>
      </c>
      <c r="O485" s="107">
        <f>+M485*$O$1</f>
        <v>234000</v>
      </c>
      <c r="P485" s="108">
        <f>+N485+O485</f>
        <v>634000</v>
      </c>
      <c r="Q485" s="39">
        <v>100</v>
      </c>
      <c r="R485" s="39">
        <f t="shared" si="94"/>
        <v>1300000</v>
      </c>
      <c r="S485" s="42">
        <f t="shared" si="95"/>
        <v>0</v>
      </c>
    </row>
    <row r="486" spans="1:19">
      <c r="A486" s="99">
        <v>2026</v>
      </c>
      <c r="B486" s="100">
        <v>4</v>
      </c>
      <c r="C486" s="101">
        <v>46135</v>
      </c>
      <c r="D486" s="101" t="str">
        <f t="shared" si="93"/>
        <v>PPS00003466Самарканд_Хуршед ака 2</v>
      </c>
      <c r="E486" s="99" t="s">
        <v>991</v>
      </c>
      <c r="F486" s="102" t="s">
        <v>870</v>
      </c>
      <c r="G486" s="102" t="s">
        <v>871</v>
      </c>
      <c r="H486" s="99" t="s">
        <v>255</v>
      </c>
      <c r="I486" s="102" t="s">
        <v>883</v>
      </c>
      <c r="J486" s="102" t="s">
        <v>41</v>
      </c>
      <c r="K486" s="103">
        <v>40</v>
      </c>
      <c r="L486" s="104">
        <v>90000</v>
      </c>
      <c r="M486" s="104">
        <v>3600000</v>
      </c>
      <c r="N486" s="39">
        <f t="shared" ref="N486:N487" si="102">+K486*25000</f>
        <v>1000000</v>
      </c>
      <c r="O486" s="107">
        <f>+M486*$O$1</f>
        <v>648000</v>
      </c>
      <c r="P486" s="108">
        <f>+N486+O486</f>
        <v>1648000</v>
      </c>
      <c r="Q486" s="39">
        <v>46</v>
      </c>
      <c r="R486" s="39">
        <f t="shared" si="94"/>
        <v>1656000</v>
      </c>
      <c r="S486" s="42">
        <f t="shared" si="95"/>
        <v>1944000</v>
      </c>
    </row>
    <row r="487" spans="1:19">
      <c r="A487" s="99">
        <v>2026</v>
      </c>
      <c r="B487" s="100">
        <v>4</v>
      </c>
      <c r="C487" s="101">
        <v>46135</v>
      </c>
      <c r="D487" s="101" t="str">
        <f t="shared" si="93"/>
        <v>PPS00003466Самарканд_Хуршед ака 2</v>
      </c>
      <c r="E487" s="99" t="s">
        <v>991</v>
      </c>
      <c r="F487" s="102" t="s">
        <v>870</v>
      </c>
      <c r="G487" s="102" t="s">
        <v>871</v>
      </c>
      <c r="H487" s="99" t="s">
        <v>255</v>
      </c>
      <c r="I487" s="102" t="s">
        <v>883</v>
      </c>
      <c r="J487" s="102" t="s">
        <v>41</v>
      </c>
      <c r="K487" s="103">
        <v>10</v>
      </c>
      <c r="L487" s="104">
        <v>90000</v>
      </c>
      <c r="M487" s="104">
        <v>900000</v>
      </c>
      <c r="N487" s="39">
        <f t="shared" si="102"/>
        <v>250000</v>
      </c>
      <c r="O487" s="107">
        <f>+M487*$O$1</f>
        <v>162000</v>
      </c>
      <c r="P487" s="108">
        <f>+N487+O487</f>
        <v>412000</v>
      </c>
      <c r="Q487" s="39">
        <v>46</v>
      </c>
      <c r="R487" s="39">
        <f t="shared" si="94"/>
        <v>414000</v>
      </c>
      <c r="S487" s="42">
        <f t="shared" si="95"/>
        <v>486000</v>
      </c>
    </row>
    <row r="488" spans="1:19">
      <c r="A488" s="99">
        <v>2026</v>
      </c>
      <c r="B488" s="100">
        <v>4</v>
      </c>
      <c r="C488" s="101">
        <v>46136</v>
      </c>
      <c r="D488" s="101" t="str">
        <f t="shared" si="93"/>
        <v>PPS00003526Сирдарьё_Зилола Опа</v>
      </c>
      <c r="E488" s="99" t="s">
        <v>992</v>
      </c>
      <c r="F488" s="102" t="s">
        <v>703</v>
      </c>
      <c r="G488" s="102" t="s">
        <v>704</v>
      </c>
      <c r="H488" s="99" t="s">
        <v>255</v>
      </c>
      <c r="I488" s="102" t="s">
        <v>705</v>
      </c>
      <c r="J488" s="102" t="s">
        <v>46</v>
      </c>
      <c r="K488" s="103">
        <v>20</v>
      </c>
      <c r="L488" s="104">
        <v>64700</v>
      </c>
      <c r="M488" s="104">
        <v>1294000</v>
      </c>
      <c r="N488" s="39">
        <f>20000*K488</f>
        <v>400000</v>
      </c>
      <c r="O488" s="107">
        <f>+M488*$O$1</f>
        <v>232920</v>
      </c>
      <c r="P488" s="108">
        <f>+N488+O488</f>
        <v>632920</v>
      </c>
      <c r="Q488" s="39">
        <v>100</v>
      </c>
      <c r="R488" s="39">
        <f t="shared" si="94"/>
        <v>1294000</v>
      </c>
      <c r="S488" s="42">
        <f t="shared" si="95"/>
        <v>0</v>
      </c>
    </row>
    <row r="489" spans="1:19">
      <c r="A489" s="99">
        <v>2026</v>
      </c>
      <c r="B489" s="100">
        <v>4</v>
      </c>
      <c r="C489" s="101">
        <v>46136</v>
      </c>
      <c r="D489" s="101" t="str">
        <f t="shared" si="93"/>
        <v>PPS00003528Самарканд_Хуршед ака</v>
      </c>
      <c r="E489" s="99" t="s">
        <v>993</v>
      </c>
      <c r="F489" s="102" t="s">
        <v>994</v>
      </c>
      <c r="G489" s="102" t="s">
        <v>272</v>
      </c>
      <c r="H489" s="99" t="s">
        <v>255</v>
      </c>
      <c r="I489" s="102" t="s">
        <v>995</v>
      </c>
      <c r="J489" s="102" t="s">
        <v>41</v>
      </c>
      <c r="K489" s="103">
        <v>20</v>
      </c>
      <c r="L489" s="104">
        <v>90000</v>
      </c>
      <c r="M489" s="104">
        <v>1800000</v>
      </c>
      <c r="N489" s="39">
        <f>+K489*25000</f>
        <v>500000</v>
      </c>
      <c r="O489" s="107">
        <f>+M489*$O$1</f>
        <v>324000</v>
      </c>
      <c r="P489" s="108">
        <f>+N489+O489</f>
        <v>824000</v>
      </c>
      <c r="Q489" s="39">
        <v>50</v>
      </c>
      <c r="R489" s="39">
        <f t="shared" si="94"/>
        <v>900000</v>
      </c>
      <c r="S489" s="42">
        <f t="shared" si="95"/>
        <v>900000</v>
      </c>
    </row>
    <row r="490" spans="1:19">
      <c r="A490" s="99">
        <v>2026</v>
      </c>
      <c r="B490" s="100">
        <v>4</v>
      </c>
      <c r="C490" s="101">
        <v>46136</v>
      </c>
      <c r="D490" s="101" t="str">
        <f t="shared" si="93"/>
        <v>PPS00003547Хоразм_Улугбек ака</v>
      </c>
      <c r="E490" s="99" t="s">
        <v>996</v>
      </c>
      <c r="F490" s="102" t="s">
        <v>863</v>
      </c>
      <c r="G490" s="102" t="s">
        <v>864</v>
      </c>
      <c r="H490" s="99" t="s">
        <v>255</v>
      </c>
      <c r="I490" s="102" t="s">
        <v>865</v>
      </c>
      <c r="J490" s="102" t="s">
        <v>46</v>
      </c>
      <c r="K490" s="103">
        <v>20</v>
      </c>
      <c r="L490" s="104">
        <v>64700</v>
      </c>
      <c r="M490" s="104">
        <v>1294000</v>
      </c>
      <c r="N490" s="39">
        <f t="shared" ref="N490:N491" si="103">20000*K490</f>
        <v>400000</v>
      </c>
      <c r="O490" s="107">
        <f>+M490*$O$1</f>
        <v>232920</v>
      </c>
      <c r="P490" s="108">
        <f>+N490+O490</f>
        <v>632920</v>
      </c>
      <c r="Q490" s="39">
        <v>2</v>
      </c>
      <c r="R490" s="39">
        <f t="shared" si="94"/>
        <v>25880</v>
      </c>
      <c r="S490" s="42">
        <f t="shared" si="95"/>
        <v>1268120</v>
      </c>
    </row>
    <row r="491" spans="1:19">
      <c r="A491" s="99">
        <v>2026</v>
      </c>
      <c r="B491" s="100">
        <v>4</v>
      </c>
      <c r="C491" s="101">
        <v>46136</v>
      </c>
      <c r="D491" s="101" t="str">
        <f t="shared" si="93"/>
        <v>PPS00003547Хоразм_Улугбек ака</v>
      </c>
      <c r="E491" s="99" t="s">
        <v>996</v>
      </c>
      <c r="F491" s="102" t="s">
        <v>863</v>
      </c>
      <c r="G491" s="102" t="s">
        <v>864</v>
      </c>
      <c r="H491" s="99" t="s">
        <v>255</v>
      </c>
      <c r="I491" s="102" t="s">
        <v>865</v>
      </c>
      <c r="J491" s="102" t="s">
        <v>46</v>
      </c>
      <c r="K491" s="103">
        <v>180</v>
      </c>
      <c r="L491" s="104">
        <v>64700</v>
      </c>
      <c r="M491" s="104">
        <v>11646000</v>
      </c>
      <c r="N491" s="39">
        <f t="shared" si="103"/>
        <v>3600000</v>
      </c>
      <c r="O491" s="107">
        <f>+M491*$O$1</f>
        <v>2096280</v>
      </c>
      <c r="P491" s="108">
        <f>+N491+O491</f>
        <v>5696280</v>
      </c>
      <c r="Q491" s="39">
        <v>2</v>
      </c>
      <c r="R491" s="39">
        <f t="shared" si="94"/>
        <v>232920</v>
      </c>
      <c r="S491" s="42">
        <f t="shared" si="95"/>
        <v>11413080</v>
      </c>
    </row>
    <row r="492" spans="1:19">
      <c r="A492" s="99">
        <v>2026</v>
      </c>
      <c r="B492" s="100">
        <v>4</v>
      </c>
      <c r="C492" s="101">
        <v>46136</v>
      </c>
      <c r="D492" s="101" t="str">
        <f t="shared" si="93"/>
        <v>PPS00003547Хоразм_Улугбек ака</v>
      </c>
      <c r="E492" s="99" t="s">
        <v>996</v>
      </c>
      <c r="F492" s="102" t="s">
        <v>863</v>
      </c>
      <c r="G492" s="102" t="s">
        <v>864</v>
      </c>
      <c r="H492" s="99" t="s">
        <v>255</v>
      </c>
      <c r="I492" s="102" t="s">
        <v>865</v>
      </c>
      <c r="J492" s="102" t="s">
        <v>38</v>
      </c>
      <c r="K492" s="103">
        <v>200</v>
      </c>
      <c r="L492" s="104">
        <v>65000</v>
      </c>
      <c r="M492" s="104">
        <v>13000000</v>
      </c>
      <c r="N492" s="39">
        <f>+K492*20000</f>
        <v>4000000</v>
      </c>
      <c r="O492" s="107">
        <f>+M492*$O$1</f>
        <v>2340000</v>
      </c>
      <c r="P492" s="108">
        <f>+N492+O492</f>
        <v>6340000</v>
      </c>
      <c r="Q492" s="39">
        <v>2</v>
      </c>
      <c r="R492" s="39">
        <f t="shared" si="94"/>
        <v>260000</v>
      </c>
      <c r="S492" s="42">
        <f t="shared" si="95"/>
        <v>12740000</v>
      </c>
    </row>
    <row r="493" spans="1:19">
      <c r="A493" s="99">
        <v>2026</v>
      </c>
      <c r="B493" s="100">
        <v>4</v>
      </c>
      <c r="C493" s="101">
        <v>46136</v>
      </c>
      <c r="D493" s="101" t="str">
        <f t="shared" si="93"/>
        <v>PPS00003556Самарканд_Хуршед ака 2</v>
      </c>
      <c r="E493" s="99" t="s">
        <v>997</v>
      </c>
      <c r="F493" s="102" t="s">
        <v>920</v>
      </c>
      <c r="G493" s="102" t="s">
        <v>871</v>
      </c>
      <c r="H493" s="99" t="s">
        <v>255</v>
      </c>
      <c r="I493" s="102" t="s">
        <v>998</v>
      </c>
      <c r="J493" s="102" t="s">
        <v>41</v>
      </c>
      <c r="K493" s="103">
        <v>20</v>
      </c>
      <c r="L493" s="104">
        <v>90000</v>
      </c>
      <c r="M493" s="104">
        <v>1800000</v>
      </c>
      <c r="N493" s="39">
        <f>+K493*25000</f>
        <v>500000</v>
      </c>
      <c r="O493" s="107">
        <f>+M493*$O$1</f>
        <v>324000</v>
      </c>
      <c r="P493" s="108">
        <f>+N493+O493</f>
        <v>824000</v>
      </c>
      <c r="Q493" s="39">
        <v>50</v>
      </c>
      <c r="R493" s="39">
        <f t="shared" si="94"/>
        <v>900000</v>
      </c>
      <c r="S493" s="42">
        <f t="shared" si="95"/>
        <v>900000</v>
      </c>
    </row>
    <row r="494" spans="1:19">
      <c r="A494" s="99">
        <v>2026</v>
      </c>
      <c r="B494" s="100">
        <v>4</v>
      </c>
      <c r="C494" s="101">
        <v>46136</v>
      </c>
      <c r="D494" s="101" t="str">
        <f t="shared" si="93"/>
        <v>PPS00003556Самарканд_Хуршед ака 2</v>
      </c>
      <c r="E494" s="99" t="s">
        <v>997</v>
      </c>
      <c r="F494" s="102" t="s">
        <v>920</v>
      </c>
      <c r="G494" s="102" t="s">
        <v>871</v>
      </c>
      <c r="H494" s="99" t="s">
        <v>255</v>
      </c>
      <c r="I494" s="102" t="s">
        <v>998</v>
      </c>
      <c r="J494" s="102" t="s">
        <v>38</v>
      </c>
      <c r="K494" s="103">
        <v>20</v>
      </c>
      <c r="L494" s="104">
        <v>65000</v>
      </c>
      <c r="M494" s="104">
        <v>1300000</v>
      </c>
      <c r="N494" s="39">
        <f>+K494*20000</f>
        <v>400000</v>
      </c>
      <c r="O494" s="107">
        <f>+M494*$O$1</f>
        <v>234000</v>
      </c>
      <c r="P494" s="108">
        <f>+N494+O494</f>
        <v>634000</v>
      </c>
      <c r="Q494" s="39">
        <v>50</v>
      </c>
      <c r="R494" s="39">
        <f t="shared" si="94"/>
        <v>650000</v>
      </c>
      <c r="S494" s="42">
        <f t="shared" si="95"/>
        <v>650000</v>
      </c>
    </row>
    <row r="495" spans="1:19">
      <c r="A495" s="99">
        <v>2026</v>
      </c>
      <c r="B495" s="100">
        <v>4</v>
      </c>
      <c r="C495" s="101">
        <v>46136</v>
      </c>
      <c r="D495" s="101" t="str">
        <f t="shared" si="93"/>
        <v>PPS00003556Самарканд_Хуршед ака 2</v>
      </c>
      <c r="E495" s="99" t="s">
        <v>997</v>
      </c>
      <c r="F495" s="102" t="s">
        <v>920</v>
      </c>
      <c r="G495" s="102" t="s">
        <v>871</v>
      </c>
      <c r="H495" s="99" t="s">
        <v>255</v>
      </c>
      <c r="I495" s="102" t="s">
        <v>998</v>
      </c>
      <c r="J495" s="102" t="s">
        <v>466</v>
      </c>
      <c r="K495" s="103">
        <v>20</v>
      </c>
      <c r="L495" s="104">
        <v>120000</v>
      </c>
      <c r="M495" s="104">
        <v>2400000</v>
      </c>
      <c r="N495" s="39">
        <f>+K495*35000</f>
        <v>700000</v>
      </c>
      <c r="O495" s="107">
        <f>+M495*$O$1</f>
        <v>432000</v>
      </c>
      <c r="P495" s="108">
        <f>+N495+O495</f>
        <v>1132000</v>
      </c>
      <c r="Q495" s="39">
        <v>50</v>
      </c>
      <c r="R495" s="39">
        <f t="shared" si="94"/>
        <v>1200000</v>
      </c>
      <c r="S495" s="42">
        <f t="shared" si="95"/>
        <v>1200000</v>
      </c>
    </row>
    <row r="496" spans="1:19">
      <c r="A496" s="99">
        <v>2026</v>
      </c>
      <c r="B496" s="100">
        <v>4</v>
      </c>
      <c r="C496" s="101">
        <v>46139</v>
      </c>
      <c r="D496" s="101" t="str">
        <f t="shared" si="93"/>
        <v>PPS00003576Шахрисабз_Хуршид ака(Сам)</v>
      </c>
      <c r="E496" s="99" t="s">
        <v>999</v>
      </c>
      <c r="F496" s="102" t="s">
        <v>1000</v>
      </c>
      <c r="G496" s="102" t="s">
        <v>1001</v>
      </c>
      <c r="H496" s="99" t="s">
        <v>255</v>
      </c>
      <c r="I496" s="102" t="s">
        <v>1002</v>
      </c>
      <c r="J496" s="102" t="s">
        <v>41</v>
      </c>
      <c r="K496" s="103">
        <v>9</v>
      </c>
      <c r="L496" s="104">
        <v>90000</v>
      </c>
      <c r="M496" s="104">
        <v>810000</v>
      </c>
      <c r="N496" s="39">
        <f t="shared" ref="N496:N504" si="104">+K496*25000</f>
        <v>225000</v>
      </c>
      <c r="O496" s="107">
        <f>+M496*$O$1</f>
        <v>145800</v>
      </c>
      <c r="P496" s="108">
        <f>+N496+O496</f>
        <v>370800</v>
      </c>
      <c r="Q496" s="39">
        <v>100</v>
      </c>
      <c r="R496" s="39">
        <f t="shared" si="94"/>
        <v>810000</v>
      </c>
      <c r="S496" s="42">
        <f t="shared" si="95"/>
        <v>0</v>
      </c>
    </row>
    <row r="497" spans="1:19">
      <c r="A497" s="99">
        <v>2026</v>
      </c>
      <c r="B497" s="100">
        <v>4</v>
      </c>
      <c r="C497" s="101">
        <v>46139</v>
      </c>
      <c r="D497" s="101" t="str">
        <f t="shared" si="93"/>
        <v>PPS00003576Шахрисабз_Хуршид ака(Сам)</v>
      </c>
      <c r="E497" s="99" t="s">
        <v>999</v>
      </c>
      <c r="F497" s="102" t="s">
        <v>1000</v>
      </c>
      <c r="G497" s="102" t="s">
        <v>1001</v>
      </c>
      <c r="H497" s="99" t="s">
        <v>255</v>
      </c>
      <c r="I497" s="102" t="s">
        <v>1002</v>
      </c>
      <c r="J497" s="102" t="s">
        <v>41</v>
      </c>
      <c r="K497" s="103">
        <v>1</v>
      </c>
      <c r="L497" s="104">
        <v>90000</v>
      </c>
      <c r="M497" s="104">
        <v>90000</v>
      </c>
      <c r="N497" s="39">
        <f t="shared" si="104"/>
        <v>25000</v>
      </c>
      <c r="O497" s="107">
        <f>+M497*$O$1</f>
        <v>16200</v>
      </c>
      <c r="P497" s="108">
        <f>+N497+O497</f>
        <v>41200</v>
      </c>
      <c r="Q497" s="39">
        <v>100</v>
      </c>
      <c r="R497" s="39">
        <f t="shared" si="94"/>
        <v>90000</v>
      </c>
      <c r="S497" s="42">
        <f t="shared" si="95"/>
        <v>0</v>
      </c>
    </row>
    <row r="498" spans="1:19">
      <c r="A498" s="99">
        <v>2026</v>
      </c>
      <c r="B498" s="100">
        <v>4</v>
      </c>
      <c r="C498" s="101">
        <v>46139</v>
      </c>
      <c r="D498" s="101" t="str">
        <f t="shared" si="93"/>
        <v>PPS00003578Самарканд_Хуршед ака 2</v>
      </c>
      <c r="E498" s="99" t="s">
        <v>1003</v>
      </c>
      <c r="F498" s="102" t="s">
        <v>920</v>
      </c>
      <c r="G498" s="102" t="s">
        <v>871</v>
      </c>
      <c r="H498" s="99" t="s">
        <v>255</v>
      </c>
      <c r="I498" s="102" t="s">
        <v>921</v>
      </c>
      <c r="J498" s="102" t="s">
        <v>41</v>
      </c>
      <c r="K498" s="103">
        <v>99</v>
      </c>
      <c r="L498" s="104">
        <v>90000</v>
      </c>
      <c r="M498" s="104">
        <v>8910000</v>
      </c>
      <c r="N498" s="39">
        <f t="shared" si="104"/>
        <v>2475000</v>
      </c>
      <c r="O498" s="107">
        <f>+M498*$O$1</f>
        <v>1603800</v>
      </c>
      <c r="P498" s="108">
        <f>+N498+O498</f>
        <v>4078800</v>
      </c>
      <c r="Q498" s="39">
        <v>43</v>
      </c>
      <c r="R498" s="39">
        <f t="shared" si="94"/>
        <v>3831300</v>
      </c>
      <c r="S498" s="42">
        <f t="shared" si="95"/>
        <v>5078700</v>
      </c>
    </row>
    <row r="499" spans="1:19">
      <c r="A499" s="99">
        <v>2026</v>
      </c>
      <c r="B499" s="100">
        <v>4</v>
      </c>
      <c r="C499" s="101">
        <v>46139</v>
      </c>
      <c r="D499" s="101" t="str">
        <f t="shared" si="93"/>
        <v>PPS00003578Самарканд_Хуршед ака 2</v>
      </c>
      <c r="E499" s="99" t="s">
        <v>1003</v>
      </c>
      <c r="F499" s="102" t="s">
        <v>920</v>
      </c>
      <c r="G499" s="102" t="s">
        <v>871</v>
      </c>
      <c r="H499" s="99" t="s">
        <v>255</v>
      </c>
      <c r="I499" s="102" t="s">
        <v>921</v>
      </c>
      <c r="J499" s="102" t="s">
        <v>41</v>
      </c>
      <c r="K499" s="103">
        <v>1</v>
      </c>
      <c r="L499" s="104">
        <v>90000</v>
      </c>
      <c r="M499" s="104">
        <v>90000</v>
      </c>
      <c r="N499" s="39">
        <f t="shared" si="104"/>
        <v>25000</v>
      </c>
      <c r="O499" s="107">
        <f>+M499*$O$1</f>
        <v>16200</v>
      </c>
      <c r="P499" s="108">
        <f>+N499+O499</f>
        <v>41200</v>
      </c>
      <c r="Q499" s="39">
        <v>43</v>
      </c>
      <c r="R499" s="39">
        <f t="shared" si="94"/>
        <v>38700</v>
      </c>
      <c r="S499" s="42">
        <f t="shared" si="95"/>
        <v>51300</v>
      </c>
    </row>
    <row r="500" spans="1:19">
      <c r="A500" s="99">
        <v>2026</v>
      </c>
      <c r="B500" s="100">
        <v>4</v>
      </c>
      <c r="C500" s="101">
        <v>46139</v>
      </c>
      <c r="D500" s="101" t="str">
        <f t="shared" si="93"/>
        <v>PPS00003623Бухоро_Нафосат опа</v>
      </c>
      <c r="E500" s="99" t="s">
        <v>1004</v>
      </c>
      <c r="F500" s="102" t="s">
        <v>893</v>
      </c>
      <c r="G500" s="102" t="s">
        <v>894</v>
      </c>
      <c r="H500" s="99" t="s">
        <v>255</v>
      </c>
      <c r="I500" s="102" t="s">
        <v>635</v>
      </c>
      <c r="J500" s="102" t="s">
        <v>41</v>
      </c>
      <c r="K500" s="103">
        <v>9</v>
      </c>
      <c r="L500" s="104">
        <v>90000</v>
      </c>
      <c r="M500" s="104">
        <v>810000</v>
      </c>
      <c r="N500" s="39">
        <f t="shared" si="104"/>
        <v>225000</v>
      </c>
      <c r="O500" s="107">
        <f>+M500*$O$1</f>
        <v>145800</v>
      </c>
      <c r="P500" s="108">
        <f>+N500+O500</f>
        <v>370800</v>
      </c>
      <c r="Q500" s="39">
        <v>100</v>
      </c>
      <c r="R500" s="39">
        <f t="shared" si="94"/>
        <v>810000</v>
      </c>
      <c r="S500" s="42">
        <f t="shared" si="95"/>
        <v>0</v>
      </c>
    </row>
    <row r="501" spans="1:19">
      <c r="A501" s="99">
        <v>2026</v>
      </c>
      <c r="B501" s="100">
        <v>4</v>
      </c>
      <c r="C501" s="101">
        <v>46139</v>
      </c>
      <c r="D501" s="101" t="str">
        <f t="shared" si="93"/>
        <v>PPS00003623Бухоро_Нафосат опа</v>
      </c>
      <c r="E501" s="99" t="s">
        <v>1004</v>
      </c>
      <c r="F501" s="102" t="s">
        <v>893</v>
      </c>
      <c r="G501" s="102" t="s">
        <v>894</v>
      </c>
      <c r="H501" s="99" t="s">
        <v>255</v>
      </c>
      <c r="I501" s="102" t="s">
        <v>635</v>
      </c>
      <c r="J501" s="102" t="s">
        <v>41</v>
      </c>
      <c r="K501" s="103">
        <v>20</v>
      </c>
      <c r="L501" s="104">
        <v>90000</v>
      </c>
      <c r="M501" s="104">
        <v>1800000</v>
      </c>
      <c r="N501" s="39">
        <f t="shared" si="104"/>
        <v>500000</v>
      </c>
      <c r="O501" s="107">
        <f>+M501*$O$1</f>
        <v>324000</v>
      </c>
      <c r="P501" s="108">
        <f>+N501+O501</f>
        <v>824000</v>
      </c>
      <c r="Q501" s="39">
        <v>100</v>
      </c>
      <c r="R501" s="39">
        <f t="shared" si="94"/>
        <v>1800000</v>
      </c>
      <c r="S501" s="42">
        <f t="shared" si="95"/>
        <v>0</v>
      </c>
    </row>
    <row r="502" spans="1:19">
      <c r="A502" s="99">
        <v>2026</v>
      </c>
      <c r="B502" s="100">
        <v>4</v>
      </c>
      <c r="C502" s="101">
        <v>46139</v>
      </c>
      <c r="D502" s="101" t="str">
        <f t="shared" si="93"/>
        <v>PPS00003623Бухоро_Нафосат опа</v>
      </c>
      <c r="E502" s="99" t="s">
        <v>1004</v>
      </c>
      <c r="F502" s="102" t="s">
        <v>893</v>
      </c>
      <c r="G502" s="102" t="s">
        <v>894</v>
      </c>
      <c r="H502" s="99" t="s">
        <v>255</v>
      </c>
      <c r="I502" s="102" t="s">
        <v>635</v>
      </c>
      <c r="J502" s="102" t="s">
        <v>41</v>
      </c>
      <c r="K502" s="103">
        <v>21</v>
      </c>
      <c r="L502" s="104">
        <v>90000</v>
      </c>
      <c r="M502" s="104">
        <v>1890000</v>
      </c>
      <c r="N502" s="39">
        <f t="shared" si="104"/>
        <v>525000</v>
      </c>
      <c r="O502" s="107">
        <f>+M502*$O$1</f>
        <v>340200</v>
      </c>
      <c r="P502" s="108">
        <f>+N502+O502</f>
        <v>865200</v>
      </c>
      <c r="Q502" s="39">
        <v>100</v>
      </c>
      <c r="R502" s="39">
        <f t="shared" si="94"/>
        <v>1890000</v>
      </c>
      <c r="S502" s="42">
        <f t="shared" si="95"/>
        <v>0</v>
      </c>
    </row>
    <row r="503" spans="1:19">
      <c r="A503" s="99">
        <v>2026</v>
      </c>
      <c r="B503" s="100">
        <v>4</v>
      </c>
      <c r="C503" s="101">
        <v>46139</v>
      </c>
      <c r="D503" s="101" t="str">
        <f t="shared" si="93"/>
        <v>PPS00003625Бухоро_Нафосат опа</v>
      </c>
      <c r="E503" s="99" t="s">
        <v>1005</v>
      </c>
      <c r="F503" s="102" t="s">
        <v>893</v>
      </c>
      <c r="G503" s="102" t="s">
        <v>894</v>
      </c>
      <c r="H503" s="99" t="s">
        <v>255</v>
      </c>
      <c r="I503" s="102" t="s">
        <v>1006</v>
      </c>
      <c r="J503" s="102" t="s">
        <v>41</v>
      </c>
      <c r="K503" s="103">
        <v>50</v>
      </c>
      <c r="L503" s="104">
        <v>90000</v>
      </c>
      <c r="M503" s="104">
        <v>4500000</v>
      </c>
      <c r="N503" s="39">
        <f t="shared" si="104"/>
        <v>1250000</v>
      </c>
      <c r="O503" s="107">
        <f>+M503*$O$1</f>
        <v>810000</v>
      </c>
      <c r="P503" s="108">
        <f>+N503+O503</f>
        <v>2060000</v>
      </c>
      <c r="Q503" s="39">
        <v>26</v>
      </c>
      <c r="R503" s="39">
        <f t="shared" si="94"/>
        <v>1170000</v>
      </c>
      <c r="S503" s="42">
        <f t="shared" si="95"/>
        <v>3330000</v>
      </c>
    </row>
    <row r="504" spans="1:19">
      <c r="A504" s="99">
        <v>2026</v>
      </c>
      <c r="B504" s="100">
        <v>4</v>
      </c>
      <c r="C504" s="101">
        <v>46139</v>
      </c>
      <c r="D504" s="101" t="str">
        <f t="shared" si="93"/>
        <v>PPS00003629Бухоро_Нафосат опа</v>
      </c>
      <c r="E504" s="99" t="s">
        <v>1007</v>
      </c>
      <c r="F504" s="102" t="s">
        <v>893</v>
      </c>
      <c r="G504" s="102" t="s">
        <v>894</v>
      </c>
      <c r="H504" s="99" t="s">
        <v>255</v>
      </c>
      <c r="I504" s="102" t="s">
        <v>1008</v>
      </c>
      <c r="J504" s="102" t="s">
        <v>41</v>
      </c>
      <c r="K504" s="103">
        <v>50</v>
      </c>
      <c r="L504" s="104">
        <v>90000</v>
      </c>
      <c r="M504" s="104">
        <v>4500000</v>
      </c>
      <c r="N504" s="39">
        <f t="shared" si="104"/>
        <v>1250000</v>
      </c>
      <c r="O504" s="107">
        <f>+M504*$O$1</f>
        <v>810000</v>
      </c>
      <c r="P504" s="108">
        <f>+N504+O504</f>
        <v>2060000</v>
      </c>
      <c r="Q504" s="39">
        <v>48</v>
      </c>
      <c r="R504" s="39">
        <f t="shared" si="94"/>
        <v>2160000</v>
      </c>
      <c r="S504" s="42">
        <f t="shared" si="95"/>
        <v>2340000</v>
      </c>
    </row>
    <row r="505" spans="1:19">
      <c r="A505" s="99">
        <v>2026</v>
      </c>
      <c r="B505" s="100">
        <v>4</v>
      </c>
      <c r="C505" s="101">
        <v>46140</v>
      </c>
      <c r="D505" s="101" t="str">
        <f t="shared" si="93"/>
        <v>PPS00003640Самарканд_Хуршед ака 2</v>
      </c>
      <c r="E505" s="99" t="s">
        <v>1009</v>
      </c>
      <c r="F505" s="102" t="s">
        <v>912</v>
      </c>
      <c r="G505" s="102" t="s">
        <v>871</v>
      </c>
      <c r="H505" s="99" t="s">
        <v>255</v>
      </c>
      <c r="I505" s="102" t="s">
        <v>1010</v>
      </c>
      <c r="J505" s="102" t="s">
        <v>38</v>
      </c>
      <c r="K505" s="103">
        <v>30</v>
      </c>
      <c r="L505" s="104">
        <v>65000</v>
      </c>
      <c r="M505" s="104">
        <v>1950000</v>
      </c>
      <c r="N505" s="39">
        <f>+K505*20000</f>
        <v>600000</v>
      </c>
      <c r="O505" s="107">
        <f>+M505*$O$1</f>
        <v>351000</v>
      </c>
      <c r="P505" s="108">
        <f>+N505+O505</f>
        <v>951000</v>
      </c>
      <c r="Q505" s="39">
        <v>51</v>
      </c>
      <c r="R505" s="39">
        <f t="shared" si="94"/>
        <v>994500</v>
      </c>
      <c r="S505" s="42">
        <f t="shared" si="95"/>
        <v>955500</v>
      </c>
    </row>
    <row r="506" spans="1:19">
      <c r="A506" s="99">
        <v>2026</v>
      </c>
      <c r="B506" s="100">
        <v>4</v>
      </c>
      <c r="C506" s="101">
        <v>46140</v>
      </c>
      <c r="D506" s="101" t="str">
        <f t="shared" si="93"/>
        <v>PPS00003657Самарканд_Хуршед ака</v>
      </c>
      <c r="E506" s="99" t="s">
        <v>1011</v>
      </c>
      <c r="F506" s="102" t="s">
        <v>271</v>
      </c>
      <c r="G506" s="102" t="s">
        <v>272</v>
      </c>
      <c r="H506" s="99" t="s">
        <v>255</v>
      </c>
      <c r="I506" s="102" t="s">
        <v>1012</v>
      </c>
      <c r="J506" s="102" t="s">
        <v>41</v>
      </c>
      <c r="K506" s="103">
        <v>10</v>
      </c>
      <c r="L506" s="104">
        <v>90000</v>
      </c>
      <c r="M506" s="104">
        <v>900000</v>
      </c>
      <c r="N506" s="39">
        <f>+K506*25000</f>
        <v>250000</v>
      </c>
      <c r="O506" s="107">
        <f>+M506*$O$1</f>
        <v>162000</v>
      </c>
      <c r="P506" s="108">
        <f>+N506+O506</f>
        <v>412000</v>
      </c>
      <c r="Q506" s="39">
        <v>53</v>
      </c>
      <c r="R506" s="39">
        <f t="shared" si="94"/>
        <v>477000</v>
      </c>
      <c r="S506" s="42">
        <f t="shared" si="95"/>
        <v>423000</v>
      </c>
    </row>
    <row r="507" spans="1:19">
      <c r="A507" s="99">
        <v>2026</v>
      </c>
      <c r="B507" s="100">
        <v>4</v>
      </c>
      <c r="C507" s="101">
        <v>46140</v>
      </c>
      <c r="D507" s="101" t="str">
        <f t="shared" si="93"/>
        <v>PPS00003657Самарканд_Хуршед ака</v>
      </c>
      <c r="E507" s="99" t="s">
        <v>1011</v>
      </c>
      <c r="F507" s="102" t="s">
        <v>271</v>
      </c>
      <c r="G507" s="102" t="s">
        <v>272</v>
      </c>
      <c r="H507" s="99" t="s">
        <v>255</v>
      </c>
      <c r="I507" s="102" t="s">
        <v>1012</v>
      </c>
      <c r="J507" s="102" t="s">
        <v>466</v>
      </c>
      <c r="K507" s="103">
        <v>5</v>
      </c>
      <c r="L507" s="104">
        <v>120000</v>
      </c>
      <c r="M507" s="104">
        <v>600000</v>
      </c>
      <c r="N507" s="39">
        <f>+K507*35000</f>
        <v>175000</v>
      </c>
      <c r="O507" s="107">
        <f>+M507*$O$1</f>
        <v>108000</v>
      </c>
      <c r="P507" s="108">
        <f>+N507+O507</f>
        <v>283000</v>
      </c>
      <c r="Q507" s="39">
        <v>53</v>
      </c>
      <c r="R507" s="39">
        <f t="shared" si="94"/>
        <v>318000</v>
      </c>
      <c r="S507" s="42">
        <f t="shared" si="95"/>
        <v>282000</v>
      </c>
    </row>
    <row r="508" spans="1:19">
      <c r="A508" s="99">
        <v>2026</v>
      </c>
      <c r="B508" s="100">
        <v>4</v>
      </c>
      <c r="C508" s="101">
        <v>46140</v>
      </c>
      <c r="D508" s="101" t="str">
        <f t="shared" si="93"/>
        <v>PPS00003657Самарканд_Хуршед ака</v>
      </c>
      <c r="E508" s="99" t="s">
        <v>1011</v>
      </c>
      <c r="F508" s="102" t="s">
        <v>271</v>
      </c>
      <c r="G508" s="102" t="s">
        <v>272</v>
      </c>
      <c r="H508" s="99" t="s">
        <v>255</v>
      </c>
      <c r="I508" s="102" t="s">
        <v>1012</v>
      </c>
      <c r="J508" s="102" t="s">
        <v>46</v>
      </c>
      <c r="K508" s="103">
        <v>15</v>
      </c>
      <c r="L508" s="104">
        <v>64700</v>
      </c>
      <c r="M508" s="104">
        <v>970500</v>
      </c>
      <c r="N508" s="39">
        <f>20000*K508</f>
        <v>300000</v>
      </c>
      <c r="O508" s="107">
        <f>+M508*$O$1</f>
        <v>174690</v>
      </c>
      <c r="P508" s="108">
        <f>+N508+O508</f>
        <v>474690</v>
      </c>
      <c r="Q508" s="39">
        <v>53</v>
      </c>
      <c r="R508" s="39">
        <f t="shared" si="94"/>
        <v>514365</v>
      </c>
      <c r="S508" s="42">
        <f t="shared" si="95"/>
        <v>456135</v>
      </c>
    </row>
    <row r="509" spans="1:19">
      <c r="A509" s="99">
        <v>2026</v>
      </c>
      <c r="B509" s="100">
        <v>4</v>
      </c>
      <c r="C509" s="101">
        <v>46140</v>
      </c>
      <c r="D509" s="101" t="str">
        <f t="shared" si="93"/>
        <v>PPS00003657Самарканд_Хуршед ака</v>
      </c>
      <c r="E509" s="99" t="s">
        <v>1011</v>
      </c>
      <c r="F509" s="102" t="s">
        <v>271</v>
      </c>
      <c r="G509" s="102" t="s">
        <v>272</v>
      </c>
      <c r="H509" s="99" t="s">
        <v>255</v>
      </c>
      <c r="I509" s="102" t="s">
        <v>1012</v>
      </c>
      <c r="J509" s="102" t="s">
        <v>38</v>
      </c>
      <c r="K509" s="103">
        <v>10</v>
      </c>
      <c r="L509" s="104">
        <v>65000</v>
      </c>
      <c r="M509" s="104">
        <v>650000</v>
      </c>
      <c r="N509" s="39">
        <f>+K509*20000</f>
        <v>200000</v>
      </c>
      <c r="O509" s="107">
        <f>+M509*$O$1</f>
        <v>117000</v>
      </c>
      <c r="P509" s="108">
        <f>+N509+O509</f>
        <v>317000</v>
      </c>
      <c r="Q509" s="39">
        <v>53</v>
      </c>
      <c r="R509" s="39">
        <f t="shared" si="94"/>
        <v>344500</v>
      </c>
      <c r="S509" s="42">
        <f t="shared" si="95"/>
        <v>305500</v>
      </c>
    </row>
    <row r="510" spans="1:19">
      <c r="A510" s="99">
        <v>2026</v>
      </c>
      <c r="B510" s="100">
        <v>4</v>
      </c>
      <c r="C510" s="101">
        <v>46140</v>
      </c>
      <c r="D510" s="101" t="str">
        <f t="shared" si="93"/>
        <v>PPS00003708Таш.Обл_Шахло опа</v>
      </c>
      <c r="E510" s="99" t="s">
        <v>1013</v>
      </c>
      <c r="F510" s="102" t="s">
        <v>489</v>
      </c>
      <c r="G510" s="102" t="s">
        <v>464</v>
      </c>
      <c r="H510" s="99" t="s">
        <v>255</v>
      </c>
      <c r="I510" s="102" t="s">
        <v>811</v>
      </c>
      <c r="J510" s="102" t="s">
        <v>466</v>
      </c>
      <c r="K510" s="103">
        <v>10</v>
      </c>
      <c r="L510" s="104">
        <v>120000</v>
      </c>
      <c r="M510" s="104">
        <v>1200000</v>
      </c>
      <c r="N510" s="39">
        <f t="shared" ref="N510:N511" si="105">+K510*35000</f>
        <v>350000</v>
      </c>
      <c r="O510" s="107">
        <f>+M510*$O$1</f>
        <v>216000</v>
      </c>
      <c r="P510" s="108">
        <f>+N510+O510</f>
        <v>566000</v>
      </c>
      <c r="Q510" s="39">
        <v>50</v>
      </c>
      <c r="R510" s="39">
        <f t="shared" si="94"/>
        <v>600000</v>
      </c>
      <c r="S510" s="42">
        <f t="shared" si="95"/>
        <v>600000</v>
      </c>
    </row>
    <row r="511" spans="1:19">
      <c r="A511" s="99">
        <v>2026</v>
      </c>
      <c r="B511" s="100">
        <v>4</v>
      </c>
      <c r="C511" s="101">
        <v>46141</v>
      </c>
      <c r="D511" s="101" t="str">
        <f t="shared" si="93"/>
        <v>PPS00003728Самарканд_Хуршед ака 2</v>
      </c>
      <c r="E511" s="99" t="s">
        <v>1014</v>
      </c>
      <c r="F511" s="102" t="s">
        <v>920</v>
      </c>
      <c r="G511" s="102" t="s">
        <v>871</v>
      </c>
      <c r="H511" s="99" t="s">
        <v>255</v>
      </c>
      <c r="I511" s="102" t="s">
        <v>1015</v>
      </c>
      <c r="J511" s="102" t="s">
        <v>466</v>
      </c>
      <c r="K511" s="103">
        <v>20</v>
      </c>
      <c r="L511" s="104">
        <v>120000</v>
      </c>
      <c r="M511" s="104">
        <v>2400000</v>
      </c>
      <c r="N511" s="39">
        <f t="shared" si="105"/>
        <v>700000</v>
      </c>
      <c r="O511" s="107">
        <f>+M511*$O$1</f>
        <v>432000</v>
      </c>
      <c r="P511" s="108">
        <f>+N511+O511</f>
        <v>1132000</v>
      </c>
      <c r="Q511" s="39">
        <v>50</v>
      </c>
      <c r="R511" s="39">
        <f t="shared" si="94"/>
        <v>1200000</v>
      </c>
      <c r="S511" s="42">
        <f t="shared" si="95"/>
        <v>1200000</v>
      </c>
    </row>
    <row r="512" spans="1:19">
      <c r="A512" s="99">
        <v>2026</v>
      </c>
      <c r="B512" s="100">
        <v>4</v>
      </c>
      <c r="C512" s="101">
        <v>46141</v>
      </c>
      <c r="D512" s="101" t="str">
        <f t="shared" si="93"/>
        <v>PPS00003728Самарканд_Хуршед ака 2</v>
      </c>
      <c r="E512" s="99" t="s">
        <v>1014</v>
      </c>
      <c r="F512" s="102" t="s">
        <v>920</v>
      </c>
      <c r="G512" s="102" t="s">
        <v>871</v>
      </c>
      <c r="H512" s="99" t="s">
        <v>255</v>
      </c>
      <c r="I512" s="102" t="s">
        <v>1015</v>
      </c>
      <c r="J512" s="102" t="s">
        <v>41</v>
      </c>
      <c r="K512" s="103">
        <v>20</v>
      </c>
      <c r="L512" s="104">
        <v>90000</v>
      </c>
      <c r="M512" s="104">
        <v>1800000</v>
      </c>
      <c r="N512" s="39">
        <f>+K512*25000</f>
        <v>500000</v>
      </c>
      <c r="O512" s="107">
        <f>+M512*$O$1</f>
        <v>324000</v>
      </c>
      <c r="P512" s="108">
        <f>+N512+O512</f>
        <v>824000</v>
      </c>
      <c r="Q512" s="39">
        <v>50</v>
      </c>
      <c r="R512" s="39">
        <f t="shared" si="94"/>
        <v>900000</v>
      </c>
      <c r="S512" s="42">
        <f t="shared" si="95"/>
        <v>900000</v>
      </c>
    </row>
    <row r="513" spans="1:19">
      <c r="A513" s="99">
        <v>2026</v>
      </c>
      <c r="B513" s="100">
        <v>4</v>
      </c>
      <c r="C513" s="101">
        <v>46141</v>
      </c>
      <c r="D513" s="101" t="str">
        <f t="shared" si="93"/>
        <v>PPS00003743Таш.Обл_Шахло опа</v>
      </c>
      <c r="E513" s="99" t="s">
        <v>1016</v>
      </c>
      <c r="F513" s="102" t="s">
        <v>677</v>
      </c>
      <c r="G513" s="102" t="s">
        <v>464</v>
      </c>
      <c r="H513" s="99" t="s">
        <v>255</v>
      </c>
      <c r="I513" s="102" t="s">
        <v>825</v>
      </c>
      <c r="J513" s="102" t="s">
        <v>466</v>
      </c>
      <c r="K513" s="103">
        <v>20</v>
      </c>
      <c r="L513" s="104">
        <v>120000</v>
      </c>
      <c r="M513" s="104">
        <v>2400000</v>
      </c>
      <c r="N513" s="39">
        <f>+K513*35000</f>
        <v>700000</v>
      </c>
      <c r="O513" s="107">
        <f>+M513*$O$1</f>
        <v>432000</v>
      </c>
      <c r="P513" s="108">
        <f>+N513+O513</f>
        <v>1132000</v>
      </c>
      <c r="Q513" s="39">
        <v>50</v>
      </c>
      <c r="R513" s="39">
        <f t="shared" si="94"/>
        <v>1200000</v>
      </c>
      <c r="S513" s="42">
        <f t="shared" si="95"/>
        <v>1200000</v>
      </c>
    </row>
    <row r="514" spans="1:19">
      <c r="A514" s="99">
        <v>2026</v>
      </c>
      <c r="B514" s="100">
        <v>4</v>
      </c>
      <c r="C514" s="101">
        <v>46141</v>
      </c>
      <c r="D514" s="101" t="str">
        <f t="shared" si="93"/>
        <v>PPS00003772Самарканд_Хуршед ака 2</v>
      </c>
      <c r="E514" s="99" t="s">
        <v>1017</v>
      </c>
      <c r="F514" s="102" t="s">
        <v>912</v>
      </c>
      <c r="G514" s="102" t="s">
        <v>871</v>
      </c>
      <c r="H514" s="99" t="s">
        <v>255</v>
      </c>
      <c r="I514" s="102" t="s">
        <v>913</v>
      </c>
      <c r="J514" s="102" t="s">
        <v>38</v>
      </c>
      <c r="K514" s="103">
        <v>100</v>
      </c>
      <c r="L514" s="104">
        <v>65000</v>
      </c>
      <c r="M514" s="104">
        <v>6500000</v>
      </c>
      <c r="N514" s="39">
        <f>+K514*20000</f>
        <v>2000000</v>
      </c>
      <c r="O514" s="107">
        <f>+M514*$O$1</f>
        <v>1170000</v>
      </c>
      <c r="P514" s="108">
        <f>+N514+O514</f>
        <v>3170000</v>
      </c>
      <c r="Q514" s="39">
        <v>50</v>
      </c>
      <c r="R514" s="39">
        <f t="shared" si="94"/>
        <v>3250000</v>
      </c>
      <c r="S514" s="42">
        <f t="shared" si="95"/>
        <v>3250000</v>
      </c>
    </row>
    <row r="515" spans="1:19">
      <c r="A515" s="99">
        <v>2026</v>
      </c>
      <c r="B515" s="100">
        <v>4</v>
      </c>
      <c r="C515" s="101">
        <v>46141</v>
      </c>
      <c r="D515" s="101" t="str">
        <f t="shared" si="93"/>
        <v>PPS00003776Сирдарё_Фотима опа</v>
      </c>
      <c r="E515" s="99" t="s">
        <v>1018</v>
      </c>
      <c r="F515" s="102" t="s">
        <v>890</v>
      </c>
      <c r="G515" s="102" t="s">
        <v>281</v>
      </c>
      <c r="H515" s="99" t="s">
        <v>255</v>
      </c>
      <c r="I515" s="102" t="s">
        <v>559</v>
      </c>
      <c r="J515" s="102" t="s">
        <v>466</v>
      </c>
      <c r="K515" s="103">
        <v>40</v>
      </c>
      <c r="L515" s="104">
        <v>120000</v>
      </c>
      <c r="M515" s="104">
        <v>4800000</v>
      </c>
      <c r="N515" s="39">
        <f>+K515*35000</f>
        <v>1400000</v>
      </c>
      <c r="O515" s="107">
        <f>+M515*$O$1</f>
        <v>864000</v>
      </c>
      <c r="P515" s="108">
        <f>+N515+O515</f>
        <v>2264000</v>
      </c>
      <c r="Q515" s="39">
        <v>100</v>
      </c>
      <c r="R515" s="39">
        <f t="shared" si="94"/>
        <v>4800000</v>
      </c>
      <c r="S515" s="42">
        <f t="shared" si="95"/>
        <v>0</v>
      </c>
    </row>
    <row r="516" spans="1:19">
      <c r="A516" s="99">
        <v>2026</v>
      </c>
      <c r="B516" s="100">
        <v>4</v>
      </c>
      <c r="C516" s="101">
        <v>46141</v>
      </c>
      <c r="D516" s="101" t="str">
        <f t="shared" ref="D516:D579" si="106">+E516&amp;G516</f>
        <v>PPS00003779Таш.Обл_Шахло опа</v>
      </c>
      <c r="E516" s="99" t="s">
        <v>1019</v>
      </c>
      <c r="F516" s="102" t="s">
        <v>463</v>
      </c>
      <c r="G516" s="102" t="s">
        <v>464</v>
      </c>
      <c r="H516" s="99" t="s">
        <v>255</v>
      </c>
      <c r="I516" s="102" t="s">
        <v>465</v>
      </c>
      <c r="J516" s="102" t="s">
        <v>46</v>
      </c>
      <c r="K516" s="103">
        <v>40</v>
      </c>
      <c r="L516" s="104">
        <v>64700</v>
      </c>
      <c r="M516" s="104">
        <v>2588000</v>
      </c>
      <c r="N516" s="39">
        <f t="shared" ref="N516:N517" si="107">20000*K516</f>
        <v>800000</v>
      </c>
      <c r="O516" s="107">
        <f>+M516*$O$1</f>
        <v>465840</v>
      </c>
      <c r="P516" s="108">
        <f>+N516+O516</f>
        <v>1265840</v>
      </c>
      <c r="Q516" s="39">
        <v>64</v>
      </c>
      <c r="R516" s="39">
        <f t="shared" ref="R516:R579" si="108">+M516*Q516%</f>
        <v>1656320</v>
      </c>
      <c r="S516" s="42">
        <f t="shared" ref="S516:S579" si="109">M516-R516</f>
        <v>931680</v>
      </c>
    </row>
    <row r="517" spans="1:19">
      <c r="A517" s="99">
        <v>2026</v>
      </c>
      <c r="B517" s="100">
        <v>4</v>
      </c>
      <c r="C517" s="101">
        <v>46142</v>
      </c>
      <c r="D517" s="101" t="str">
        <f t="shared" si="106"/>
        <v>PPS00003802Сирдарьё_Зилола Опа</v>
      </c>
      <c r="E517" s="99" t="s">
        <v>1020</v>
      </c>
      <c r="F517" s="102" t="s">
        <v>736</v>
      </c>
      <c r="G517" s="102" t="s">
        <v>704</v>
      </c>
      <c r="H517" s="99" t="s">
        <v>255</v>
      </c>
      <c r="I517" s="102" t="s">
        <v>443</v>
      </c>
      <c r="J517" s="102" t="s">
        <v>46</v>
      </c>
      <c r="K517" s="103">
        <v>20</v>
      </c>
      <c r="L517" s="104">
        <v>64700</v>
      </c>
      <c r="M517" s="104">
        <v>1294000</v>
      </c>
      <c r="N517" s="39">
        <f t="shared" si="107"/>
        <v>400000</v>
      </c>
      <c r="O517" s="107">
        <f>+M517*$O$1</f>
        <v>232920</v>
      </c>
      <c r="P517" s="108">
        <f>+N517+O517</f>
        <v>632920</v>
      </c>
      <c r="Q517" s="39">
        <v>37</v>
      </c>
      <c r="R517" s="39">
        <f t="shared" si="108"/>
        <v>478780</v>
      </c>
      <c r="S517" s="42">
        <f t="shared" si="109"/>
        <v>815220</v>
      </c>
    </row>
    <row r="518" spans="1:19">
      <c r="A518" s="99">
        <v>2026</v>
      </c>
      <c r="B518" s="100">
        <v>4</v>
      </c>
      <c r="C518" s="101">
        <v>46142</v>
      </c>
      <c r="D518" s="101" t="str">
        <f t="shared" si="106"/>
        <v>PPS00003827Самарканд_Хуршед ака 2</v>
      </c>
      <c r="E518" s="99" t="s">
        <v>1021</v>
      </c>
      <c r="F518" s="102" t="s">
        <v>912</v>
      </c>
      <c r="G518" s="102" t="s">
        <v>871</v>
      </c>
      <c r="H518" s="99" t="s">
        <v>255</v>
      </c>
      <c r="I518" s="102" t="s">
        <v>417</v>
      </c>
      <c r="J518" s="102" t="s">
        <v>38</v>
      </c>
      <c r="K518" s="103">
        <v>50</v>
      </c>
      <c r="L518" s="104">
        <v>65000</v>
      </c>
      <c r="M518" s="104">
        <v>3250000</v>
      </c>
      <c r="N518" s="39">
        <f>+K518*20000</f>
        <v>1000000</v>
      </c>
      <c r="O518" s="107">
        <f>+M518*$O$1</f>
        <v>585000</v>
      </c>
      <c r="P518" s="108">
        <f>+N518+O518</f>
        <v>1585000</v>
      </c>
      <c r="Q518" s="39">
        <v>50</v>
      </c>
      <c r="R518" s="39">
        <f t="shared" si="108"/>
        <v>1625000</v>
      </c>
      <c r="S518" s="42">
        <f t="shared" si="109"/>
        <v>1625000</v>
      </c>
    </row>
    <row r="519" spans="1:19">
      <c r="A519" s="99">
        <v>2026</v>
      </c>
      <c r="B519" s="100">
        <v>4</v>
      </c>
      <c r="C519" s="101">
        <v>46142</v>
      </c>
      <c r="D519" s="101" t="str">
        <f t="shared" si="106"/>
        <v>PPS00003831Самарканд_Хуршед ака 2</v>
      </c>
      <c r="E519" s="99" t="s">
        <v>1022</v>
      </c>
      <c r="F519" s="102" t="s">
        <v>1023</v>
      </c>
      <c r="G519" s="102" t="s">
        <v>871</v>
      </c>
      <c r="H519" s="99" t="s">
        <v>255</v>
      </c>
      <c r="I519" s="102" t="s">
        <v>936</v>
      </c>
      <c r="J519" s="102" t="s">
        <v>466</v>
      </c>
      <c r="K519" s="103">
        <v>10</v>
      </c>
      <c r="L519" s="104">
        <v>120000</v>
      </c>
      <c r="M519" s="104">
        <v>1200000</v>
      </c>
      <c r="N519" s="39">
        <f>+K519*35000</f>
        <v>350000</v>
      </c>
      <c r="O519" s="107">
        <f>+M519*$O$1</f>
        <v>216000</v>
      </c>
      <c r="P519" s="108">
        <f>+N519+O519</f>
        <v>566000</v>
      </c>
      <c r="Q519" s="39">
        <v>100</v>
      </c>
      <c r="R519" s="39">
        <f t="shared" si="108"/>
        <v>1200000</v>
      </c>
      <c r="S519" s="42">
        <f t="shared" si="109"/>
        <v>0</v>
      </c>
    </row>
    <row r="520" spans="1:19">
      <c r="A520" s="99">
        <v>2026</v>
      </c>
      <c r="B520" s="100">
        <v>4</v>
      </c>
      <c r="C520" s="101">
        <v>46142</v>
      </c>
      <c r="D520" s="101" t="str">
        <f t="shared" si="106"/>
        <v>PPS00003842Самарканд_Хуршед ака 2</v>
      </c>
      <c r="E520" s="99" t="s">
        <v>1024</v>
      </c>
      <c r="F520" s="102" t="s">
        <v>920</v>
      </c>
      <c r="G520" s="102" t="s">
        <v>871</v>
      </c>
      <c r="H520" s="99" t="s">
        <v>255</v>
      </c>
      <c r="I520" s="102" t="s">
        <v>983</v>
      </c>
      <c r="J520" s="102" t="s">
        <v>41</v>
      </c>
      <c r="K520" s="103">
        <v>1</v>
      </c>
      <c r="L520" s="104">
        <v>90000</v>
      </c>
      <c r="M520" s="104">
        <v>90000</v>
      </c>
      <c r="N520" s="39">
        <f t="shared" ref="N520:N521" si="110">+K520*25000</f>
        <v>25000</v>
      </c>
      <c r="O520" s="107">
        <f>+M520*$O$1</f>
        <v>16200</v>
      </c>
      <c r="P520" s="108">
        <f>+N520+O520</f>
        <v>41200</v>
      </c>
      <c r="Q520" s="39">
        <v>64</v>
      </c>
      <c r="R520" s="39">
        <f t="shared" si="108"/>
        <v>57600</v>
      </c>
      <c r="S520" s="42">
        <f t="shared" si="109"/>
        <v>32400</v>
      </c>
    </row>
    <row r="521" spans="1:19">
      <c r="A521" s="99">
        <v>2026</v>
      </c>
      <c r="B521" s="100">
        <v>4</v>
      </c>
      <c r="C521" s="101">
        <v>46142</v>
      </c>
      <c r="D521" s="101" t="str">
        <f t="shared" si="106"/>
        <v>PPS00003842Самарканд_Хуршед ака 2</v>
      </c>
      <c r="E521" s="99" t="s">
        <v>1024</v>
      </c>
      <c r="F521" s="102" t="s">
        <v>920</v>
      </c>
      <c r="G521" s="102" t="s">
        <v>871</v>
      </c>
      <c r="H521" s="99" t="s">
        <v>255</v>
      </c>
      <c r="I521" s="102" t="s">
        <v>983</v>
      </c>
      <c r="J521" s="102" t="s">
        <v>41</v>
      </c>
      <c r="K521" s="103">
        <v>49</v>
      </c>
      <c r="L521" s="104">
        <v>90000</v>
      </c>
      <c r="M521" s="104">
        <v>4410000</v>
      </c>
      <c r="N521" s="39">
        <f t="shared" si="110"/>
        <v>1225000</v>
      </c>
      <c r="O521" s="107">
        <f>+M521*$O$1</f>
        <v>793800</v>
      </c>
      <c r="P521" s="108">
        <f>+N521+O521</f>
        <v>2018800</v>
      </c>
      <c r="Q521" s="39">
        <v>64</v>
      </c>
      <c r="R521" s="39">
        <f t="shared" si="108"/>
        <v>2822400</v>
      </c>
      <c r="S521" s="42">
        <f t="shared" si="109"/>
        <v>1587600</v>
      </c>
    </row>
    <row r="522" spans="1:19">
      <c r="A522" s="99">
        <v>2026</v>
      </c>
      <c r="B522" s="100">
        <v>4</v>
      </c>
      <c r="C522" s="101">
        <v>46142</v>
      </c>
      <c r="D522" s="101" t="str">
        <f t="shared" si="106"/>
        <v>PPS00003842Самарканд_Хуршед ака 2</v>
      </c>
      <c r="E522" s="99" t="s">
        <v>1024</v>
      </c>
      <c r="F522" s="102" t="s">
        <v>920</v>
      </c>
      <c r="G522" s="102" t="s">
        <v>871</v>
      </c>
      <c r="H522" s="99" t="s">
        <v>255</v>
      </c>
      <c r="I522" s="102" t="s">
        <v>983</v>
      </c>
      <c r="J522" s="102" t="s">
        <v>38</v>
      </c>
      <c r="K522" s="103">
        <v>50</v>
      </c>
      <c r="L522" s="104">
        <v>65000</v>
      </c>
      <c r="M522" s="104">
        <v>3250000</v>
      </c>
      <c r="N522" s="39">
        <f>+K522*20000</f>
        <v>1000000</v>
      </c>
      <c r="O522" s="107">
        <f>+M522*$O$1</f>
        <v>585000</v>
      </c>
      <c r="P522" s="108">
        <f>+N522+O522</f>
        <v>1585000</v>
      </c>
      <c r="Q522" s="39">
        <v>64</v>
      </c>
      <c r="R522" s="39">
        <f t="shared" si="108"/>
        <v>2080000</v>
      </c>
      <c r="S522" s="42">
        <f t="shared" si="109"/>
        <v>1170000</v>
      </c>
    </row>
    <row r="523" spans="1:19">
      <c r="A523" s="99">
        <v>2026</v>
      </c>
      <c r="B523" s="100">
        <v>4</v>
      </c>
      <c r="C523" s="101">
        <v>46142</v>
      </c>
      <c r="D523" s="101" t="str">
        <f t="shared" si="106"/>
        <v>PPS00003843Карши_Дилсўз опа</v>
      </c>
      <c r="E523" s="99" t="s">
        <v>1025</v>
      </c>
      <c r="F523" s="102" t="s">
        <v>1026</v>
      </c>
      <c r="G523" s="102" t="s">
        <v>1027</v>
      </c>
      <c r="H523" s="99" t="s">
        <v>255</v>
      </c>
      <c r="I523" s="102" t="s">
        <v>1028</v>
      </c>
      <c r="J523" s="102" t="s">
        <v>41</v>
      </c>
      <c r="K523" s="103">
        <v>50</v>
      </c>
      <c r="L523" s="104">
        <v>90000</v>
      </c>
      <c r="M523" s="104">
        <v>4500000</v>
      </c>
      <c r="N523" s="39">
        <f>+K523*25000</f>
        <v>1250000</v>
      </c>
      <c r="O523" s="107">
        <f>+M523*$O$1</f>
        <v>810000</v>
      </c>
      <c r="P523" s="108">
        <f>+N523+O523</f>
        <v>2060000</v>
      </c>
      <c r="Q523" s="39">
        <v>50</v>
      </c>
      <c r="R523" s="39">
        <f t="shared" si="108"/>
        <v>2250000</v>
      </c>
      <c r="S523" s="42">
        <f t="shared" si="109"/>
        <v>2250000</v>
      </c>
    </row>
    <row r="524" spans="1:19">
      <c r="A524" s="99">
        <v>2026</v>
      </c>
      <c r="B524" s="100">
        <v>4</v>
      </c>
      <c r="C524" s="101">
        <v>46142</v>
      </c>
      <c r="D524" s="101" t="str">
        <f t="shared" si="106"/>
        <v>PPS00003848Таш.Обл_Шахло опа</v>
      </c>
      <c r="E524" s="99" t="s">
        <v>1029</v>
      </c>
      <c r="F524" s="102" t="s">
        <v>547</v>
      </c>
      <c r="G524" s="102" t="s">
        <v>464</v>
      </c>
      <c r="H524" s="99" t="s">
        <v>255</v>
      </c>
      <c r="I524" s="102" t="s">
        <v>1030</v>
      </c>
      <c r="J524" s="102" t="s">
        <v>466</v>
      </c>
      <c r="K524" s="103">
        <v>10</v>
      </c>
      <c r="L524" s="104">
        <v>120000</v>
      </c>
      <c r="M524" s="104">
        <v>1200000</v>
      </c>
      <c r="N524" s="39">
        <f>+K524*35000</f>
        <v>350000</v>
      </c>
      <c r="O524" s="107">
        <f>+M524*$O$1</f>
        <v>216000</v>
      </c>
      <c r="P524" s="108">
        <f>+N524+O524</f>
        <v>566000</v>
      </c>
      <c r="Q524" s="39">
        <v>100</v>
      </c>
      <c r="R524" s="39">
        <f t="shared" si="108"/>
        <v>1200000</v>
      </c>
      <c r="S524" s="42">
        <f t="shared" si="109"/>
        <v>0</v>
      </c>
    </row>
    <row r="525" spans="1:19">
      <c r="A525" s="99">
        <v>2026</v>
      </c>
      <c r="B525" s="100">
        <v>5</v>
      </c>
      <c r="C525" s="101">
        <v>46143</v>
      </c>
      <c r="D525" s="101" t="str">
        <f t="shared" si="106"/>
        <v>PPS00003854Сурхондарьё_Анвар ака</v>
      </c>
      <c r="E525" s="99" t="s">
        <v>1031</v>
      </c>
      <c r="F525" s="102" t="s">
        <v>874</v>
      </c>
      <c r="G525" s="102" t="s">
        <v>875</v>
      </c>
      <c r="H525" s="99" t="s">
        <v>255</v>
      </c>
      <c r="I525" s="102" t="s">
        <v>1032</v>
      </c>
      <c r="J525" s="102" t="s">
        <v>38</v>
      </c>
      <c r="K525" s="103">
        <v>50</v>
      </c>
      <c r="L525" s="104">
        <v>65000</v>
      </c>
      <c r="M525" s="104">
        <v>3250000</v>
      </c>
      <c r="N525" s="39">
        <f>+K525*20000</f>
        <v>1000000</v>
      </c>
      <c r="O525" s="107">
        <f>+M525*$O$1</f>
        <v>585000</v>
      </c>
      <c r="P525" s="108">
        <f>+N525+O525</f>
        <v>1585000</v>
      </c>
      <c r="Q525" s="39">
        <v>44</v>
      </c>
      <c r="R525" s="39">
        <f t="shared" si="108"/>
        <v>1430000</v>
      </c>
      <c r="S525" s="42">
        <f t="shared" si="109"/>
        <v>1820000</v>
      </c>
    </row>
    <row r="526" spans="1:19">
      <c r="A526" s="99">
        <v>2026</v>
      </c>
      <c r="B526" s="100">
        <v>5</v>
      </c>
      <c r="C526" s="101">
        <v>46143</v>
      </c>
      <c r="D526" s="101" t="str">
        <f t="shared" si="106"/>
        <v>PPS00003859Таш.Обл_Шахло опа</v>
      </c>
      <c r="E526" s="99" t="s">
        <v>1033</v>
      </c>
      <c r="F526" s="102" t="s">
        <v>677</v>
      </c>
      <c r="G526" s="102" t="s">
        <v>464</v>
      </c>
      <c r="H526" s="99" t="s">
        <v>255</v>
      </c>
      <c r="I526" s="102" t="s">
        <v>1034</v>
      </c>
      <c r="J526" s="102" t="s">
        <v>466</v>
      </c>
      <c r="K526" s="103">
        <v>10</v>
      </c>
      <c r="L526" s="104">
        <v>120000</v>
      </c>
      <c r="M526" s="104">
        <v>1200000</v>
      </c>
      <c r="N526" s="39">
        <f>+K526*35000</f>
        <v>350000</v>
      </c>
      <c r="O526" s="107">
        <f>+M526*$O$1</f>
        <v>216000</v>
      </c>
      <c r="P526" s="108">
        <f>+N526+O526</f>
        <v>566000</v>
      </c>
      <c r="Q526" s="39">
        <v>100</v>
      </c>
      <c r="R526" s="39">
        <f t="shared" si="108"/>
        <v>1200000</v>
      </c>
      <c r="S526" s="42">
        <f t="shared" si="109"/>
        <v>0</v>
      </c>
    </row>
    <row r="527" spans="1:19">
      <c r="A527" s="99">
        <v>2026</v>
      </c>
      <c r="B527" s="100">
        <v>5</v>
      </c>
      <c r="C527" s="101">
        <v>46143</v>
      </c>
      <c r="D527" s="101" t="str">
        <f t="shared" si="106"/>
        <v>PPS00003865Сирдарьё_Зилола Опа</v>
      </c>
      <c r="E527" s="99" t="s">
        <v>1035</v>
      </c>
      <c r="F527" s="102" t="s">
        <v>1036</v>
      </c>
      <c r="G527" s="102" t="s">
        <v>704</v>
      </c>
      <c r="H527" s="99" t="s">
        <v>255</v>
      </c>
      <c r="I527" s="102" t="s">
        <v>1037</v>
      </c>
      <c r="J527" s="102" t="s">
        <v>46</v>
      </c>
      <c r="K527" s="103">
        <v>30</v>
      </c>
      <c r="L527" s="104">
        <v>64700</v>
      </c>
      <c r="M527" s="104">
        <v>1941000</v>
      </c>
      <c r="N527" s="39">
        <f t="shared" ref="N527:N528" si="111">20000*K527</f>
        <v>600000</v>
      </c>
      <c r="O527" s="107">
        <f>+M527*$O$1</f>
        <v>349380</v>
      </c>
      <c r="P527" s="108">
        <f>+N527+O527</f>
        <v>949380</v>
      </c>
      <c r="Q527" s="39">
        <v>28</v>
      </c>
      <c r="R527" s="39">
        <f t="shared" si="108"/>
        <v>543480</v>
      </c>
      <c r="S527" s="42">
        <f t="shared" si="109"/>
        <v>1397520</v>
      </c>
    </row>
    <row r="528" spans="1:19">
      <c r="A528" s="99">
        <v>2026</v>
      </c>
      <c r="B528" s="100">
        <v>5</v>
      </c>
      <c r="C528" s="101">
        <v>46143</v>
      </c>
      <c r="D528" s="101" t="str">
        <f t="shared" si="106"/>
        <v>PPS00003869Таш.Обл_Шахло опа</v>
      </c>
      <c r="E528" s="99" t="s">
        <v>1038</v>
      </c>
      <c r="F528" s="102" t="s">
        <v>547</v>
      </c>
      <c r="G528" s="102" t="s">
        <v>464</v>
      </c>
      <c r="H528" s="99" t="s">
        <v>255</v>
      </c>
      <c r="I528" s="102" t="s">
        <v>1039</v>
      </c>
      <c r="J528" s="102" t="s">
        <v>46</v>
      </c>
      <c r="K528" s="103">
        <v>10</v>
      </c>
      <c r="L528" s="104">
        <v>64700</v>
      </c>
      <c r="M528" s="104">
        <v>647000</v>
      </c>
      <c r="N528" s="39">
        <f t="shared" si="111"/>
        <v>200000</v>
      </c>
      <c r="O528" s="107">
        <f>+M528*$O$1</f>
        <v>116460</v>
      </c>
      <c r="P528" s="108">
        <f>+N528+O528</f>
        <v>316460</v>
      </c>
      <c r="Q528" s="39">
        <v>100</v>
      </c>
      <c r="R528" s="39">
        <f t="shared" si="108"/>
        <v>647000</v>
      </c>
      <c r="S528" s="42">
        <f t="shared" si="109"/>
        <v>0</v>
      </c>
    </row>
    <row r="529" spans="1:19">
      <c r="A529" s="99">
        <v>2026</v>
      </c>
      <c r="B529" s="100">
        <v>5</v>
      </c>
      <c r="C529" s="101">
        <v>46143</v>
      </c>
      <c r="D529" s="101" t="str">
        <f t="shared" si="106"/>
        <v>PPS00003881Сурхондарьё_Анвар ака</v>
      </c>
      <c r="E529" s="99" t="s">
        <v>1040</v>
      </c>
      <c r="F529" s="102" t="s">
        <v>874</v>
      </c>
      <c r="G529" s="102" t="s">
        <v>875</v>
      </c>
      <c r="H529" s="99" t="s">
        <v>255</v>
      </c>
      <c r="I529" s="102" t="s">
        <v>930</v>
      </c>
      <c r="J529" s="102" t="s">
        <v>38</v>
      </c>
      <c r="K529" s="103">
        <v>40</v>
      </c>
      <c r="L529" s="104">
        <v>65000</v>
      </c>
      <c r="M529" s="104">
        <v>2600000</v>
      </c>
      <c r="N529" s="39">
        <f>+K529*20000</f>
        <v>800000</v>
      </c>
      <c r="O529" s="107">
        <f>+M529*$O$1</f>
        <v>468000</v>
      </c>
      <c r="P529" s="108">
        <f>+N529+O529</f>
        <v>1268000</v>
      </c>
      <c r="Q529" s="39">
        <v>100</v>
      </c>
      <c r="R529" s="39">
        <f t="shared" si="108"/>
        <v>2600000</v>
      </c>
      <c r="S529" s="42">
        <f t="shared" si="109"/>
        <v>0</v>
      </c>
    </row>
    <row r="530" spans="1:19">
      <c r="A530" s="99">
        <v>2026</v>
      </c>
      <c r="B530" s="100">
        <v>5</v>
      </c>
      <c r="C530" s="101">
        <v>46143</v>
      </c>
      <c r="D530" s="101" t="str">
        <f t="shared" si="106"/>
        <v>PPS00003882Самарканд_Хуршед ака 2</v>
      </c>
      <c r="E530" s="99" t="s">
        <v>1041</v>
      </c>
      <c r="F530" s="102" t="s">
        <v>920</v>
      </c>
      <c r="G530" s="102" t="s">
        <v>871</v>
      </c>
      <c r="H530" s="99" t="s">
        <v>255</v>
      </c>
      <c r="I530" s="102" t="s">
        <v>986</v>
      </c>
      <c r="J530" s="102" t="s">
        <v>466</v>
      </c>
      <c r="K530" s="103">
        <v>20</v>
      </c>
      <c r="L530" s="104">
        <v>120000</v>
      </c>
      <c r="M530" s="104">
        <v>2400000</v>
      </c>
      <c r="N530" s="39">
        <f t="shared" ref="N530:N531" si="112">+K530*35000</f>
        <v>700000</v>
      </c>
      <c r="O530" s="107">
        <f>+M530*$O$1</f>
        <v>432000</v>
      </c>
      <c r="P530" s="108">
        <f>+N530+O530</f>
        <v>1132000</v>
      </c>
      <c r="Q530" s="39">
        <v>50</v>
      </c>
      <c r="R530" s="39">
        <f t="shared" si="108"/>
        <v>1200000</v>
      </c>
      <c r="S530" s="42">
        <f t="shared" si="109"/>
        <v>1200000</v>
      </c>
    </row>
    <row r="531" spans="1:19">
      <c r="A531" s="99">
        <v>2026</v>
      </c>
      <c r="B531" s="100">
        <v>5</v>
      </c>
      <c r="C531" s="101">
        <v>46143</v>
      </c>
      <c r="D531" s="101" t="str">
        <f t="shared" si="106"/>
        <v>PPS00003882Самарканд_Хуршед ака 2</v>
      </c>
      <c r="E531" s="99" t="s">
        <v>1041</v>
      </c>
      <c r="F531" s="102" t="s">
        <v>920</v>
      </c>
      <c r="G531" s="102" t="s">
        <v>871</v>
      </c>
      <c r="H531" s="99" t="s">
        <v>255</v>
      </c>
      <c r="I531" s="102" t="s">
        <v>986</v>
      </c>
      <c r="J531" s="102" t="s">
        <v>466</v>
      </c>
      <c r="K531" s="103">
        <v>10</v>
      </c>
      <c r="L531" s="104">
        <v>120000</v>
      </c>
      <c r="M531" s="104">
        <v>1200000</v>
      </c>
      <c r="N531" s="39">
        <f t="shared" si="112"/>
        <v>350000</v>
      </c>
      <c r="O531" s="107">
        <f>+M531*$O$1</f>
        <v>216000</v>
      </c>
      <c r="P531" s="108">
        <f>+N531+O531</f>
        <v>566000</v>
      </c>
      <c r="Q531" s="39">
        <v>50</v>
      </c>
      <c r="R531" s="39">
        <f t="shared" si="108"/>
        <v>600000</v>
      </c>
      <c r="S531" s="42">
        <f t="shared" si="109"/>
        <v>600000</v>
      </c>
    </row>
    <row r="532" spans="1:19">
      <c r="A532" s="99">
        <v>2026</v>
      </c>
      <c r="B532" s="100">
        <v>5</v>
      </c>
      <c r="C532" s="101">
        <v>46143</v>
      </c>
      <c r="D532" s="101" t="str">
        <f t="shared" si="106"/>
        <v>PPS00003882Самарканд_Хуршед ака 2</v>
      </c>
      <c r="E532" s="99" t="s">
        <v>1041</v>
      </c>
      <c r="F532" s="102" t="s">
        <v>920</v>
      </c>
      <c r="G532" s="102" t="s">
        <v>871</v>
      </c>
      <c r="H532" s="99" t="s">
        <v>255</v>
      </c>
      <c r="I532" s="102" t="s">
        <v>986</v>
      </c>
      <c r="J532" s="102" t="s">
        <v>41</v>
      </c>
      <c r="K532" s="103">
        <v>10</v>
      </c>
      <c r="L532" s="104">
        <v>90000</v>
      </c>
      <c r="M532" s="104">
        <v>900000</v>
      </c>
      <c r="N532" s="39">
        <f t="shared" ref="N532:N533" si="113">+K532*25000</f>
        <v>250000</v>
      </c>
      <c r="O532" s="107">
        <f>+M532*$O$1</f>
        <v>162000</v>
      </c>
      <c r="P532" s="108">
        <f>+N532+O532</f>
        <v>412000</v>
      </c>
      <c r="Q532" s="39">
        <v>50</v>
      </c>
      <c r="R532" s="39">
        <f t="shared" si="108"/>
        <v>450000</v>
      </c>
      <c r="S532" s="42">
        <f t="shared" si="109"/>
        <v>450000</v>
      </c>
    </row>
    <row r="533" spans="1:19">
      <c r="A533" s="99">
        <v>2026</v>
      </c>
      <c r="B533" s="100">
        <v>5</v>
      </c>
      <c r="C533" s="101">
        <v>46143</v>
      </c>
      <c r="D533" s="101" t="str">
        <f t="shared" si="106"/>
        <v>PPS00003883Самарканд_Хуршед ака 2</v>
      </c>
      <c r="E533" s="99" t="s">
        <v>1042</v>
      </c>
      <c r="F533" s="102" t="s">
        <v>899</v>
      </c>
      <c r="G533" s="102" t="s">
        <v>871</v>
      </c>
      <c r="H533" s="99" t="s">
        <v>255</v>
      </c>
      <c r="I533" s="102" t="s">
        <v>989</v>
      </c>
      <c r="J533" s="102" t="s">
        <v>41</v>
      </c>
      <c r="K533" s="103">
        <v>30</v>
      </c>
      <c r="L533" s="104">
        <v>90000</v>
      </c>
      <c r="M533" s="104">
        <v>2700000</v>
      </c>
      <c r="N533" s="39">
        <f t="shared" si="113"/>
        <v>750000</v>
      </c>
      <c r="O533" s="107">
        <f>+M533*$O$1</f>
        <v>486000</v>
      </c>
      <c r="P533" s="108">
        <f>+N533+O533</f>
        <v>1236000</v>
      </c>
      <c r="Q533" s="39">
        <v>58</v>
      </c>
      <c r="R533" s="39">
        <f t="shared" si="108"/>
        <v>1566000</v>
      </c>
      <c r="S533" s="42">
        <f t="shared" si="109"/>
        <v>1134000</v>
      </c>
    </row>
    <row r="534" spans="1:19">
      <c r="A534" s="99">
        <v>2026</v>
      </c>
      <c r="B534" s="100">
        <v>5</v>
      </c>
      <c r="C534" s="101">
        <v>46146</v>
      </c>
      <c r="D534" s="101" t="str">
        <f t="shared" si="106"/>
        <v>PPS00003904Самарканд_Хуршед ака 2</v>
      </c>
      <c r="E534" s="99" t="s">
        <v>1043</v>
      </c>
      <c r="F534" s="102" t="s">
        <v>899</v>
      </c>
      <c r="G534" s="102" t="s">
        <v>871</v>
      </c>
      <c r="H534" s="99" t="s">
        <v>255</v>
      </c>
      <c r="I534" s="102" t="s">
        <v>923</v>
      </c>
      <c r="J534" s="102" t="s">
        <v>466</v>
      </c>
      <c r="K534" s="103">
        <v>25</v>
      </c>
      <c r="L534" s="104">
        <v>120000</v>
      </c>
      <c r="M534" s="104">
        <v>3000000</v>
      </c>
      <c r="N534" s="39">
        <f>+K534*35000</f>
        <v>875000</v>
      </c>
      <c r="O534" s="107">
        <f>+M534*$O$1</f>
        <v>540000</v>
      </c>
      <c r="P534" s="108">
        <f>+N534+O534</f>
        <v>1415000</v>
      </c>
      <c r="Q534" s="39">
        <v>49</v>
      </c>
      <c r="R534" s="39">
        <f t="shared" si="108"/>
        <v>1470000</v>
      </c>
      <c r="S534" s="42">
        <f t="shared" si="109"/>
        <v>1530000</v>
      </c>
    </row>
    <row r="535" spans="1:19">
      <c r="A535" s="99">
        <v>2026</v>
      </c>
      <c r="B535" s="100">
        <v>5</v>
      </c>
      <c r="C535" s="101">
        <v>46146</v>
      </c>
      <c r="D535" s="101" t="str">
        <f t="shared" si="106"/>
        <v>PPS00003904Самарканд_Хуршед ака 2</v>
      </c>
      <c r="E535" s="99" t="s">
        <v>1043</v>
      </c>
      <c r="F535" s="102" t="s">
        <v>899</v>
      </c>
      <c r="G535" s="102" t="s">
        <v>871</v>
      </c>
      <c r="H535" s="99" t="s">
        <v>255</v>
      </c>
      <c r="I535" s="102" t="s">
        <v>923</v>
      </c>
      <c r="J535" s="102" t="s">
        <v>38</v>
      </c>
      <c r="K535" s="103">
        <v>10</v>
      </c>
      <c r="L535" s="104">
        <v>65000</v>
      </c>
      <c r="M535" s="104">
        <v>650000</v>
      </c>
      <c r="N535" s="39">
        <f>+K535*20000</f>
        <v>200000</v>
      </c>
      <c r="O535" s="107">
        <f>+M535*$O$1</f>
        <v>117000</v>
      </c>
      <c r="P535" s="108">
        <f>+N535+O535</f>
        <v>317000</v>
      </c>
      <c r="Q535" s="39">
        <v>49</v>
      </c>
      <c r="R535" s="39">
        <f t="shared" si="108"/>
        <v>318500</v>
      </c>
      <c r="S535" s="42">
        <f t="shared" si="109"/>
        <v>331500</v>
      </c>
    </row>
    <row r="536" spans="1:19">
      <c r="A536" s="99">
        <v>2026</v>
      </c>
      <c r="B536" s="100">
        <v>5</v>
      </c>
      <c r="C536" s="101">
        <v>46146</v>
      </c>
      <c r="D536" s="101" t="str">
        <f t="shared" si="106"/>
        <v>PPS00003904Самарканд_Хуршед ака 2</v>
      </c>
      <c r="E536" s="99" t="s">
        <v>1043</v>
      </c>
      <c r="F536" s="102" t="s">
        <v>899</v>
      </c>
      <c r="G536" s="102" t="s">
        <v>871</v>
      </c>
      <c r="H536" s="99" t="s">
        <v>255</v>
      </c>
      <c r="I536" s="102" t="s">
        <v>923</v>
      </c>
      <c r="J536" s="102" t="s">
        <v>41</v>
      </c>
      <c r="K536" s="103">
        <v>30</v>
      </c>
      <c r="L536" s="104">
        <v>90000</v>
      </c>
      <c r="M536" s="104">
        <v>2700000</v>
      </c>
      <c r="N536" s="39">
        <f>+K536*25000</f>
        <v>750000</v>
      </c>
      <c r="O536" s="107">
        <f>+M536*$O$1</f>
        <v>486000</v>
      </c>
      <c r="P536" s="108">
        <f>+N536+O536</f>
        <v>1236000</v>
      </c>
      <c r="Q536" s="39">
        <v>49</v>
      </c>
      <c r="R536" s="39">
        <f t="shared" si="108"/>
        <v>1323000</v>
      </c>
      <c r="S536" s="42">
        <f t="shared" si="109"/>
        <v>1377000</v>
      </c>
    </row>
    <row r="537" spans="1:19">
      <c r="A537" s="99">
        <v>2026</v>
      </c>
      <c r="B537" s="100">
        <v>5</v>
      </c>
      <c r="C537" s="101">
        <v>46146</v>
      </c>
      <c r="D537" s="101" t="str">
        <f t="shared" si="106"/>
        <v>PPS00003904Самарканд_Хуршед ака 2</v>
      </c>
      <c r="E537" s="99" t="s">
        <v>1043</v>
      </c>
      <c r="F537" s="102" t="s">
        <v>899</v>
      </c>
      <c r="G537" s="102" t="s">
        <v>871</v>
      </c>
      <c r="H537" s="99" t="s">
        <v>255</v>
      </c>
      <c r="I537" s="102" t="s">
        <v>923</v>
      </c>
      <c r="J537" s="102" t="s">
        <v>38</v>
      </c>
      <c r="K537" s="103">
        <v>20</v>
      </c>
      <c r="L537" s="104">
        <v>65000</v>
      </c>
      <c r="M537" s="104">
        <v>1300000</v>
      </c>
      <c r="N537" s="39">
        <f>+K537*20000</f>
        <v>400000</v>
      </c>
      <c r="O537" s="107">
        <f>+M537*$O$1</f>
        <v>234000</v>
      </c>
      <c r="P537" s="108">
        <f>+N537+O537</f>
        <v>634000</v>
      </c>
      <c r="Q537" s="39">
        <v>49</v>
      </c>
      <c r="R537" s="39">
        <f t="shared" si="108"/>
        <v>637000</v>
      </c>
      <c r="S537" s="42">
        <f t="shared" si="109"/>
        <v>663000</v>
      </c>
    </row>
    <row r="538" spans="1:19">
      <c r="A538" s="99">
        <v>2026</v>
      </c>
      <c r="B538" s="100">
        <v>5</v>
      </c>
      <c r="C538" s="101">
        <v>46146</v>
      </c>
      <c r="D538" s="101" t="str">
        <f t="shared" si="106"/>
        <v>PPS00003904Самарканд_Хуршед ака 2</v>
      </c>
      <c r="E538" s="99" t="s">
        <v>1043</v>
      </c>
      <c r="F538" s="102" t="s">
        <v>899</v>
      </c>
      <c r="G538" s="102" t="s">
        <v>871</v>
      </c>
      <c r="H538" s="99" t="s">
        <v>255</v>
      </c>
      <c r="I538" s="102" t="s">
        <v>923</v>
      </c>
      <c r="J538" s="102" t="s">
        <v>41</v>
      </c>
      <c r="K538" s="103">
        <v>20</v>
      </c>
      <c r="L538" s="104">
        <v>90000</v>
      </c>
      <c r="M538" s="104">
        <v>1800000</v>
      </c>
      <c r="N538" s="39">
        <f>+K538*25000</f>
        <v>500000</v>
      </c>
      <c r="O538" s="107">
        <f>+M538*$O$1</f>
        <v>324000</v>
      </c>
      <c r="P538" s="108">
        <f>+N538+O538</f>
        <v>824000</v>
      </c>
      <c r="Q538" s="39">
        <v>49</v>
      </c>
      <c r="R538" s="39">
        <f t="shared" si="108"/>
        <v>882000</v>
      </c>
      <c r="S538" s="42">
        <f t="shared" si="109"/>
        <v>918000</v>
      </c>
    </row>
    <row r="539" spans="1:19">
      <c r="A539" s="99">
        <v>2026</v>
      </c>
      <c r="B539" s="100">
        <v>5</v>
      </c>
      <c r="C539" s="101">
        <v>46146</v>
      </c>
      <c r="D539" s="101" t="str">
        <f t="shared" si="106"/>
        <v>PPS00003928Сирдарьё_Зилола Опа</v>
      </c>
      <c r="E539" s="99" t="s">
        <v>1044</v>
      </c>
      <c r="F539" s="102" t="s">
        <v>736</v>
      </c>
      <c r="G539" s="102" t="s">
        <v>704</v>
      </c>
      <c r="H539" s="99" t="s">
        <v>255</v>
      </c>
      <c r="I539" s="102" t="s">
        <v>915</v>
      </c>
      <c r="J539" s="102" t="s">
        <v>46</v>
      </c>
      <c r="K539" s="103">
        <v>20</v>
      </c>
      <c r="L539" s="104">
        <v>64700</v>
      </c>
      <c r="M539" s="104">
        <v>1294000</v>
      </c>
      <c r="N539" s="39">
        <f>20000*K539</f>
        <v>400000</v>
      </c>
      <c r="O539" s="107">
        <f>+M539*$O$1</f>
        <v>232920</v>
      </c>
      <c r="P539" s="108">
        <f>+N539+O539</f>
        <v>632920</v>
      </c>
      <c r="Q539" s="39">
        <v>100</v>
      </c>
      <c r="R539" s="39">
        <f t="shared" si="108"/>
        <v>1294000</v>
      </c>
      <c r="S539" s="42">
        <f t="shared" si="109"/>
        <v>0</v>
      </c>
    </row>
    <row r="540" spans="1:19">
      <c r="A540" s="99">
        <v>2026</v>
      </c>
      <c r="B540" s="100">
        <v>5</v>
      </c>
      <c r="C540" s="101">
        <v>46146</v>
      </c>
      <c r="D540" s="101" t="str">
        <f t="shared" si="106"/>
        <v>PPS00003948Самарканд_Хуршед ака 2</v>
      </c>
      <c r="E540" s="99" t="s">
        <v>1045</v>
      </c>
      <c r="F540" s="102" t="s">
        <v>870</v>
      </c>
      <c r="G540" s="102" t="s">
        <v>871</v>
      </c>
      <c r="H540" s="99" t="s">
        <v>255</v>
      </c>
      <c r="I540" s="102" t="s">
        <v>872</v>
      </c>
      <c r="J540" s="102" t="s">
        <v>41</v>
      </c>
      <c r="K540" s="103">
        <v>10</v>
      </c>
      <c r="L540" s="104">
        <v>90000</v>
      </c>
      <c r="M540" s="104">
        <v>900000</v>
      </c>
      <c r="N540" s="39">
        <f t="shared" ref="N540:N541" si="114">+K540*25000</f>
        <v>250000</v>
      </c>
      <c r="O540" s="107">
        <f>+M540*$O$1</f>
        <v>162000</v>
      </c>
      <c r="P540" s="108">
        <f>+N540+O540</f>
        <v>412000</v>
      </c>
      <c r="Q540" s="39">
        <v>52</v>
      </c>
      <c r="R540" s="39">
        <f t="shared" si="108"/>
        <v>468000</v>
      </c>
      <c r="S540" s="42">
        <f t="shared" si="109"/>
        <v>432000</v>
      </c>
    </row>
    <row r="541" spans="1:19">
      <c r="A541" s="99">
        <v>2026</v>
      </c>
      <c r="B541" s="100">
        <v>5</v>
      </c>
      <c r="C541" s="101">
        <v>46146</v>
      </c>
      <c r="D541" s="101" t="str">
        <f t="shared" si="106"/>
        <v>PPS00003948Самарканд_Хуршед ака 2</v>
      </c>
      <c r="E541" s="99" t="s">
        <v>1045</v>
      </c>
      <c r="F541" s="102" t="s">
        <v>870</v>
      </c>
      <c r="G541" s="102" t="s">
        <v>871</v>
      </c>
      <c r="H541" s="99" t="s">
        <v>255</v>
      </c>
      <c r="I541" s="102" t="s">
        <v>872</v>
      </c>
      <c r="J541" s="102" t="s">
        <v>41</v>
      </c>
      <c r="K541" s="103">
        <v>20</v>
      </c>
      <c r="L541" s="104">
        <v>90000</v>
      </c>
      <c r="M541" s="104">
        <v>1800000</v>
      </c>
      <c r="N541" s="39">
        <f t="shared" si="114"/>
        <v>500000</v>
      </c>
      <c r="O541" s="107">
        <f>+M541*$O$1</f>
        <v>324000</v>
      </c>
      <c r="P541" s="108">
        <f>+N541+O541</f>
        <v>824000</v>
      </c>
      <c r="Q541" s="39">
        <v>52</v>
      </c>
      <c r="R541" s="39">
        <f t="shared" si="108"/>
        <v>936000</v>
      </c>
      <c r="S541" s="42">
        <f t="shared" si="109"/>
        <v>864000</v>
      </c>
    </row>
    <row r="542" spans="1:19">
      <c r="A542" s="99">
        <v>2026</v>
      </c>
      <c r="B542" s="100">
        <v>5</v>
      </c>
      <c r="C542" s="101">
        <v>46146</v>
      </c>
      <c r="D542" s="101" t="str">
        <f t="shared" si="106"/>
        <v>PPS00003948Самарканд_Хуршед ака 2</v>
      </c>
      <c r="E542" s="99" t="s">
        <v>1045</v>
      </c>
      <c r="F542" s="102" t="s">
        <v>870</v>
      </c>
      <c r="G542" s="102" t="s">
        <v>871</v>
      </c>
      <c r="H542" s="99" t="s">
        <v>255</v>
      </c>
      <c r="I542" s="102" t="s">
        <v>872</v>
      </c>
      <c r="J542" s="102" t="s">
        <v>466</v>
      </c>
      <c r="K542" s="103">
        <v>30</v>
      </c>
      <c r="L542" s="104">
        <v>120000</v>
      </c>
      <c r="M542" s="104">
        <v>3600000</v>
      </c>
      <c r="N542" s="39">
        <f>+K542*35000</f>
        <v>1050000</v>
      </c>
      <c r="O542" s="107">
        <f>+M542*$O$1</f>
        <v>648000</v>
      </c>
      <c r="P542" s="108">
        <f>+N542+O542</f>
        <v>1698000</v>
      </c>
      <c r="Q542" s="39">
        <v>52</v>
      </c>
      <c r="R542" s="39">
        <f t="shared" si="108"/>
        <v>1872000</v>
      </c>
      <c r="S542" s="42">
        <f t="shared" si="109"/>
        <v>1728000</v>
      </c>
    </row>
    <row r="543" spans="1:19">
      <c r="A543" s="99">
        <v>2026</v>
      </c>
      <c r="B543" s="100">
        <v>5</v>
      </c>
      <c r="C543" s="101">
        <v>46147</v>
      </c>
      <c r="D543" s="101" t="str">
        <f t="shared" si="106"/>
        <v>PPS00003954Шахрисабз_Хуршид ака(Сам)</v>
      </c>
      <c r="E543" s="99" t="s">
        <v>1046</v>
      </c>
      <c r="F543" s="102" t="s">
        <v>1047</v>
      </c>
      <c r="G543" s="102" t="s">
        <v>1001</v>
      </c>
      <c r="H543" s="99" t="s">
        <v>255</v>
      </c>
      <c r="I543" s="102" t="s">
        <v>1048</v>
      </c>
      <c r="J543" s="102" t="s">
        <v>41</v>
      </c>
      <c r="K543" s="103">
        <v>10</v>
      </c>
      <c r="L543" s="104">
        <v>90000</v>
      </c>
      <c r="M543" s="104">
        <v>900000</v>
      </c>
      <c r="N543" s="39">
        <f t="shared" ref="N543:N544" si="115">+K543*25000</f>
        <v>250000</v>
      </c>
      <c r="O543" s="107">
        <f>+M543*$O$1</f>
        <v>162000</v>
      </c>
      <c r="P543" s="108">
        <f>+N543+O543</f>
        <v>412000</v>
      </c>
      <c r="Q543" s="39">
        <v>51</v>
      </c>
      <c r="R543" s="39">
        <f t="shared" si="108"/>
        <v>459000</v>
      </c>
      <c r="S543" s="42">
        <f t="shared" si="109"/>
        <v>441000</v>
      </c>
    </row>
    <row r="544" spans="1:19">
      <c r="A544" s="99">
        <v>2026</v>
      </c>
      <c r="B544" s="100">
        <v>5</v>
      </c>
      <c r="C544" s="101">
        <v>46147</v>
      </c>
      <c r="D544" s="101" t="str">
        <f t="shared" si="106"/>
        <v>PPS00003963Самарканд_Хуршед ака 2</v>
      </c>
      <c r="E544" s="99" t="s">
        <v>1049</v>
      </c>
      <c r="F544" s="102" t="s">
        <v>912</v>
      </c>
      <c r="G544" s="102" t="s">
        <v>871</v>
      </c>
      <c r="H544" s="99" t="s">
        <v>255</v>
      </c>
      <c r="I544" s="102" t="s">
        <v>1050</v>
      </c>
      <c r="J544" s="102" t="s">
        <v>41</v>
      </c>
      <c r="K544" s="103">
        <v>20</v>
      </c>
      <c r="L544" s="104">
        <v>90000</v>
      </c>
      <c r="M544" s="104">
        <v>1800000</v>
      </c>
      <c r="N544" s="39">
        <f t="shared" si="115"/>
        <v>500000</v>
      </c>
      <c r="O544" s="107">
        <f>+M544*$O$1</f>
        <v>324000</v>
      </c>
      <c r="P544" s="108">
        <f>+N544+O544</f>
        <v>824000</v>
      </c>
      <c r="Q544" s="39">
        <v>50</v>
      </c>
      <c r="R544" s="39">
        <f t="shared" si="108"/>
        <v>900000</v>
      </c>
      <c r="S544" s="42">
        <f t="shared" si="109"/>
        <v>900000</v>
      </c>
    </row>
    <row r="545" spans="1:19">
      <c r="A545" s="99">
        <v>2026</v>
      </c>
      <c r="B545" s="100">
        <v>5</v>
      </c>
      <c r="C545" s="101">
        <v>46147</v>
      </c>
      <c r="D545" s="101" t="str">
        <f t="shared" si="106"/>
        <v>PPS00003963Самарканд_Хуршед ака 2</v>
      </c>
      <c r="E545" s="99" t="s">
        <v>1049</v>
      </c>
      <c r="F545" s="102" t="s">
        <v>912</v>
      </c>
      <c r="G545" s="102" t="s">
        <v>871</v>
      </c>
      <c r="H545" s="99" t="s">
        <v>255</v>
      </c>
      <c r="I545" s="102" t="s">
        <v>1050</v>
      </c>
      <c r="J545" s="102" t="s">
        <v>38</v>
      </c>
      <c r="K545" s="103">
        <v>10</v>
      </c>
      <c r="L545" s="104">
        <v>65000</v>
      </c>
      <c r="M545" s="104">
        <v>650000</v>
      </c>
      <c r="N545" s="39">
        <f>+K545*20000</f>
        <v>200000</v>
      </c>
      <c r="O545" s="107">
        <f>+M545*$O$1</f>
        <v>117000</v>
      </c>
      <c r="P545" s="108">
        <f>+N545+O545</f>
        <v>317000</v>
      </c>
      <c r="Q545" s="39">
        <v>50</v>
      </c>
      <c r="R545" s="39">
        <f t="shared" si="108"/>
        <v>325000</v>
      </c>
      <c r="S545" s="42">
        <f t="shared" si="109"/>
        <v>325000</v>
      </c>
    </row>
    <row r="546" spans="1:19">
      <c r="A546" s="99">
        <v>2026</v>
      </c>
      <c r="B546" s="100">
        <v>5</v>
      </c>
      <c r="C546" s="101">
        <v>46147</v>
      </c>
      <c r="D546" s="101" t="str">
        <f t="shared" si="106"/>
        <v>PPS00003963Самарканд_Хуршед ака 2</v>
      </c>
      <c r="E546" s="99" t="s">
        <v>1049</v>
      </c>
      <c r="F546" s="102" t="s">
        <v>912</v>
      </c>
      <c r="G546" s="102" t="s">
        <v>871</v>
      </c>
      <c r="H546" s="99" t="s">
        <v>255</v>
      </c>
      <c r="I546" s="102" t="s">
        <v>1050</v>
      </c>
      <c r="J546" s="102" t="s">
        <v>466</v>
      </c>
      <c r="K546" s="103">
        <v>10</v>
      </c>
      <c r="L546" s="104">
        <v>120000</v>
      </c>
      <c r="M546" s="104">
        <v>1200000</v>
      </c>
      <c r="N546" s="39">
        <f>+K546*35000</f>
        <v>350000</v>
      </c>
      <c r="O546" s="107">
        <f>+M546*$O$1</f>
        <v>216000</v>
      </c>
      <c r="P546" s="108">
        <f>+N546+O546</f>
        <v>566000</v>
      </c>
      <c r="Q546" s="39">
        <v>50</v>
      </c>
      <c r="R546" s="39">
        <f t="shared" si="108"/>
        <v>600000</v>
      </c>
      <c r="S546" s="42">
        <f t="shared" si="109"/>
        <v>600000</v>
      </c>
    </row>
    <row r="547" spans="1:19">
      <c r="A547" s="99">
        <v>2026</v>
      </c>
      <c r="B547" s="100">
        <v>5</v>
      </c>
      <c r="C547" s="101">
        <v>46147</v>
      </c>
      <c r="D547" s="101" t="str">
        <f t="shared" si="106"/>
        <v>PPS00003978Самарканд_Хуршед ака 2</v>
      </c>
      <c r="E547" s="99" t="s">
        <v>1051</v>
      </c>
      <c r="F547" s="102" t="s">
        <v>920</v>
      </c>
      <c r="G547" s="102" t="s">
        <v>871</v>
      </c>
      <c r="H547" s="99" t="s">
        <v>255</v>
      </c>
      <c r="I547" s="102" t="s">
        <v>942</v>
      </c>
      <c r="J547" s="102" t="s">
        <v>38</v>
      </c>
      <c r="K547" s="103">
        <v>70</v>
      </c>
      <c r="L547" s="104">
        <v>65000</v>
      </c>
      <c r="M547" s="104">
        <v>4550000</v>
      </c>
      <c r="N547" s="39">
        <f t="shared" ref="N547:N549" si="116">+K547*20000</f>
        <v>1400000</v>
      </c>
      <c r="O547" s="107">
        <f>+M547*$O$1</f>
        <v>819000</v>
      </c>
      <c r="P547" s="108">
        <f>+N547+O547</f>
        <v>2219000</v>
      </c>
      <c r="Q547" s="39">
        <v>100</v>
      </c>
      <c r="R547" s="39">
        <f t="shared" si="108"/>
        <v>4550000</v>
      </c>
      <c r="S547" s="42">
        <f t="shared" si="109"/>
        <v>0</v>
      </c>
    </row>
    <row r="548" spans="1:19">
      <c r="A548" s="99">
        <v>2026</v>
      </c>
      <c r="B548" s="100">
        <v>5</v>
      </c>
      <c r="C548" s="101">
        <v>46147</v>
      </c>
      <c r="D548" s="101" t="str">
        <f t="shared" si="106"/>
        <v>PPS00003978Самарканд_Хуршед ака 2</v>
      </c>
      <c r="E548" s="99" t="s">
        <v>1051</v>
      </c>
      <c r="F548" s="102" t="s">
        <v>920</v>
      </c>
      <c r="G548" s="102" t="s">
        <v>871</v>
      </c>
      <c r="H548" s="99" t="s">
        <v>255</v>
      </c>
      <c r="I548" s="102" t="s">
        <v>942</v>
      </c>
      <c r="J548" s="102" t="s">
        <v>38</v>
      </c>
      <c r="K548" s="103">
        <v>30</v>
      </c>
      <c r="L548" s="104">
        <v>65000</v>
      </c>
      <c r="M548" s="104">
        <v>1950000</v>
      </c>
      <c r="N548" s="39">
        <f t="shared" si="116"/>
        <v>600000</v>
      </c>
      <c r="O548" s="107">
        <f>+M548*$O$1</f>
        <v>351000</v>
      </c>
      <c r="P548" s="108">
        <f>+N548+O548</f>
        <v>951000</v>
      </c>
      <c r="Q548" s="39">
        <v>100</v>
      </c>
      <c r="R548" s="39">
        <f t="shared" si="108"/>
        <v>1950000</v>
      </c>
      <c r="S548" s="42">
        <f t="shared" si="109"/>
        <v>0</v>
      </c>
    </row>
    <row r="549" spans="1:19">
      <c r="A549" s="99">
        <v>2026</v>
      </c>
      <c r="B549" s="100">
        <v>5</v>
      </c>
      <c r="C549" s="101">
        <v>46147</v>
      </c>
      <c r="D549" s="101" t="str">
        <f t="shared" si="106"/>
        <v>PPS00003982Самарканд_Хуршед ака 2</v>
      </c>
      <c r="E549" s="99" t="s">
        <v>1052</v>
      </c>
      <c r="F549" s="102" t="s">
        <v>271</v>
      </c>
      <c r="G549" s="102" t="s">
        <v>871</v>
      </c>
      <c r="H549" s="99" t="s">
        <v>255</v>
      </c>
      <c r="I549" s="102" t="s">
        <v>1053</v>
      </c>
      <c r="J549" s="102" t="s">
        <v>38</v>
      </c>
      <c r="K549" s="103">
        <v>50</v>
      </c>
      <c r="L549" s="104">
        <v>65000</v>
      </c>
      <c r="M549" s="104">
        <v>3250000</v>
      </c>
      <c r="N549" s="39">
        <f t="shared" si="116"/>
        <v>1000000</v>
      </c>
      <c r="O549" s="107">
        <f>+M549*$O$1</f>
        <v>585000</v>
      </c>
      <c r="P549" s="108">
        <f>+N549+O549</f>
        <v>1585000</v>
      </c>
      <c r="Q549" s="39">
        <v>50</v>
      </c>
      <c r="R549" s="39">
        <f t="shared" si="108"/>
        <v>1625000</v>
      </c>
      <c r="S549" s="42">
        <f t="shared" si="109"/>
        <v>1625000</v>
      </c>
    </row>
    <row r="550" spans="1:19">
      <c r="A550" s="99">
        <v>2026</v>
      </c>
      <c r="B550" s="100">
        <v>5</v>
      </c>
      <c r="C550" s="101">
        <v>46147</v>
      </c>
      <c r="D550" s="101" t="str">
        <f t="shared" si="106"/>
        <v>PPS00003987Самарканд_Хуршед ака 3</v>
      </c>
      <c r="E550" s="99" t="s">
        <v>1054</v>
      </c>
      <c r="F550" s="102" t="s">
        <v>886</v>
      </c>
      <c r="G550" s="102" t="s">
        <v>887</v>
      </c>
      <c r="H550" s="99" t="s">
        <v>255</v>
      </c>
      <c r="I550" s="102" t="s">
        <v>1055</v>
      </c>
      <c r="J550" s="102" t="s">
        <v>46</v>
      </c>
      <c r="K550" s="103">
        <v>50</v>
      </c>
      <c r="L550" s="104">
        <v>64700</v>
      </c>
      <c r="M550" s="104">
        <v>3235000</v>
      </c>
      <c r="N550" s="39">
        <f>20000*K550</f>
        <v>1000000</v>
      </c>
      <c r="O550" s="107">
        <f>+M550*$O$1</f>
        <v>582300</v>
      </c>
      <c r="P550" s="108">
        <f>+N550+O550</f>
        <v>1582300</v>
      </c>
      <c r="Q550" s="39">
        <v>83</v>
      </c>
      <c r="R550" s="39">
        <f t="shared" si="108"/>
        <v>2685050</v>
      </c>
      <c r="S550" s="42">
        <f t="shared" si="109"/>
        <v>549950</v>
      </c>
    </row>
    <row r="551" spans="1:19">
      <c r="A551" s="99">
        <v>2026</v>
      </c>
      <c r="B551" s="100">
        <v>5</v>
      </c>
      <c r="C551" s="101">
        <v>46147</v>
      </c>
      <c r="D551" s="101" t="str">
        <f t="shared" si="106"/>
        <v>PPS00003995Самарканд_Хуршед ака 2</v>
      </c>
      <c r="E551" s="99" t="s">
        <v>1056</v>
      </c>
      <c r="F551" s="102" t="s">
        <v>870</v>
      </c>
      <c r="G551" s="102" t="s">
        <v>871</v>
      </c>
      <c r="H551" s="99" t="s">
        <v>255</v>
      </c>
      <c r="I551" s="102" t="s">
        <v>962</v>
      </c>
      <c r="J551" s="102" t="s">
        <v>41</v>
      </c>
      <c r="K551" s="103">
        <v>30</v>
      </c>
      <c r="L551" s="104">
        <v>90000</v>
      </c>
      <c r="M551" s="104">
        <v>2700000</v>
      </c>
      <c r="N551" s="39">
        <f>+K551*25000</f>
        <v>750000</v>
      </c>
      <c r="O551" s="107">
        <f>+M551*$O$1</f>
        <v>486000</v>
      </c>
      <c r="P551" s="108">
        <f>+N551+O551</f>
        <v>1236000</v>
      </c>
      <c r="Q551" s="39">
        <v>100</v>
      </c>
      <c r="R551" s="39">
        <f t="shared" si="108"/>
        <v>2700000</v>
      </c>
      <c r="S551" s="42">
        <f t="shared" si="109"/>
        <v>0</v>
      </c>
    </row>
    <row r="552" spans="1:19">
      <c r="A552" s="99">
        <v>2026</v>
      </c>
      <c r="B552" s="100">
        <v>5</v>
      </c>
      <c r="C552" s="101">
        <v>46147</v>
      </c>
      <c r="D552" s="101" t="str">
        <f t="shared" si="106"/>
        <v>PPS00003999Кашкадарьё_Феруз ака</v>
      </c>
      <c r="E552" s="99" t="s">
        <v>1057</v>
      </c>
      <c r="F552" s="102" t="s">
        <v>975</v>
      </c>
      <c r="G552" s="102" t="s">
        <v>502</v>
      </c>
      <c r="H552" s="99" t="s">
        <v>255</v>
      </c>
      <c r="I552" s="102" t="s">
        <v>1058</v>
      </c>
      <c r="J552" s="102" t="s">
        <v>38</v>
      </c>
      <c r="K552" s="103">
        <v>5</v>
      </c>
      <c r="L552" s="104">
        <v>65000</v>
      </c>
      <c r="M552" s="104">
        <v>325000</v>
      </c>
      <c r="N552" s="39">
        <f>+K552*20000</f>
        <v>100000</v>
      </c>
      <c r="O552" s="107">
        <f>+M552*$O$1</f>
        <v>58500</v>
      </c>
      <c r="P552" s="108">
        <f>+N552+O552</f>
        <v>158500</v>
      </c>
      <c r="Q552" s="39">
        <v>100</v>
      </c>
      <c r="R552" s="39">
        <f t="shared" si="108"/>
        <v>325000</v>
      </c>
      <c r="S552" s="42">
        <f t="shared" si="109"/>
        <v>0</v>
      </c>
    </row>
    <row r="553" spans="1:19">
      <c r="A553" s="99">
        <v>2026</v>
      </c>
      <c r="B553" s="100">
        <v>5</v>
      </c>
      <c r="C553" s="101">
        <v>46147</v>
      </c>
      <c r="D553" s="101" t="str">
        <f t="shared" si="106"/>
        <v>PPS00004004Самарканд_Хуршед ака 2</v>
      </c>
      <c r="E553" s="99" t="s">
        <v>1059</v>
      </c>
      <c r="F553" s="102" t="s">
        <v>271</v>
      </c>
      <c r="G553" s="102" t="s">
        <v>871</v>
      </c>
      <c r="H553" s="99" t="s">
        <v>255</v>
      </c>
      <c r="I553" s="102" t="s">
        <v>989</v>
      </c>
      <c r="J553" s="102" t="s">
        <v>466</v>
      </c>
      <c r="K553" s="103">
        <v>10</v>
      </c>
      <c r="L553" s="104">
        <v>120000</v>
      </c>
      <c r="M553" s="104">
        <v>1200000</v>
      </c>
      <c r="N553" s="39">
        <f>+K553*35000</f>
        <v>350000</v>
      </c>
      <c r="O553" s="107">
        <f>+M553*$O$1</f>
        <v>216000</v>
      </c>
      <c r="P553" s="108">
        <f>+N553+O553</f>
        <v>566000</v>
      </c>
      <c r="Q553" s="39">
        <v>100</v>
      </c>
      <c r="R553" s="39">
        <f t="shared" si="108"/>
        <v>1200000</v>
      </c>
      <c r="S553" s="42">
        <f t="shared" si="109"/>
        <v>0</v>
      </c>
    </row>
    <row r="554" spans="1:19">
      <c r="A554" s="99">
        <v>2026</v>
      </c>
      <c r="B554" s="100">
        <v>5</v>
      </c>
      <c r="C554" s="101">
        <v>46147</v>
      </c>
      <c r="D554" s="101" t="str">
        <f t="shared" si="106"/>
        <v>PPS00004005Шахрисабз_Хуршид ака(Сам)</v>
      </c>
      <c r="E554" s="99" t="s">
        <v>1060</v>
      </c>
      <c r="F554" s="102" t="s">
        <v>1061</v>
      </c>
      <c r="G554" s="102" t="s">
        <v>1001</v>
      </c>
      <c r="H554" s="99" t="s">
        <v>255</v>
      </c>
      <c r="I554" s="102" t="s">
        <v>1062</v>
      </c>
      <c r="J554" s="102" t="s">
        <v>41</v>
      </c>
      <c r="K554" s="103">
        <v>10</v>
      </c>
      <c r="L554" s="104">
        <v>90000</v>
      </c>
      <c r="M554" s="104">
        <v>900000</v>
      </c>
      <c r="N554" s="39">
        <f t="shared" ref="N554:N555" si="117">+K554*25000</f>
        <v>250000</v>
      </c>
      <c r="O554" s="107">
        <f>+M554*$O$1</f>
        <v>162000</v>
      </c>
      <c r="P554" s="108">
        <f>+N554+O554</f>
        <v>412000</v>
      </c>
      <c r="Q554" s="39">
        <v>50</v>
      </c>
      <c r="R554" s="39">
        <f t="shared" si="108"/>
        <v>450000</v>
      </c>
      <c r="S554" s="42">
        <f t="shared" si="109"/>
        <v>450000</v>
      </c>
    </row>
    <row r="555" spans="1:19">
      <c r="A555" s="99">
        <v>2026</v>
      </c>
      <c r="B555" s="100">
        <v>5</v>
      </c>
      <c r="C555" s="101">
        <v>46148</v>
      </c>
      <c r="D555" s="101" t="str">
        <f t="shared" si="106"/>
        <v>PPS00004022Самарканд_Хуршед ака 2</v>
      </c>
      <c r="E555" s="99" t="s">
        <v>1063</v>
      </c>
      <c r="F555" s="102" t="s">
        <v>912</v>
      </c>
      <c r="G555" s="102" t="s">
        <v>871</v>
      </c>
      <c r="H555" s="99" t="s">
        <v>255</v>
      </c>
      <c r="I555" s="102" t="s">
        <v>1064</v>
      </c>
      <c r="J555" s="102" t="s">
        <v>41</v>
      </c>
      <c r="K555" s="103">
        <v>20</v>
      </c>
      <c r="L555" s="104">
        <v>90000</v>
      </c>
      <c r="M555" s="104">
        <v>1800000</v>
      </c>
      <c r="N555" s="39">
        <f t="shared" si="117"/>
        <v>500000</v>
      </c>
      <c r="O555" s="107">
        <f>+M555*$O$1</f>
        <v>324000</v>
      </c>
      <c r="P555" s="108">
        <f>+N555+O555</f>
        <v>824000</v>
      </c>
      <c r="Q555" s="39">
        <v>100</v>
      </c>
      <c r="R555" s="39">
        <f t="shared" si="108"/>
        <v>1800000</v>
      </c>
      <c r="S555" s="42">
        <f t="shared" si="109"/>
        <v>0</v>
      </c>
    </row>
    <row r="556" spans="1:19">
      <c r="A556" s="99">
        <v>2026</v>
      </c>
      <c r="B556" s="100">
        <v>5</v>
      </c>
      <c r="C556" s="101">
        <v>46148</v>
      </c>
      <c r="D556" s="101" t="str">
        <f t="shared" si="106"/>
        <v>PPS00004023Сирдарё_Фотима опа</v>
      </c>
      <c r="E556" s="99" t="s">
        <v>1065</v>
      </c>
      <c r="F556" s="102" t="s">
        <v>284</v>
      </c>
      <c r="G556" s="102" t="s">
        <v>281</v>
      </c>
      <c r="H556" s="99" t="s">
        <v>255</v>
      </c>
      <c r="I556" s="102" t="s">
        <v>928</v>
      </c>
      <c r="J556" s="102" t="s">
        <v>21</v>
      </c>
      <c r="K556" s="103">
        <v>22</v>
      </c>
      <c r="L556" s="104">
        <v>40621</v>
      </c>
      <c r="M556" s="104">
        <v>893662</v>
      </c>
      <c r="N556" s="39">
        <f>+K556*15000</f>
        <v>330000</v>
      </c>
      <c r="O556" s="107">
        <f>+M556*$O$1</f>
        <v>160859.16</v>
      </c>
      <c r="P556" s="108">
        <f>+N556+O556</f>
        <v>490859.16000000003</v>
      </c>
      <c r="Q556" s="39">
        <v>0</v>
      </c>
      <c r="R556" s="39">
        <f t="shared" si="108"/>
        <v>0</v>
      </c>
      <c r="S556" s="42">
        <f t="shared" si="109"/>
        <v>893662</v>
      </c>
    </row>
    <row r="557" spans="1:19">
      <c r="A557" s="99">
        <v>2026</v>
      </c>
      <c r="B557" s="100">
        <v>5</v>
      </c>
      <c r="C557" s="101">
        <v>46148</v>
      </c>
      <c r="D557" s="101" t="str">
        <f t="shared" si="106"/>
        <v>PPS00004027Самарканд_Хуршед ака 2</v>
      </c>
      <c r="E557" s="99" t="s">
        <v>1066</v>
      </c>
      <c r="F557" s="102" t="s">
        <v>912</v>
      </c>
      <c r="G557" s="102" t="s">
        <v>871</v>
      </c>
      <c r="H557" s="99" t="s">
        <v>255</v>
      </c>
      <c r="I557" s="102" t="s">
        <v>1067</v>
      </c>
      <c r="J557" s="102" t="s">
        <v>38</v>
      </c>
      <c r="K557" s="103">
        <v>100</v>
      </c>
      <c r="L557" s="104">
        <v>65000</v>
      </c>
      <c r="M557" s="104">
        <v>6500000</v>
      </c>
      <c r="N557" s="39">
        <f>+K557*20000</f>
        <v>2000000</v>
      </c>
      <c r="O557" s="107">
        <f>+M557*$O$1</f>
        <v>1170000</v>
      </c>
      <c r="P557" s="108">
        <f>+N557+O557</f>
        <v>3170000</v>
      </c>
      <c r="Q557" s="39">
        <v>50</v>
      </c>
      <c r="R557" s="39">
        <f t="shared" si="108"/>
        <v>3250000</v>
      </c>
      <c r="S557" s="42">
        <f t="shared" si="109"/>
        <v>3250000</v>
      </c>
    </row>
    <row r="558" spans="1:19">
      <c r="A558" s="99">
        <v>2026</v>
      </c>
      <c r="B558" s="100">
        <v>5</v>
      </c>
      <c r="C558" s="101">
        <v>46148</v>
      </c>
      <c r="D558" s="101" t="str">
        <f t="shared" si="106"/>
        <v>PPS00004041Самарканд_Хуршед ака 3</v>
      </c>
      <c r="E558" s="99" t="s">
        <v>1068</v>
      </c>
      <c r="F558" s="102" t="s">
        <v>271</v>
      </c>
      <c r="G558" s="102" t="s">
        <v>887</v>
      </c>
      <c r="H558" s="99" t="s">
        <v>255</v>
      </c>
      <c r="I558" s="102" t="s">
        <v>995</v>
      </c>
      <c r="J558" s="102" t="s">
        <v>46</v>
      </c>
      <c r="K558" s="103">
        <v>100</v>
      </c>
      <c r="L558" s="104">
        <v>64700</v>
      </c>
      <c r="M558" s="104">
        <v>6470000</v>
      </c>
      <c r="N558" s="39">
        <f>20000*K558</f>
        <v>2000000</v>
      </c>
      <c r="O558" s="107">
        <f>+M558*$O$1</f>
        <v>1164600</v>
      </c>
      <c r="P558" s="108">
        <f>+N558+O558</f>
        <v>3164600</v>
      </c>
      <c r="Q558" s="39">
        <v>50</v>
      </c>
      <c r="R558" s="39">
        <f t="shared" si="108"/>
        <v>3235000</v>
      </c>
      <c r="S558" s="42">
        <f t="shared" si="109"/>
        <v>3235000</v>
      </c>
    </row>
    <row r="559" spans="1:19">
      <c r="A559" s="99">
        <v>2026</v>
      </c>
      <c r="B559" s="100">
        <v>5</v>
      </c>
      <c r="C559" s="101">
        <v>46148</v>
      </c>
      <c r="D559" s="101" t="str">
        <f t="shared" si="106"/>
        <v>PPS00004048Сирдарё_Фотима опа</v>
      </c>
      <c r="E559" s="99" t="s">
        <v>1069</v>
      </c>
      <c r="F559" s="102" t="s">
        <v>284</v>
      </c>
      <c r="G559" s="102" t="s">
        <v>281</v>
      </c>
      <c r="H559" s="99" t="s">
        <v>255</v>
      </c>
      <c r="I559" s="102" t="s">
        <v>443</v>
      </c>
      <c r="J559" s="102" t="s">
        <v>466</v>
      </c>
      <c r="K559" s="103">
        <v>20</v>
      </c>
      <c r="L559" s="104">
        <v>120000</v>
      </c>
      <c r="M559" s="104">
        <v>2400000</v>
      </c>
      <c r="N559" s="104">
        <f>+K559*35000</f>
        <v>700000</v>
      </c>
      <c r="O559" s="107">
        <f>+M559*$O$1</f>
        <v>432000</v>
      </c>
      <c r="P559" s="108">
        <f>+N559+O559</f>
        <v>1132000</v>
      </c>
      <c r="Q559" s="39">
        <v>52</v>
      </c>
      <c r="R559" s="39">
        <f t="shared" si="108"/>
        <v>1248000</v>
      </c>
      <c r="S559" s="42">
        <f t="shared" si="109"/>
        <v>1152000</v>
      </c>
    </row>
    <row r="560" spans="1:19">
      <c r="A560" s="99">
        <v>2026</v>
      </c>
      <c r="B560" s="100">
        <v>5</v>
      </c>
      <c r="C560" s="101">
        <v>46148</v>
      </c>
      <c r="D560" s="101" t="str">
        <f t="shared" si="106"/>
        <v>PPS00004060Сирдарьё_Зилола Опа</v>
      </c>
      <c r="E560" s="99" t="s">
        <v>1070</v>
      </c>
      <c r="F560" s="102" t="s">
        <v>736</v>
      </c>
      <c r="G560" s="102" t="s">
        <v>704</v>
      </c>
      <c r="H560" s="99" t="s">
        <v>255</v>
      </c>
      <c r="I560" s="102" t="s">
        <v>705</v>
      </c>
      <c r="J560" s="102" t="s">
        <v>46</v>
      </c>
      <c r="K560" s="103">
        <v>10</v>
      </c>
      <c r="L560" s="104">
        <v>64700</v>
      </c>
      <c r="M560" s="104">
        <v>647000</v>
      </c>
      <c r="N560" s="39">
        <f t="shared" ref="N560:N561" si="118">20000*K560</f>
        <v>200000</v>
      </c>
      <c r="O560" s="107">
        <f>+M560*$O$1</f>
        <v>116460</v>
      </c>
      <c r="P560" s="108">
        <f>+N560+O560</f>
        <v>316460</v>
      </c>
      <c r="Q560" s="39">
        <v>100</v>
      </c>
      <c r="R560" s="39">
        <f t="shared" si="108"/>
        <v>647000</v>
      </c>
      <c r="S560" s="42">
        <f t="shared" si="109"/>
        <v>0</v>
      </c>
    </row>
    <row r="561" spans="1:19">
      <c r="A561" s="99">
        <v>2026</v>
      </c>
      <c r="B561" s="100">
        <v>5</v>
      </c>
      <c r="C561" s="101">
        <v>46148</v>
      </c>
      <c r="D561" s="101" t="str">
        <f t="shared" si="106"/>
        <v>PPS00004070Таш.Обл_Шахло опа</v>
      </c>
      <c r="E561" s="99" t="s">
        <v>1071</v>
      </c>
      <c r="F561" s="102" t="s">
        <v>547</v>
      </c>
      <c r="G561" s="102" t="s">
        <v>464</v>
      </c>
      <c r="H561" s="99" t="s">
        <v>255</v>
      </c>
      <c r="I561" s="102" t="s">
        <v>784</v>
      </c>
      <c r="J561" s="102" t="s">
        <v>46</v>
      </c>
      <c r="K561" s="103">
        <v>5</v>
      </c>
      <c r="L561" s="104">
        <v>64700</v>
      </c>
      <c r="M561" s="104">
        <v>323500</v>
      </c>
      <c r="N561" s="39">
        <f t="shared" si="118"/>
        <v>100000</v>
      </c>
      <c r="O561" s="107">
        <f>+M561*$O$1</f>
        <v>58230</v>
      </c>
      <c r="P561" s="108">
        <f>+N561+O561</f>
        <v>158230</v>
      </c>
      <c r="Q561" s="39">
        <v>100</v>
      </c>
      <c r="R561" s="39">
        <f t="shared" si="108"/>
        <v>323500</v>
      </c>
      <c r="S561" s="42">
        <f t="shared" si="109"/>
        <v>0</v>
      </c>
    </row>
    <row r="562" spans="1:19">
      <c r="A562" s="99">
        <v>2026</v>
      </c>
      <c r="B562" s="100">
        <v>5</v>
      </c>
      <c r="C562" s="101">
        <v>46149</v>
      </c>
      <c r="D562" s="101" t="str">
        <f t="shared" si="106"/>
        <v>PPS00004110Самарканд_Хуршед ака 2</v>
      </c>
      <c r="E562" s="99" t="s">
        <v>1072</v>
      </c>
      <c r="F562" s="102" t="s">
        <v>271</v>
      </c>
      <c r="G562" s="102" t="s">
        <v>871</v>
      </c>
      <c r="H562" s="99" t="s">
        <v>255</v>
      </c>
      <c r="I562" s="102" t="s">
        <v>1073</v>
      </c>
      <c r="J562" s="102" t="s">
        <v>466</v>
      </c>
      <c r="K562" s="103">
        <v>50</v>
      </c>
      <c r="L562" s="104">
        <v>120000</v>
      </c>
      <c r="M562" s="104">
        <v>6000000</v>
      </c>
      <c r="N562" s="39">
        <f>+K562*35000</f>
        <v>1750000</v>
      </c>
      <c r="O562" s="107">
        <f>+M562*$O$1</f>
        <v>1080000</v>
      </c>
      <c r="P562" s="108">
        <f>+N562+O562</f>
        <v>2830000</v>
      </c>
      <c r="Q562" s="39">
        <v>100</v>
      </c>
      <c r="R562" s="39">
        <f t="shared" si="108"/>
        <v>6000000</v>
      </c>
      <c r="S562" s="42">
        <f t="shared" si="109"/>
        <v>0</v>
      </c>
    </row>
    <row r="563" spans="1:19">
      <c r="A563" s="99">
        <v>2026</v>
      </c>
      <c r="B563" s="100">
        <v>5</v>
      </c>
      <c r="C563" s="101">
        <v>46149</v>
      </c>
      <c r="D563" s="101" t="str">
        <f t="shared" si="106"/>
        <v>PPS00004117Самарканд_Хуршед ака 2</v>
      </c>
      <c r="E563" s="99" t="s">
        <v>1074</v>
      </c>
      <c r="F563" s="102" t="s">
        <v>912</v>
      </c>
      <c r="G563" s="102" t="s">
        <v>871</v>
      </c>
      <c r="H563" s="99" t="s">
        <v>255</v>
      </c>
      <c r="I563" s="102" t="s">
        <v>1075</v>
      </c>
      <c r="J563" s="102" t="s">
        <v>38</v>
      </c>
      <c r="K563" s="103">
        <v>50</v>
      </c>
      <c r="L563" s="104">
        <v>65000</v>
      </c>
      <c r="M563" s="104">
        <v>3250000</v>
      </c>
      <c r="N563" s="39">
        <f>+K563*20000</f>
        <v>1000000</v>
      </c>
      <c r="O563" s="107">
        <f>+M563*$O$1</f>
        <v>585000</v>
      </c>
      <c r="P563" s="108">
        <f>+N563+O563</f>
        <v>1585000</v>
      </c>
      <c r="Q563" s="39">
        <v>50</v>
      </c>
      <c r="R563" s="39">
        <f t="shared" si="108"/>
        <v>1625000</v>
      </c>
      <c r="S563" s="42">
        <f t="shared" si="109"/>
        <v>1625000</v>
      </c>
    </row>
    <row r="564" spans="1:19">
      <c r="A564" s="99">
        <v>2026</v>
      </c>
      <c r="B564" s="100">
        <v>5</v>
      </c>
      <c r="C564" s="101">
        <v>46149</v>
      </c>
      <c r="D564" s="101" t="str">
        <f t="shared" si="106"/>
        <v>PPS00004117Самарканд_Хуршед ака 2</v>
      </c>
      <c r="E564" s="99" t="s">
        <v>1074</v>
      </c>
      <c r="F564" s="102" t="s">
        <v>912</v>
      </c>
      <c r="G564" s="102" t="s">
        <v>871</v>
      </c>
      <c r="H564" s="99" t="s">
        <v>255</v>
      </c>
      <c r="I564" s="102" t="s">
        <v>1075</v>
      </c>
      <c r="J564" s="102" t="s">
        <v>41</v>
      </c>
      <c r="K564" s="103">
        <v>20</v>
      </c>
      <c r="L564" s="104">
        <v>90000</v>
      </c>
      <c r="M564" s="104">
        <v>1800000</v>
      </c>
      <c r="N564" s="39">
        <f>+K564*25000</f>
        <v>500000</v>
      </c>
      <c r="O564" s="107">
        <f>+M564*$O$1</f>
        <v>324000</v>
      </c>
      <c r="P564" s="108">
        <f>+N564+O564</f>
        <v>824000</v>
      </c>
      <c r="Q564" s="39">
        <v>50</v>
      </c>
      <c r="R564" s="39">
        <f t="shared" si="108"/>
        <v>900000</v>
      </c>
      <c r="S564" s="42">
        <f t="shared" si="109"/>
        <v>900000</v>
      </c>
    </row>
    <row r="565" spans="1:19">
      <c r="A565" s="99">
        <v>2026</v>
      </c>
      <c r="B565" s="100">
        <v>5</v>
      </c>
      <c r="C565" s="101">
        <v>46149</v>
      </c>
      <c r="D565" s="101" t="str">
        <f t="shared" si="106"/>
        <v>PPS00004122Сирдарё_Фотима опа</v>
      </c>
      <c r="E565" s="99" t="s">
        <v>1076</v>
      </c>
      <c r="F565" s="102" t="s">
        <v>284</v>
      </c>
      <c r="G565" s="102" t="s">
        <v>281</v>
      </c>
      <c r="H565" s="99" t="s">
        <v>255</v>
      </c>
      <c r="I565" s="102" t="s">
        <v>314</v>
      </c>
      <c r="J565" s="102" t="s">
        <v>466</v>
      </c>
      <c r="K565" s="103">
        <v>23</v>
      </c>
      <c r="L565" s="104">
        <v>120000</v>
      </c>
      <c r="M565" s="104">
        <v>2760000</v>
      </c>
      <c r="N565" s="39">
        <f t="shared" ref="N565:N567" si="119">+K565*35000</f>
        <v>805000</v>
      </c>
      <c r="O565" s="107">
        <f>+M565*$O$1</f>
        <v>496800</v>
      </c>
      <c r="P565" s="108">
        <f>+N565+O565</f>
        <v>1301800</v>
      </c>
      <c r="Q565" s="39">
        <v>50</v>
      </c>
      <c r="R565" s="39">
        <f t="shared" si="108"/>
        <v>1380000</v>
      </c>
      <c r="S565" s="42">
        <f t="shared" si="109"/>
        <v>1380000</v>
      </c>
    </row>
    <row r="566" spans="1:19">
      <c r="A566" s="99">
        <v>2026</v>
      </c>
      <c r="B566" s="100">
        <v>5</v>
      </c>
      <c r="C566" s="101">
        <v>46149</v>
      </c>
      <c r="D566" s="101" t="str">
        <f t="shared" si="106"/>
        <v>PPS00004122Сирдарё_Фотима опа</v>
      </c>
      <c r="E566" s="99" t="s">
        <v>1076</v>
      </c>
      <c r="F566" s="102" t="s">
        <v>284</v>
      </c>
      <c r="G566" s="102" t="s">
        <v>281</v>
      </c>
      <c r="H566" s="99" t="s">
        <v>255</v>
      </c>
      <c r="I566" s="102" t="s">
        <v>314</v>
      </c>
      <c r="J566" s="102" t="s">
        <v>466</v>
      </c>
      <c r="K566" s="103">
        <v>7</v>
      </c>
      <c r="L566" s="104">
        <v>120000</v>
      </c>
      <c r="M566" s="104">
        <v>840000</v>
      </c>
      <c r="N566" s="39">
        <f t="shared" si="119"/>
        <v>245000</v>
      </c>
      <c r="O566" s="107">
        <f>+M566*$O$1</f>
        <v>151200</v>
      </c>
      <c r="P566" s="108">
        <f>+N566+O566</f>
        <v>396200</v>
      </c>
      <c r="Q566" s="39">
        <v>50</v>
      </c>
      <c r="R566" s="39">
        <f t="shared" si="108"/>
        <v>420000</v>
      </c>
      <c r="S566" s="42">
        <f t="shared" si="109"/>
        <v>420000</v>
      </c>
    </row>
    <row r="567" spans="1:19">
      <c r="A567" s="99">
        <v>2026</v>
      </c>
      <c r="B567" s="100">
        <v>5</v>
      </c>
      <c r="C567" s="101">
        <v>46149</v>
      </c>
      <c r="D567" s="101" t="str">
        <f t="shared" si="106"/>
        <v>PPS00004130Сурхондарьё_Анвар ака</v>
      </c>
      <c r="E567" s="99" t="s">
        <v>1077</v>
      </c>
      <c r="F567" s="102" t="s">
        <v>874</v>
      </c>
      <c r="G567" s="102" t="s">
        <v>875</v>
      </c>
      <c r="H567" s="99" t="s">
        <v>255</v>
      </c>
      <c r="I567" s="102" t="s">
        <v>971</v>
      </c>
      <c r="J567" s="102" t="s">
        <v>466</v>
      </c>
      <c r="K567" s="103">
        <v>40</v>
      </c>
      <c r="L567" s="104">
        <v>120000</v>
      </c>
      <c r="M567" s="104">
        <v>4800000</v>
      </c>
      <c r="N567" s="39">
        <f t="shared" si="119"/>
        <v>1400000</v>
      </c>
      <c r="O567" s="107">
        <f>+M567*$O$1</f>
        <v>864000</v>
      </c>
      <c r="P567" s="108">
        <f>+N567+O567</f>
        <v>2264000</v>
      </c>
      <c r="Q567" s="39">
        <v>100</v>
      </c>
      <c r="R567" s="39">
        <f t="shared" si="108"/>
        <v>4800000</v>
      </c>
      <c r="S567" s="42">
        <f t="shared" si="109"/>
        <v>0</v>
      </c>
    </row>
    <row r="568" spans="1:19">
      <c r="A568" s="99">
        <v>2026</v>
      </c>
      <c r="B568" s="100">
        <v>5</v>
      </c>
      <c r="C568" s="101">
        <v>46149</v>
      </c>
      <c r="D568" s="101" t="str">
        <f t="shared" si="106"/>
        <v>PPS00004134Сирдарьё_Зилола Опа</v>
      </c>
      <c r="E568" s="99" t="s">
        <v>1078</v>
      </c>
      <c r="F568" s="102" t="s">
        <v>703</v>
      </c>
      <c r="G568" s="102" t="s">
        <v>704</v>
      </c>
      <c r="H568" s="99" t="s">
        <v>255</v>
      </c>
      <c r="I568" s="102" t="s">
        <v>1079</v>
      </c>
      <c r="J568" s="102" t="s">
        <v>46</v>
      </c>
      <c r="K568" s="103">
        <v>20</v>
      </c>
      <c r="L568" s="104">
        <v>64700</v>
      </c>
      <c r="M568" s="104">
        <v>1294000</v>
      </c>
      <c r="N568" s="39">
        <f t="shared" ref="N568:N569" si="120">20000*K568</f>
        <v>400000</v>
      </c>
      <c r="O568" s="107">
        <f>+M568*$O$1</f>
        <v>232920</v>
      </c>
      <c r="P568" s="108">
        <f>+N568+O568</f>
        <v>632920</v>
      </c>
      <c r="Q568" s="39">
        <v>100</v>
      </c>
      <c r="R568" s="39">
        <f t="shared" si="108"/>
        <v>1294000</v>
      </c>
      <c r="S568" s="42">
        <f t="shared" si="109"/>
        <v>0</v>
      </c>
    </row>
    <row r="569" spans="1:19">
      <c r="A569" s="99">
        <v>2026</v>
      </c>
      <c r="B569" s="100">
        <v>5</v>
      </c>
      <c r="C569" s="101">
        <v>46149</v>
      </c>
      <c r="D569" s="101" t="str">
        <f t="shared" si="106"/>
        <v>PPS00004145Таш.Обл_Шахло опа</v>
      </c>
      <c r="E569" s="99" t="s">
        <v>1080</v>
      </c>
      <c r="F569" s="102" t="s">
        <v>547</v>
      </c>
      <c r="G569" s="102" t="s">
        <v>464</v>
      </c>
      <c r="H569" s="99" t="s">
        <v>255</v>
      </c>
      <c r="I569" s="102" t="s">
        <v>1081</v>
      </c>
      <c r="J569" s="102" t="s">
        <v>46</v>
      </c>
      <c r="K569" s="103">
        <v>20</v>
      </c>
      <c r="L569" s="104">
        <v>64700</v>
      </c>
      <c r="M569" s="104">
        <v>1294000</v>
      </c>
      <c r="N569" s="39">
        <f t="shared" si="120"/>
        <v>400000</v>
      </c>
      <c r="O569" s="107">
        <f>+M569*$O$1</f>
        <v>232920</v>
      </c>
      <c r="P569" s="108">
        <f>+N569+O569</f>
        <v>632920</v>
      </c>
      <c r="Q569" s="39">
        <v>46</v>
      </c>
      <c r="R569" s="39">
        <f t="shared" si="108"/>
        <v>595240</v>
      </c>
      <c r="S569" s="42">
        <f t="shared" si="109"/>
        <v>698760</v>
      </c>
    </row>
    <row r="570" spans="1:19">
      <c r="A570" s="99">
        <v>2026</v>
      </c>
      <c r="B570" s="100">
        <v>5</v>
      </c>
      <c r="C570" s="101">
        <v>46149</v>
      </c>
      <c r="D570" s="101" t="str">
        <f t="shared" si="106"/>
        <v>PPS00004149Таш.Обл_Шахло опа</v>
      </c>
      <c r="E570" s="99" t="s">
        <v>1082</v>
      </c>
      <c r="F570" s="102" t="s">
        <v>677</v>
      </c>
      <c r="G570" s="102" t="s">
        <v>464</v>
      </c>
      <c r="H570" s="99" t="s">
        <v>255</v>
      </c>
      <c r="I570" s="102" t="s">
        <v>791</v>
      </c>
      <c r="J570" s="102" t="s">
        <v>466</v>
      </c>
      <c r="K570" s="103">
        <v>10</v>
      </c>
      <c r="L570" s="104">
        <v>120000</v>
      </c>
      <c r="M570" s="104">
        <v>1200000</v>
      </c>
      <c r="N570" s="39">
        <f>+K570*35000</f>
        <v>350000</v>
      </c>
      <c r="O570" s="107">
        <f>+M570*$O$1</f>
        <v>216000</v>
      </c>
      <c r="P570" s="108">
        <f>+N570+O570</f>
        <v>566000</v>
      </c>
      <c r="Q570" s="39">
        <v>44</v>
      </c>
      <c r="R570" s="39">
        <f t="shared" si="108"/>
        <v>528000</v>
      </c>
      <c r="S570" s="42">
        <f t="shared" si="109"/>
        <v>672000</v>
      </c>
    </row>
    <row r="571" spans="1:19">
      <c r="A571" s="99">
        <v>2026</v>
      </c>
      <c r="B571" s="100">
        <v>5</v>
      </c>
      <c r="C571" s="101">
        <v>46150</v>
      </c>
      <c r="D571" s="101" t="str">
        <f t="shared" si="106"/>
        <v>PPS00004157Самарканд_Хуршед ака 2</v>
      </c>
      <c r="E571" s="99" t="s">
        <v>1083</v>
      </c>
      <c r="F571" s="102" t="s">
        <v>870</v>
      </c>
      <c r="G571" s="102" t="s">
        <v>871</v>
      </c>
      <c r="H571" s="99" t="s">
        <v>255</v>
      </c>
      <c r="I571" s="102" t="s">
        <v>883</v>
      </c>
      <c r="J571" s="102" t="s">
        <v>41</v>
      </c>
      <c r="K571" s="103">
        <v>50</v>
      </c>
      <c r="L571" s="104">
        <v>90000</v>
      </c>
      <c r="M571" s="104">
        <v>4500000</v>
      </c>
      <c r="N571" s="39">
        <f>+K571*25000</f>
        <v>1250000</v>
      </c>
      <c r="O571" s="107">
        <f>+M571*$O$1</f>
        <v>810000</v>
      </c>
      <c r="P571" s="108">
        <f>+N571+O571</f>
        <v>2060000</v>
      </c>
      <c r="Q571" s="39">
        <v>32</v>
      </c>
      <c r="R571" s="39">
        <f t="shared" si="108"/>
        <v>1440000</v>
      </c>
      <c r="S571" s="42">
        <f t="shared" si="109"/>
        <v>3060000</v>
      </c>
    </row>
    <row r="572" spans="1:19">
      <c r="A572" s="99">
        <v>2026</v>
      </c>
      <c r="B572" s="100">
        <v>5</v>
      </c>
      <c r="C572" s="101">
        <v>46150</v>
      </c>
      <c r="D572" s="101" t="str">
        <f t="shared" si="106"/>
        <v>PPS00004161Таш.Обл_Шахло опа</v>
      </c>
      <c r="E572" s="99" t="s">
        <v>1084</v>
      </c>
      <c r="F572" s="102" t="s">
        <v>547</v>
      </c>
      <c r="G572" s="102" t="s">
        <v>464</v>
      </c>
      <c r="H572" s="99" t="s">
        <v>255</v>
      </c>
      <c r="I572" s="102" t="s">
        <v>1085</v>
      </c>
      <c r="J572" s="102" t="s">
        <v>46</v>
      </c>
      <c r="K572" s="103">
        <v>40</v>
      </c>
      <c r="L572" s="104">
        <v>64700</v>
      </c>
      <c r="M572" s="104">
        <v>2588000</v>
      </c>
      <c r="N572" s="39">
        <f>20000*K572</f>
        <v>800000</v>
      </c>
      <c r="O572" s="107">
        <f>+M572*$O$1</f>
        <v>465840</v>
      </c>
      <c r="P572" s="108">
        <f>+N572+O572</f>
        <v>1265840</v>
      </c>
      <c r="Q572" s="39">
        <v>46</v>
      </c>
      <c r="R572" s="39">
        <f t="shared" si="108"/>
        <v>1190480</v>
      </c>
      <c r="S572" s="42">
        <f t="shared" si="109"/>
        <v>1397520</v>
      </c>
    </row>
    <row r="573" spans="1:19">
      <c r="A573" s="99">
        <v>2026</v>
      </c>
      <c r="B573" s="100">
        <v>5</v>
      </c>
      <c r="C573" s="101">
        <v>46150</v>
      </c>
      <c r="D573" s="101" t="str">
        <f t="shared" si="106"/>
        <v>PPS00004165Таш.Обл_Шахло опа</v>
      </c>
      <c r="E573" s="99" t="s">
        <v>1086</v>
      </c>
      <c r="F573" s="102" t="s">
        <v>677</v>
      </c>
      <c r="G573" s="102" t="s">
        <v>464</v>
      </c>
      <c r="H573" s="99" t="s">
        <v>255</v>
      </c>
      <c r="I573" s="102" t="s">
        <v>1087</v>
      </c>
      <c r="J573" s="102" t="s">
        <v>466</v>
      </c>
      <c r="K573" s="103">
        <v>10</v>
      </c>
      <c r="L573" s="104">
        <v>120000</v>
      </c>
      <c r="M573" s="104">
        <v>1200000</v>
      </c>
      <c r="N573" s="39">
        <f>+K573*35000</f>
        <v>350000</v>
      </c>
      <c r="O573" s="107">
        <f>+M573*$O$1</f>
        <v>216000</v>
      </c>
      <c r="P573" s="108">
        <f>+N573+O573</f>
        <v>566000</v>
      </c>
      <c r="Q573" s="39">
        <v>99</v>
      </c>
      <c r="R573" s="39">
        <f t="shared" si="108"/>
        <v>1188000</v>
      </c>
      <c r="S573" s="42">
        <f t="shared" si="109"/>
        <v>12000</v>
      </c>
    </row>
    <row r="574" spans="1:19">
      <c r="A574" s="99">
        <v>2026</v>
      </c>
      <c r="B574" s="100">
        <v>5</v>
      </c>
      <c r="C574" s="101">
        <v>46150</v>
      </c>
      <c r="D574" s="101" t="str">
        <f t="shared" si="106"/>
        <v>PPS00004174Хоразм_Улугбек ака</v>
      </c>
      <c r="E574" s="99" t="s">
        <v>1088</v>
      </c>
      <c r="F574" s="102" t="s">
        <v>1089</v>
      </c>
      <c r="G574" s="102" t="s">
        <v>864</v>
      </c>
      <c r="H574" s="99" t="s">
        <v>255</v>
      </c>
      <c r="I574" s="102" t="s">
        <v>865</v>
      </c>
      <c r="J574" s="102" t="s">
        <v>41</v>
      </c>
      <c r="K574" s="103">
        <v>10</v>
      </c>
      <c r="L574" s="104">
        <v>90000</v>
      </c>
      <c r="M574" s="104">
        <v>900000</v>
      </c>
      <c r="N574" s="39">
        <f t="shared" ref="N574:N575" si="121">+K574*25000</f>
        <v>250000</v>
      </c>
      <c r="O574" s="107">
        <f>+M574*$O$1</f>
        <v>162000</v>
      </c>
      <c r="P574" s="108">
        <f>+N574+O574</f>
        <v>412000</v>
      </c>
      <c r="Q574" s="39">
        <v>24</v>
      </c>
      <c r="R574" s="39">
        <f t="shared" si="108"/>
        <v>216000</v>
      </c>
      <c r="S574" s="42">
        <f t="shared" si="109"/>
        <v>684000</v>
      </c>
    </row>
    <row r="575" spans="1:19">
      <c r="A575" s="99">
        <v>2026</v>
      </c>
      <c r="B575" s="100">
        <v>5</v>
      </c>
      <c r="C575" s="101">
        <v>46150</v>
      </c>
      <c r="D575" s="101" t="str">
        <f t="shared" si="106"/>
        <v>PPS00004174Хоразм_Улугбек ака</v>
      </c>
      <c r="E575" s="99" t="s">
        <v>1088</v>
      </c>
      <c r="F575" s="102" t="s">
        <v>1089</v>
      </c>
      <c r="G575" s="102" t="s">
        <v>864</v>
      </c>
      <c r="H575" s="99" t="s">
        <v>255</v>
      </c>
      <c r="I575" s="102" t="s">
        <v>865</v>
      </c>
      <c r="J575" s="102" t="s">
        <v>41</v>
      </c>
      <c r="K575" s="103">
        <v>190</v>
      </c>
      <c r="L575" s="104">
        <v>90000</v>
      </c>
      <c r="M575" s="104">
        <v>17100000</v>
      </c>
      <c r="N575" s="39">
        <f t="shared" si="121"/>
        <v>4750000</v>
      </c>
      <c r="O575" s="107">
        <f>+M575*$O$1</f>
        <v>3078000</v>
      </c>
      <c r="P575" s="108">
        <f>+N575+O575</f>
        <v>7828000</v>
      </c>
      <c r="Q575" s="39">
        <v>24</v>
      </c>
      <c r="R575" s="39">
        <f t="shared" si="108"/>
        <v>4104000</v>
      </c>
      <c r="S575" s="42">
        <f t="shared" si="109"/>
        <v>12996000</v>
      </c>
    </row>
    <row r="576" spans="1:19">
      <c r="A576" s="99">
        <v>2026</v>
      </c>
      <c r="B576" s="100">
        <v>5</v>
      </c>
      <c r="C576" s="101">
        <v>46150</v>
      </c>
      <c r="D576" s="101" t="str">
        <f t="shared" si="106"/>
        <v>PPS00004177Самарканд_Хуршед ака 3</v>
      </c>
      <c r="E576" s="99" t="s">
        <v>1090</v>
      </c>
      <c r="F576" s="102" t="s">
        <v>271</v>
      </c>
      <c r="G576" s="102" t="s">
        <v>887</v>
      </c>
      <c r="H576" s="99" t="s">
        <v>255</v>
      </c>
      <c r="I576" s="102" t="s">
        <v>913</v>
      </c>
      <c r="J576" s="102" t="s">
        <v>46</v>
      </c>
      <c r="K576" s="103">
        <v>10</v>
      </c>
      <c r="L576" s="104">
        <v>64700</v>
      </c>
      <c r="M576" s="104">
        <v>647000</v>
      </c>
      <c r="N576" s="39">
        <f>20000*K576</f>
        <v>200000</v>
      </c>
      <c r="O576" s="107">
        <f>+M576*$O$1</f>
        <v>116460</v>
      </c>
      <c r="P576" s="108">
        <f>+N576+O576</f>
        <v>316460</v>
      </c>
      <c r="Q576" s="39">
        <v>100</v>
      </c>
      <c r="R576" s="39">
        <f t="shared" si="108"/>
        <v>647000</v>
      </c>
      <c r="S576" s="42">
        <f t="shared" si="109"/>
        <v>0</v>
      </c>
    </row>
    <row r="577" spans="1:19">
      <c r="A577" s="99">
        <v>2026</v>
      </c>
      <c r="B577" s="100">
        <v>5</v>
      </c>
      <c r="C577" s="101">
        <v>46154</v>
      </c>
      <c r="D577" s="101" t="str">
        <f t="shared" si="106"/>
        <v>PPS00000058Навоий_Дильноза опа</v>
      </c>
      <c r="E577" s="99" t="s">
        <v>1091</v>
      </c>
      <c r="F577" s="102" t="s">
        <v>332</v>
      </c>
      <c r="G577" s="102" t="s">
        <v>333</v>
      </c>
      <c r="H577" s="99" t="s">
        <v>255</v>
      </c>
      <c r="I577" s="102" t="s">
        <v>289</v>
      </c>
      <c r="J577" s="102" t="s">
        <v>21</v>
      </c>
      <c r="K577" s="103">
        <v>-98</v>
      </c>
      <c r="L577" s="104">
        <v>40621</v>
      </c>
      <c r="M577" s="104">
        <v>-3980858</v>
      </c>
      <c r="N577" s="39">
        <f>+K577*15000</f>
        <v>-1470000</v>
      </c>
      <c r="O577" s="107">
        <f>+M577*$O$1</f>
        <v>-716554.44</v>
      </c>
      <c r="P577" s="108">
        <f>+N577+O577</f>
        <v>-2186554.44</v>
      </c>
      <c r="Q577" s="39">
        <v>100</v>
      </c>
      <c r="R577" s="39">
        <f t="shared" si="108"/>
        <v>-3980858</v>
      </c>
      <c r="S577" s="42">
        <f t="shared" si="109"/>
        <v>0</v>
      </c>
    </row>
    <row r="578" spans="1:19">
      <c r="A578" s="99">
        <v>2026</v>
      </c>
      <c r="B578" s="100">
        <v>5</v>
      </c>
      <c r="C578" s="101">
        <v>46154</v>
      </c>
      <c r="D578" s="101" t="str">
        <f t="shared" si="106"/>
        <v>PPS00004211Таш.Обл_Шахло опа</v>
      </c>
      <c r="E578" s="99" t="s">
        <v>1092</v>
      </c>
      <c r="F578" s="102" t="s">
        <v>547</v>
      </c>
      <c r="G578" s="102" t="s">
        <v>464</v>
      </c>
      <c r="H578" s="99" t="s">
        <v>255</v>
      </c>
      <c r="I578" s="102" t="s">
        <v>859</v>
      </c>
      <c r="J578" s="102" t="s">
        <v>46</v>
      </c>
      <c r="K578" s="103">
        <v>40</v>
      </c>
      <c r="L578" s="104">
        <v>64700</v>
      </c>
      <c r="M578" s="104">
        <v>2588000</v>
      </c>
      <c r="N578" s="39">
        <f>20000*K578</f>
        <v>800000</v>
      </c>
      <c r="O578" s="107">
        <f>+M578*$O$1</f>
        <v>465840</v>
      </c>
      <c r="P578" s="108">
        <f>+N578+O578</f>
        <v>1265840</v>
      </c>
      <c r="Q578" s="39">
        <v>45</v>
      </c>
      <c r="R578" s="39">
        <f t="shared" si="108"/>
        <v>1164600</v>
      </c>
      <c r="S578" s="42">
        <f t="shared" si="109"/>
        <v>1423400</v>
      </c>
    </row>
    <row r="579" spans="1:19">
      <c r="A579" s="99">
        <v>2026</v>
      </c>
      <c r="B579" s="100">
        <v>5</v>
      </c>
      <c r="C579" s="101">
        <v>46154</v>
      </c>
      <c r="D579" s="101" t="str">
        <f t="shared" si="106"/>
        <v>PPS00004215Таш.Обл_Шахло опа</v>
      </c>
      <c r="E579" s="99" t="s">
        <v>1093</v>
      </c>
      <c r="F579" s="102" t="s">
        <v>547</v>
      </c>
      <c r="G579" s="102" t="s">
        <v>464</v>
      </c>
      <c r="H579" s="99" t="s">
        <v>255</v>
      </c>
      <c r="I579" s="102" t="s">
        <v>1030</v>
      </c>
      <c r="J579" s="102" t="s">
        <v>466</v>
      </c>
      <c r="K579" s="103">
        <v>34</v>
      </c>
      <c r="L579" s="104">
        <v>120000</v>
      </c>
      <c r="M579" s="104">
        <v>4080000</v>
      </c>
      <c r="N579" s="39">
        <f t="shared" ref="N579:N580" si="122">+K579*35000</f>
        <v>1190000</v>
      </c>
      <c r="O579" s="107">
        <f>+M579*$O$1</f>
        <v>734400</v>
      </c>
      <c r="P579" s="108">
        <f>+N579+O579</f>
        <v>1924400</v>
      </c>
      <c r="Q579" s="39">
        <v>100</v>
      </c>
      <c r="R579" s="39">
        <f t="shared" si="108"/>
        <v>4080000</v>
      </c>
      <c r="S579" s="42">
        <f t="shared" si="109"/>
        <v>0</v>
      </c>
    </row>
    <row r="580" spans="1:19">
      <c r="A580" s="99">
        <v>2026</v>
      </c>
      <c r="B580" s="100">
        <v>5</v>
      </c>
      <c r="C580" s="101">
        <v>46154</v>
      </c>
      <c r="D580" s="101" t="str">
        <f t="shared" ref="D580:D643" si="123">+E580&amp;G580</f>
        <v>PPS00004216Самарканд_Хуршед ака 2</v>
      </c>
      <c r="E580" s="99" t="s">
        <v>1094</v>
      </c>
      <c r="F580" s="102" t="s">
        <v>912</v>
      </c>
      <c r="G580" s="102" t="s">
        <v>871</v>
      </c>
      <c r="H580" s="99" t="s">
        <v>255</v>
      </c>
      <c r="I580" s="102" t="s">
        <v>934</v>
      </c>
      <c r="J580" s="102" t="s">
        <v>466</v>
      </c>
      <c r="K580" s="103">
        <v>20</v>
      </c>
      <c r="L580" s="104">
        <v>120000</v>
      </c>
      <c r="M580" s="104">
        <v>2400000</v>
      </c>
      <c r="N580" s="39">
        <f t="shared" si="122"/>
        <v>700000</v>
      </c>
      <c r="O580" s="107">
        <f>+M580*$O$1</f>
        <v>432000</v>
      </c>
      <c r="P580" s="108">
        <f>+N580+O580</f>
        <v>1132000</v>
      </c>
      <c r="Q580" s="39">
        <v>50</v>
      </c>
      <c r="R580" s="39">
        <f t="shared" ref="R580:R643" si="124">+M580*Q580%</f>
        <v>1200000</v>
      </c>
      <c r="S580" s="42">
        <f t="shared" ref="S580:S643" si="125">M580-R580</f>
        <v>1200000</v>
      </c>
    </row>
    <row r="581" spans="1:19">
      <c r="A581" s="99">
        <v>2026</v>
      </c>
      <c r="B581" s="100">
        <v>5</v>
      </c>
      <c r="C581" s="101">
        <v>46154</v>
      </c>
      <c r="D581" s="101" t="str">
        <f t="shared" si="123"/>
        <v>PPS00004216Самарканд_Хуршед ака 2</v>
      </c>
      <c r="E581" s="99" t="s">
        <v>1094</v>
      </c>
      <c r="F581" s="102" t="s">
        <v>912</v>
      </c>
      <c r="G581" s="102" t="s">
        <v>871</v>
      </c>
      <c r="H581" s="99" t="s">
        <v>255</v>
      </c>
      <c r="I581" s="102" t="s">
        <v>934</v>
      </c>
      <c r="J581" s="102" t="s">
        <v>41</v>
      </c>
      <c r="K581" s="103">
        <v>20</v>
      </c>
      <c r="L581" s="104">
        <v>90000</v>
      </c>
      <c r="M581" s="104">
        <v>1800000</v>
      </c>
      <c r="N581" s="39">
        <f>+K581*25000</f>
        <v>500000</v>
      </c>
      <c r="O581" s="107">
        <f>+M581*$O$1</f>
        <v>324000</v>
      </c>
      <c r="P581" s="108">
        <f>+N581+O581</f>
        <v>824000</v>
      </c>
      <c r="Q581" s="39">
        <v>50</v>
      </c>
      <c r="R581" s="39">
        <f t="shared" si="124"/>
        <v>900000</v>
      </c>
      <c r="S581" s="42">
        <f t="shared" si="125"/>
        <v>900000</v>
      </c>
    </row>
    <row r="582" spans="1:19">
      <c r="A582" s="99">
        <v>2026</v>
      </c>
      <c r="B582" s="100">
        <v>5</v>
      </c>
      <c r="C582" s="101">
        <v>46154</v>
      </c>
      <c r="D582" s="101" t="str">
        <f t="shared" si="123"/>
        <v>PPS00004218Сирдарьё_Зилола Опа</v>
      </c>
      <c r="E582" s="99" t="s">
        <v>1095</v>
      </c>
      <c r="F582" s="102" t="s">
        <v>736</v>
      </c>
      <c r="G582" s="102" t="s">
        <v>704</v>
      </c>
      <c r="H582" s="99" t="s">
        <v>255</v>
      </c>
      <c r="I582" s="102" t="s">
        <v>915</v>
      </c>
      <c r="J582" s="102" t="s">
        <v>46</v>
      </c>
      <c r="K582" s="103">
        <v>30</v>
      </c>
      <c r="L582" s="104">
        <v>64700</v>
      </c>
      <c r="M582" s="104">
        <v>1941000</v>
      </c>
      <c r="N582" s="39">
        <f>20000*K582</f>
        <v>600000</v>
      </c>
      <c r="O582" s="107">
        <f>+M582*$O$1</f>
        <v>349380</v>
      </c>
      <c r="P582" s="108">
        <f>+N582+O582</f>
        <v>949380</v>
      </c>
      <c r="Q582" s="39">
        <v>41</v>
      </c>
      <c r="R582" s="39">
        <f t="shared" si="124"/>
        <v>795810</v>
      </c>
      <c r="S582" s="42">
        <f t="shared" si="125"/>
        <v>1145190</v>
      </c>
    </row>
    <row r="583" spans="1:19">
      <c r="A583" s="99">
        <v>2026</v>
      </c>
      <c r="B583" s="100">
        <v>5</v>
      </c>
      <c r="C583" s="101">
        <v>46154</v>
      </c>
      <c r="D583" s="101" t="str">
        <f t="shared" si="123"/>
        <v>PPS00004223Таш.Обл_Шахло опа</v>
      </c>
      <c r="E583" s="99" t="s">
        <v>1096</v>
      </c>
      <c r="F583" s="102" t="s">
        <v>489</v>
      </c>
      <c r="G583" s="102" t="s">
        <v>464</v>
      </c>
      <c r="H583" s="99" t="s">
        <v>255</v>
      </c>
      <c r="I583" s="102" t="s">
        <v>490</v>
      </c>
      <c r="J583" s="102" t="s">
        <v>466</v>
      </c>
      <c r="K583" s="103">
        <v>20</v>
      </c>
      <c r="L583" s="104">
        <v>120000</v>
      </c>
      <c r="M583" s="104">
        <v>2400000</v>
      </c>
      <c r="N583" s="39">
        <f t="shared" ref="N583:N584" si="126">+K583*35000</f>
        <v>700000</v>
      </c>
      <c r="O583" s="107">
        <f>+M583*$O$1</f>
        <v>432000</v>
      </c>
      <c r="P583" s="108">
        <f>+N583+O583</f>
        <v>1132000</v>
      </c>
      <c r="Q583" s="39">
        <v>100</v>
      </c>
      <c r="R583" s="39">
        <f t="shared" si="124"/>
        <v>2400000</v>
      </c>
      <c r="S583" s="42">
        <f t="shared" si="125"/>
        <v>0</v>
      </c>
    </row>
    <row r="584" spans="1:19">
      <c r="A584" s="99">
        <v>2026</v>
      </c>
      <c r="B584" s="100">
        <v>5</v>
      </c>
      <c r="C584" s="101">
        <v>46154</v>
      </c>
      <c r="D584" s="101" t="str">
        <f t="shared" si="123"/>
        <v>PPS00004224Самарканд_Хуршед ака 2</v>
      </c>
      <c r="E584" s="99" t="s">
        <v>1097</v>
      </c>
      <c r="F584" s="102" t="s">
        <v>271</v>
      </c>
      <c r="G584" s="102" t="s">
        <v>871</v>
      </c>
      <c r="H584" s="99" t="s">
        <v>255</v>
      </c>
      <c r="I584" s="102" t="s">
        <v>1098</v>
      </c>
      <c r="J584" s="102" t="s">
        <v>466</v>
      </c>
      <c r="K584" s="103">
        <v>100</v>
      </c>
      <c r="L584" s="104">
        <v>120000</v>
      </c>
      <c r="M584" s="104">
        <v>12000000</v>
      </c>
      <c r="N584" s="39">
        <f t="shared" si="126"/>
        <v>3500000</v>
      </c>
      <c r="O584" s="107">
        <f>+M584*$O$1</f>
        <v>2160000</v>
      </c>
      <c r="P584" s="108">
        <f>+N584+O584</f>
        <v>5660000</v>
      </c>
      <c r="Q584" s="39">
        <v>50</v>
      </c>
      <c r="R584" s="39">
        <f t="shared" si="124"/>
        <v>6000000</v>
      </c>
      <c r="S584" s="42">
        <f t="shared" si="125"/>
        <v>6000000</v>
      </c>
    </row>
    <row r="585" spans="1:19">
      <c r="A585" s="99">
        <v>2026</v>
      </c>
      <c r="B585" s="100">
        <v>5</v>
      </c>
      <c r="C585" s="101">
        <v>46154</v>
      </c>
      <c r="D585" s="101" t="str">
        <f t="shared" si="123"/>
        <v>PPS00004233Таш.Обл_Ноила опа</v>
      </c>
      <c r="E585" s="99" t="s">
        <v>1099</v>
      </c>
      <c r="F585" s="102" t="s">
        <v>1100</v>
      </c>
      <c r="G585" s="102" t="s">
        <v>1101</v>
      </c>
      <c r="H585" s="99" t="s">
        <v>255</v>
      </c>
      <c r="I585" s="102" t="s">
        <v>498</v>
      </c>
      <c r="J585" s="102" t="s">
        <v>38</v>
      </c>
      <c r="K585" s="103">
        <v>50</v>
      </c>
      <c r="L585" s="104">
        <v>65000</v>
      </c>
      <c r="M585" s="104">
        <v>3250000</v>
      </c>
      <c r="N585" s="39">
        <f t="shared" ref="N585:N586" si="127">+K585*20000</f>
        <v>1000000</v>
      </c>
      <c r="O585" s="107">
        <f>+M585*$O$1</f>
        <v>585000</v>
      </c>
      <c r="P585" s="108">
        <f>+N585+O585</f>
        <v>1585000</v>
      </c>
      <c r="Q585" s="39">
        <v>50</v>
      </c>
      <c r="R585" s="39">
        <f t="shared" si="124"/>
        <v>1625000</v>
      </c>
      <c r="S585" s="42">
        <f t="shared" si="125"/>
        <v>1625000</v>
      </c>
    </row>
    <row r="586" spans="1:19">
      <c r="A586" s="99">
        <v>2026</v>
      </c>
      <c r="B586" s="100">
        <v>5</v>
      </c>
      <c r="C586" s="101">
        <v>46154</v>
      </c>
      <c r="D586" s="101" t="str">
        <f t="shared" si="123"/>
        <v>PPS00004250Самарканд_Хуршед ака 2</v>
      </c>
      <c r="E586" s="99" t="s">
        <v>1102</v>
      </c>
      <c r="F586" s="102" t="s">
        <v>271</v>
      </c>
      <c r="G586" s="102" t="s">
        <v>871</v>
      </c>
      <c r="H586" s="99" t="s">
        <v>255</v>
      </c>
      <c r="I586" s="102" t="s">
        <v>989</v>
      </c>
      <c r="J586" s="102" t="s">
        <v>38</v>
      </c>
      <c r="K586" s="103">
        <v>25</v>
      </c>
      <c r="L586" s="104">
        <v>65000</v>
      </c>
      <c r="M586" s="104">
        <v>1625000</v>
      </c>
      <c r="N586" s="39">
        <f t="shared" si="127"/>
        <v>500000</v>
      </c>
      <c r="O586" s="107">
        <f>+M586*$O$1</f>
        <v>292500</v>
      </c>
      <c r="P586" s="108">
        <f>+N586+O586</f>
        <v>792500</v>
      </c>
      <c r="Q586" s="39">
        <v>100</v>
      </c>
      <c r="R586" s="39">
        <f t="shared" si="124"/>
        <v>1625000</v>
      </c>
      <c r="S586" s="42">
        <f t="shared" si="125"/>
        <v>0</v>
      </c>
    </row>
    <row r="587" spans="1:19">
      <c r="A587" s="99">
        <v>2026</v>
      </c>
      <c r="B587" s="100">
        <v>5</v>
      </c>
      <c r="C587" s="101">
        <v>46154</v>
      </c>
      <c r="D587" s="101" t="str">
        <f t="shared" si="123"/>
        <v>PPS00004258Сурхондарьё_Анвар ака</v>
      </c>
      <c r="E587" s="99" t="s">
        <v>1103</v>
      </c>
      <c r="F587" s="102" t="s">
        <v>874</v>
      </c>
      <c r="G587" s="102" t="s">
        <v>875</v>
      </c>
      <c r="H587" s="99" t="s">
        <v>255</v>
      </c>
      <c r="I587" s="102" t="s">
        <v>971</v>
      </c>
      <c r="J587" s="102" t="s">
        <v>466</v>
      </c>
      <c r="K587" s="103">
        <v>120</v>
      </c>
      <c r="L587" s="104">
        <v>120000</v>
      </c>
      <c r="M587" s="104">
        <v>14400000</v>
      </c>
      <c r="N587" s="39">
        <f>+K587*35000</f>
        <v>4200000</v>
      </c>
      <c r="O587" s="107">
        <f>+M587*$O$1</f>
        <v>2592000</v>
      </c>
      <c r="P587" s="108">
        <f>+N587+O587</f>
        <v>6792000</v>
      </c>
      <c r="Q587" s="39">
        <v>100</v>
      </c>
      <c r="R587" s="39">
        <f t="shared" si="124"/>
        <v>14400000</v>
      </c>
      <c r="S587" s="42">
        <f t="shared" si="125"/>
        <v>0</v>
      </c>
    </row>
    <row r="588" spans="1:19">
      <c r="A588" s="99">
        <v>2026</v>
      </c>
      <c r="B588" s="100">
        <v>5</v>
      </c>
      <c r="C588" s="101">
        <v>46155</v>
      </c>
      <c r="D588" s="101" t="str">
        <f t="shared" si="123"/>
        <v>PPS00004278Самарканд_Хуршед ака 3</v>
      </c>
      <c r="E588" s="99" t="s">
        <v>1104</v>
      </c>
      <c r="F588" s="102" t="s">
        <v>886</v>
      </c>
      <c r="G588" s="102" t="s">
        <v>887</v>
      </c>
      <c r="H588" s="99" t="s">
        <v>255</v>
      </c>
      <c r="I588" s="102" t="s">
        <v>1105</v>
      </c>
      <c r="J588" s="102" t="s">
        <v>46</v>
      </c>
      <c r="K588" s="103">
        <v>50</v>
      </c>
      <c r="L588" s="104">
        <v>64700</v>
      </c>
      <c r="M588" s="104">
        <v>3235000</v>
      </c>
      <c r="N588" s="39">
        <f>20000*K588</f>
        <v>1000000</v>
      </c>
      <c r="O588" s="107">
        <f>+M588*$O$1</f>
        <v>582300</v>
      </c>
      <c r="P588" s="108">
        <f>+N588+O588</f>
        <v>1582300</v>
      </c>
      <c r="Q588" s="39">
        <v>44</v>
      </c>
      <c r="R588" s="39">
        <f t="shared" si="124"/>
        <v>1423400</v>
      </c>
      <c r="S588" s="42">
        <f t="shared" si="125"/>
        <v>1811600</v>
      </c>
    </row>
    <row r="589" spans="1:19">
      <c r="A589" s="99">
        <v>2026</v>
      </c>
      <c r="B589" s="100">
        <v>5</v>
      </c>
      <c r="C589" s="101">
        <v>46155</v>
      </c>
      <c r="D589" s="101" t="str">
        <f t="shared" si="123"/>
        <v>PPS00004289Самарканд_Хуршед ака 2</v>
      </c>
      <c r="E589" s="99" t="s">
        <v>1106</v>
      </c>
      <c r="F589" s="102" t="s">
        <v>271</v>
      </c>
      <c r="G589" s="102" t="s">
        <v>871</v>
      </c>
      <c r="H589" s="99" t="s">
        <v>255</v>
      </c>
      <c r="I589" s="102" t="s">
        <v>1107</v>
      </c>
      <c r="J589" s="102" t="s">
        <v>38</v>
      </c>
      <c r="K589" s="103">
        <v>20</v>
      </c>
      <c r="L589" s="104">
        <v>65000</v>
      </c>
      <c r="M589" s="104">
        <v>1300000</v>
      </c>
      <c r="N589" s="39">
        <f>+K589*20000</f>
        <v>400000</v>
      </c>
      <c r="O589" s="107">
        <f>+M589*$O$1</f>
        <v>234000</v>
      </c>
      <c r="P589" s="108">
        <f>+N589+O589</f>
        <v>634000</v>
      </c>
      <c r="Q589" s="39">
        <v>100</v>
      </c>
      <c r="R589" s="39">
        <f t="shared" si="124"/>
        <v>1300000</v>
      </c>
      <c r="S589" s="42">
        <f t="shared" si="125"/>
        <v>0</v>
      </c>
    </row>
    <row r="590" spans="1:19">
      <c r="A590" s="99">
        <v>2026</v>
      </c>
      <c r="B590" s="100">
        <v>5</v>
      </c>
      <c r="C590" s="101">
        <v>46155</v>
      </c>
      <c r="D590" s="101" t="str">
        <f t="shared" si="123"/>
        <v>PPS00004289Самарканд_Хуршед ака 2</v>
      </c>
      <c r="E590" s="99" t="s">
        <v>1106</v>
      </c>
      <c r="F590" s="102" t="s">
        <v>271</v>
      </c>
      <c r="G590" s="102" t="s">
        <v>871</v>
      </c>
      <c r="H590" s="99" t="s">
        <v>255</v>
      </c>
      <c r="I590" s="102" t="s">
        <v>1107</v>
      </c>
      <c r="J590" s="102" t="s">
        <v>41</v>
      </c>
      <c r="K590" s="103">
        <v>20</v>
      </c>
      <c r="L590" s="104">
        <v>90000</v>
      </c>
      <c r="M590" s="104">
        <v>1800000</v>
      </c>
      <c r="N590" s="39">
        <f t="shared" ref="N590:N591" si="128">+K590*25000</f>
        <v>500000</v>
      </c>
      <c r="O590" s="107">
        <f>+M590*$O$1</f>
        <v>324000</v>
      </c>
      <c r="P590" s="108">
        <f>+N590+O590</f>
        <v>824000</v>
      </c>
      <c r="Q590" s="39">
        <v>100</v>
      </c>
      <c r="R590" s="39">
        <f t="shared" si="124"/>
        <v>1800000</v>
      </c>
      <c r="S590" s="42">
        <f t="shared" si="125"/>
        <v>0</v>
      </c>
    </row>
    <row r="591" spans="1:19">
      <c r="A591" s="99">
        <v>2026</v>
      </c>
      <c r="B591" s="100">
        <v>5</v>
      </c>
      <c r="C591" s="101">
        <v>46155</v>
      </c>
      <c r="D591" s="101" t="str">
        <f t="shared" si="123"/>
        <v>PPS00004303Самарканд_Хуршед ака 2</v>
      </c>
      <c r="E591" s="99" t="s">
        <v>1108</v>
      </c>
      <c r="F591" s="102" t="s">
        <v>271</v>
      </c>
      <c r="G591" s="102" t="s">
        <v>871</v>
      </c>
      <c r="H591" s="99" t="s">
        <v>255</v>
      </c>
      <c r="I591" s="102" t="s">
        <v>902</v>
      </c>
      <c r="J591" s="102" t="s">
        <v>41</v>
      </c>
      <c r="K591" s="103">
        <v>100</v>
      </c>
      <c r="L591" s="104">
        <v>90000</v>
      </c>
      <c r="M591" s="104">
        <v>9000000</v>
      </c>
      <c r="N591" s="39">
        <f t="shared" si="128"/>
        <v>2500000</v>
      </c>
      <c r="O591" s="107">
        <f>+M591*$O$1</f>
        <v>1620000</v>
      </c>
      <c r="P591" s="108">
        <f>+N591+O591</f>
        <v>4120000</v>
      </c>
      <c r="Q591" s="39">
        <v>20</v>
      </c>
      <c r="R591" s="39">
        <f t="shared" si="124"/>
        <v>1800000</v>
      </c>
      <c r="S591" s="42">
        <f t="shared" si="125"/>
        <v>7200000</v>
      </c>
    </row>
    <row r="592" spans="1:19">
      <c r="A592" s="99">
        <v>2026</v>
      </c>
      <c r="B592" s="100">
        <v>5</v>
      </c>
      <c r="C592" s="101">
        <v>46155</v>
      </c>
      <c r="D592" s="101" t="str">
        <f t="shared" si="123"/>
        <v>PPS00004328Таш.Обл_Шахло опа</v>
      </c>
      <c r="E592" s="99" t="s">
        <v>1110</v>
      </c>
      <c r="F592" s="102" t="s">
        <v>489</v>
      </c>
      <c r="G592" s="102" t="s">
        <v>464</v>
      </c>
      <c r="H592" s="99" t="s">
        <v>255</v>
      </c>
      <c r="I592" s="102" t="s">
        <v>529</v>
      </c>
      <c r="J592" s="102" t="s">
        <v>466</v>
      </c>
      <c r="K592" s="103">
        <v>40</v>
      </c>
      <c r="L592" s="104">
        <v>120000</v>
      </c>
      <c r="M592" s="104">
        <v>4800000</v>
      </c>
      <c r="N592" s="39">
        <f>+K592*35000</f>
        <v>1400000</v>
      </c>
      <c r="O592" s="107">
        <f>+M592*$O$1</f>
        <v>864000</v>
      </c>
      <c r="P592" s="108">
        <f>+N592+O592</f>
        <v>2264000</v>
      </c>
      <c r="Q592" s="39">
        <v>49</v>
      </c>
      <c r="R592" s="39">
        <f t="shared" si="124"/>
        <v>2352000</v>
      </c>
      <c r="S592" s="42">
        <f t="shared" si="125"/>
        <v>2448000</v>
      </c>
    </row>
    <row r="593" spans="1:19">
      <c r="A593" s="99">
        <v>2026</v>
      </c>
      <c r="B593" s="100">
        <v>5</v>
      </c>
      <c r="C593" s="101">
        <v>46155</v>
      </c>
      <c r="D593" s="101" t="str">
        <f t="shared" si="123"/>
        <v>PPS00004330Таш.Обл_Шахло опа</v>
      </c>
      <c r="E593" s="99" t="s">
        <v>1111</v>
      </c>
      <c r="F593" s="102" t="s">
        <v>547</v>
      </c>
      <c r="G593" s="102" t="s">
        <v>464</v>
      </c>
      <c r="H593" s="99" t="s">
        <v>255</v>
      </c>
      <c r="I593" s="102" t="s">
        <v>784</v>
      </c>
      <c r="J593" s="102" t="s">
        <v>46</v>
      </c>
      <c r="K593" s="103">
        <v>10</v>
      </c>
      <c r="L593" s="104">
        <v>64700</v>
      </c>
      <c r="M593" s="104">
        <v>647000</v>
      </c>
      <c r="N593" s="39">
        <f t="shared" ref="N593:N594" si="129">20000*K593</f>
        <v>200000</v>
      </c>
      <c r="O593" s="107">
        <f>+M593*$O$1</f>
        <v>116460</v>
      </c>
      <c r="P593" s="108">
        <f>+N593+O593</f>
        <v>316460</v>
      </c>
      <c r="Q593" s="39">
        <v>50</v>
      </c>
      <c r="R593" s="39">
        <f t="shared" si="124"/>
        <v>323500</v>
      </c>
      <c r="S593" s="42">
        <f t="shared" si="125"/>
        <v>323500</v>
      </c>
    </row>
    <row r="594" spans="1:19">
      <c r="A594" s="99">
        <v>2026</v>
      </c>
      <c r="B594" s="100">
        <v>5</v>
      </c>
      <c r="C594" s="101">
        <v>46155</v>
      </c>
      <c r="D594" s="101" t="str">
        <f t="shared" si="123"/>
        <v>PPS00004339Таш.Обл_Шахло опа</v>
      </c>
      <c r="E594" s="99" t="s">
        <v>1112</v>
      </c>
      <c r="F594" s="102" t="s">
        <v>463</v>
      </c>
      <c r="G594" s="102" t="s">
        <v>464</v>
      </c>
      <c r="H594" s="99" t="s">
        <v>255</v>
      </c>
      <c r="I594" s="102" t="s">
        <v>479</v>
      </c>
      <c r="J594" s="102" t="s">
        <v>46</v>
      </c>
      <c r="K594" s="103">
        <v>40</v>
      </c>
      <c r="L594" s="104">
        <v>64700</v>
      </c>
      <c r="M594" s="104">
        <v>2588000</v>
      </c>
      <c r="N594" s="39">
        <f t="shared" si="129"/>
        <v>800000</v>
      </c>
      <c r="O594" s="107">
        <f>+M594*$O$1</f>
        <v>465840</v>
      </c>
      <c r="P594" s="108">
        <f>+N594+O594</f>
        <v>1265840</v>
      </c>
      <c r="Q594" s="39">
        <v>33</v>
      </c>
      <c r="R594" s="39">
        <f t="shared" si="124"/>
        <v>854040</v>
      </c>
      <c r="S594" s="42">
        <f t="shared" si="125"/>
        <v>1733960</v>
      </c>
    </row>
    <row r="595" spans="1:19">
      <c r="A595" s="99">
        <v>2026</v>
      </c>
      <c r="B595" s="100">
        <v>5</v>
      </c>
      <c r="C595" s="101">
        <v>46155</v>
      </c>
      <c r="D595" s="101" t="str">
        <f t="shared" si="123"/>
        <v>PPS00004342Кашкадарьё_Феруз ака</v>
      </c>
      <c r="E595" s="99" t="s">
        <v>1113</v>
      </c>
      <c r="F595" s="102" t="s">
        <v>501</v>
      </c>
      <c r="G595" s="102" t="s">
        <v>502</v>
      </c>
      <c r="H595" s="99" t="s">
        <v>255</v>
      </c>
      <c r="I595" s="102" t="s">
        <v>602</v>
      </c>
      <c r="J595" s="102" t="s">
        <v>38</v>
      </c>
      <c r="K595" s="103">
        <v>20</v>
      </c>
      <c r="L595" s="104">
        <v>65000</v>
      </c>
      <c r="M595" s="104">
        <v>1300000</v>
      </c>
      <c r="N595" s="39">
        <f>+K595*20000</f>
        <v>400000</v>
      </c>
      <c r="O595" s="107">
        <f>+M595*$O$1</f>
        <v>234000</v>
      </c>
      <c r="P595" s="108">
        <f>+N595+O595</f>
        <v>634000</v>
      </c>
      <c r="Q595" s="39">
        <v>100</v>
      </c>
      <c r="R595" s="39">
        <f t="shared" si="124"/>
        <v>1300000</v>
      </c>
      <c r="S595" s="42">
        <f t="shared" si="125"/>
        <v>0</v>
      </c>
    </row>
    <row r="596" spans="1:19">
      <c r="A596" s="99">
        <v>2026</v>
      </c>
      <c r="B596" s="100">
        <v>5</v>
      </c>
      <c r="C596" s="101">
        <v>46156</v>
      </c>
      <c r="D596" s="101" t="str">
        <f t="shared" si="123"/>
        <v>PPS00004349Сирдарьё_Зилола Опа</v>
      </c>
      <c r="E596" s="99" t="s">
        <v>1114</v>
      </c>
      <c r="F596" s="102" t="s">
        <v>736</v>
      </c>
      <c r="G596" s="102" t="s">
        <v>704</v>
      </c>
      <c r="H596" s="99" t="s">
        <v>255</v>
      </c>
      <c r="I596" s="102" t="s">
        <v>737</v>
      </c>
      <c r="J596" s="102" t="s">
        <v>46</v>
      </c>
      <c r="K596" s="103">
        <v>25</v>
      </c>
      <c r="L596" s="104">
        <v>64700</v>
      </c>
      <c r="M596" s="104">
        <v>1617500</v>
      </c>
      <c r="N596" s="39">
        <f>20000*K596</f>
        <v>500000</v>
      </c>
      <c r="O596" s="107">
        <f>+M596*$O$1</f>
        <v>291150</v>
      </c>
      <c r="P596" s="108">
        <f>+N596+O596</f>
        <v>791150</v>
      </c>
      <c r="Q596" s="39">
        <v>50</v>
      </c>
      <c r="R596" s="39">
        <f t="shared" si="124"/>
        <v>808750</v>
      </c>
      <c r="S596" s="42">
        <f t="shared" si="125"/>
        <v>808750</v>
      </c>
    </row>
    <row r="597" spans="1:19">
      <c r="A597" s="99">
        <v>2026</v>
      </c>
      <c r="B597" s="100">
        <v>5</v>
      </c>
      <c r="C597" s="101">
        <v>46156</v>
      </c>
      <c r="D597" s="101" t="str">
        <f t="shared" si="123"/>
        <v>PPS00004358Самарканд_Хуршед ака 2</v>
      </c>
      <c r="E597" s="99" t="s">
        <v>1115</v>
      </c>
      <c r="F597" s="102" t="s">
        <v>912</v>
      </c>
      <c r="G597" s="102" t="s">
        <v>871</v>
      </c>
      <c r="H597" s="99" t="s">
        <v>255</v>
      </c>
      <c r="I597" s="102" t="s">
        <v>913</v>
      </c>
      <c r="J597" s="102" t="s">
        <v>41</v>
      </c>
      <c r="K597" s="103">
        <v>100</v>
      </c>
      <c r="L597" s="104">
        <v>90000</v>
      </c>
      <c r="M597" s="104">
        <v>9000000</v>
      </c>
      <c r="N597" s="39">
        <f>+K597*25000</f>
        <v>2500000</v>
      </c>
      <c r="O597" s="107">
        <f>+M597*$O$1</f>
        <v>1620000</v>
      </c>
      <c r="P597" s="108">
        <f>+N597+O597</f>
        <v>4120000</v>
      </c>
      <c r="Q597" s="39">
        <v>100</v>
      </c>
      <c r="R597" s="39">
        <f t="shared" si="124"/>
        <v>9000000</v>
      </c>
      <c r="S597" s="42">
        <f t="shared" si="125"/>
        <v>0</v>
      </c>
    </row>
    <row r="598" spans="1:19">
      <c r="A598" s="99">
        <v>2026</v>
      </c>
      <c r="B598" s="100">
        <v>5</v>
      </c>
      <c r="C598" s="101">
        <v>46156</v>
      </c>
      <c r="D598" s="101" t="str">
        <f t="shared" si="123"/>
        <v>PPS00004426Хоразм_Улугбек ака</v>
      </c>
      <c r="E598" s="99" t="s">
        <v>1116</v>
      </c>
      <c r="F598" s="102" t="s">
        <v>1089</v>
      </c>
      <c r="G598" s="102" t="s">
        <v>864</v>
      </c>
      <c r="H598" s="99" t="s">
        <v>255</v>
      </c>
      <c r="I598" s="102" t="s">
        <v>865</v>
      </c>
      <c r="J598" s="102" t="s">
        <v>38</v>
      </c>
      <c r="K598" s="103">
        <v>100</v>
      </c>
      <c r="L598" s="104">
        <v>65000</v>
      </c>
      <c r="M598" s="104">
        <v>6500000</v>
      </c>
      <c r="N598" s="39">
        <f>+K598*20000</f>
        <v>2000000</v>
      </c>
      <c r="O598" s="107">
        <f>+M598*$O$1</f>
        <v>1170000</v>
      </c>
      <c r="P598" s="108">
        <f>+N598+O598</f>
        <v>3170000</v>
      </c>
      <c r="Q598" s="39">
        <v>51</v>
      </c>
      <c r="R598" s="39">
        <f t="shared" si="124"/>
        <v>3315000</v>
      </c>
      <c r="S598" s="42">
        <f t="shared" si="125"/>
        <v>3185000</v>
      </c>
    </row>
    <row r="599" spans="1:19">
      <c r="A599" s="99">
        <v>2026</v>
      </c>
      <c r="B599" s="100">
        <v>5</v>
      </c>
      <c r="C599" s="101">
        <v>46157</v>
      </c>
      <c r="D599" s="101" t="str">
        <f t="shared" si="123"/>
        <v>PPS00004439Самарканд_Хуршед ака 2</v>
      </c>
      <c r="E599" s="99" t="s">
        <v>1117</v>
      </c>
      <c r="F599" s="102" t="s">
        <v>920</v>
      </c>
      <c r="G599" s="102" t="s">
        <v>871</v>
      </c>
      <c r="H599" s="99" t="s">
        <v>255</v>
      </c>
      <c r="I599" s="102" t="s">
        <v>1118</v>
      </c>
      <c r="J599" s="102" t="s">
        <v>466</v>
      </c>
      <c r="K599" s="103">
        <v>20</v>
      </c>
      <c r="L599" s="104">
        <v>120000</v>
      </c>
      <c r="M599" s="104">
        <v>2400000</v>
      </c>
      <c r="N599" s="39">
        <f>+K599*35000</f>
        <v>700000</v>
      </c>
      <c r="O599" s="107">
        <f>+M599*$O$1</f>
        <v>432000</v>
      </c>
      <c r="P599" s="108">
        <f>+N599+O599</f>
        <v>1132000</v>
      </c>
      <c r="Q599" s="39">
        <v>50</v>
      </c>
      <c r="R599" s="39">
        <f t="shared" si="124"/>
        <v>1200000</v>
      </c>
      <c r="S599" s="42">
        <f t="shared" si="125"/>
        <v>1200000</v>
      </c>
    </row>
    <row r="600" spans="1:19">
      <c r="A600" s="99">
        <v>2026</v>
      </c>
      <c r="B600" s="100">
        <v>5</v>
      </c>
      <c r="C600" s="101">
        <v>46157</v>
      </c>
      <c r="D600" s="101" t="str">
        <f t="shared" si="123"/>
        <v>PPS00004439Самарканд_Хуршед ака 2</v>
      </c>
      <c r="E600" s="99" t="s">
        <v>1117</v>
      </c>
      <c r="F600" s="102" t="s">
        <v>920</v>
      </c>
      <c r="G600" s="102" t="s">
        <v>871</v>
      </c>
      <c r="H600" s="99" t="s">
        <v>255</v>
      </c>
      <c r="I600" s="102" t="s">
        <v>1118</v>
      </c>
      <c r="J600" s="102" t="s">
        <v>41</v>
      </c>
      <c r="K600" s="103">
        <v>20</v>
      </c>
      <c r="L600" s="104">
        <v>90000</v>
      </c>
      <c r="M600" s="104">
        <v>1800000</v>
      </c>
      <c r="N600" s="39">
        <f>+K600*25000</f>
        <v>500000</v>
      </c>
      <c r="O600" s="107">
        <f>+M600*$O$1</f>
        <v>324000</v>
      </c>
      <c r="P600" s="108">
        <f>+N600+O600</f>
        <v>824000</v>
      </c>
      <c r="Q600" s="39">
        <v>50</v>
      </c>
      <c r="R600" s="39">
        <f t="shared" si="124"/>
        <v>900000</v>
      </c>
      <c r="S600" s="42">
        <f t="shared" si="125"/>
        <v>900000</v>
      </c>
    </row>
    <row r="601" spans="1:19">
      <c r="A601" s="99">
        <v>2026</v>
      </c>
      <c r="B601" s="100">
        <v>5</v>
      </c>
      <c r="C601" s="101">
        <v>46157</v>
      </c>
      <c r="D601" s="101" t="str">
        <f t="shared" si="123"/>
        <v>PPS00004439Самарканд_Хуршед ака 2</v>
      </c>
      <c r="E601" s="99" t="s">
        <v>1117</v>
      </c>
      <c r="F601" s="102" t="s">
        <v>920</v>
      </c>
      <c r="G601" s="102" t="s">
        <v>871</v>
      </c>
      <c r="H601" s="99" t="s">
        <v>255</v>
      </c>
      <c r="I601" s="102" t="s">
        <v>1118</v>
      </c>
      <c r="J601" s="102" t="s">
        <v>38</v>
      </c>
      <c r="K601" s="103">
        <v>20</v>
      </c>
      <c r="L601" s="104">
        <v>65000</v>
      </c>
      <c r="M601" s="104">
        <v>1300000</v>
      </c>
      <c r="N601" s="39">
        <f>+K601*20000</f>
        <v>400000</v>
      </c>
      <c r="O601" s="107">
        <f>+M601*$O$1</f>
        <v>234000</v>
      </c>
      <c r="P601" s="108">
        <f>+N601+O601</f>
        <v>634000</v>
      </c>
      <c r="Q601" s="39">
        <v>50</v>
      </c>
      <c r="R601" s="39">
        <f t="shared" si="124"/>
        <v>650000</v>
      </c>
      <c r="S601" s="42">
        <f t="shared" si="125"/>
        <v>650000</v>
      </c>
    </row>
    <row r="602" spans="1:19">
      <c r="A602" s="99">
        <v>2026</v>
      </c>
      <c r="B602" s="100">
        <v>5</v>
      </c>
      <c r="C602" s="101">
        <v>46157</v>
      </c>
      <c r="D602" s="101" t="str">
        <f t="shared" si="123"/>
        <v>PPS00004443Самарканд_Хуршед ака 3</v>
      </c>
      <c r="E602" s="99" t="s">
        <v>1119</v>
      </c>
      <c r="F602" s="102" t="s">
        <v>886</v>
      </c>
      <c r="G602" s="102" t="s">
        <v>887</v>
      </c>
      <c r="H602" s="99" t="s">
        <v>255</v>
      </c>
      <c r="I602" s="102" t="s">
        <v>1055</v>
      </c>
      <c r="J602" s="102" t="s">
        <v>46</v>
      </c>
      <c r="K602" s="103">
        <v>50</v>
      </c>
      <c r="L602" s="104">
        <v>64700</v>
      </c>
      <c r="M602" s="104">
        <v>3235000</v>
      </c>
      <c r="N602" s="39">
        <f>20000*K602</f>
        <v>1000000</v>
      </c>
      <c r="O602" s="107">
        <f>+M602*$O$1</f>
        <v>582300</v>
      </c>
      <c r="P602" s="108">
        <f>+N602+O602</f>
        <v>1582300</v>
      </c>
      <c r="Q602" s="39">
        <v>50</v>
      </c>
      <c r="R602" s="39">
        <f t="shared" si="124"/>
        <v>1617500</v>
      </c>
      <c r="S602" s="42">
        <f t="shared" si="125"/>
        <v>1617500</v>
      </c>
    </row>
    <row r="603" spans="1:19">
      <c r="A603" s="99">
        <v>2026</v>
      </c>
      <c r="B603" s="100">
        <v>5</v>
      </c>
      <c r="C603" s="101">
        <v>46157</v>
      </c>
      <c r="D603" s="101" t="str">
        <f t="shared" si="123"/>
        <v>PPS00004445Карши_Дилсўз опа</v>
      </c>
      <c r="E603" s="99" t="s">
        <v>1120</v>
      </c>
      <c r="F603" s="102" t="s">
        <v>1121</v>
      </c>
      <c r="G603" s="102" t="s">
        <v>1027</v>
      </c>
      <c r="H603" s="99" t="s">
        <v>255</v>
      </c>
      <c r="I603" s="102" t="s">
        <v>602</v>
      </c>
      <c r="J603" s="102" t="s">
        <v>41</v>
      </c>
      <c r="K603" s="103">
        <v>41</v>
      </c>
      <c r="L603" s="104">
        <v>90000</v>
      </c>
      <c r="M603" s="104">
        <v>3690000</v>
      </c>
      <c r="N603" s="39">
        <f t="shared" ref="N603:N606" si="130">+K603*25000</f>
        <v>1025000</v>
      </c>
      <c r="O603" s="107">
        <f>+M603*$O$1</f>
        <v>664200</v>
      </c>
      <c r="P603" s="108">
        <f>+N603+O603</f>
        <v>1689200</v>
      </c>
      <c r="Q603" s="39">
        <v>50</v>
      </c>
      <c r="R603" s="39">
        <f t="shared" si="124"/>
        <v>1845000</v>
      </c>
      <c r="S603" s="42">
        <f t="shared" si="125"/>
        <v>1845000</v>
      </c>
    </row>
    <row r="604" spans="1:19">
      <c r="A604" s="99">
        <v>2026</v>
      </c>
      <c r="B604" s="100">
        <v>5</v>
      </c>
      <c r="C604" s="101">
        <v>46157</v>
      </c>
      <c r="D604" s="101" t="str">
        <f t="shared" si="123"/>
        <v>PPS00004447Шахрисабз_Хуршид ака(Сам)</v>
      </c>
      <c r="E604" s="99" t="s">
        <v>1122</v>
      </c>
      <c r="F604" s="102" t="s">
        <v>1047</v>
      </c>
      <c r="G604" s="102" t="s">
        <v>1001</v>
      </c>
      <c r="H604" s="99" t="s">
        <v>255</v>
      </c>
      <c r="I604" s="102" t="s">
        <v>1123</v>
      </c>
      <c r="J604" s="102" t="s">
        <v>41</v>
      </c>
      <c r="K604" s="103">
        <v>10</v>
      </c>
      <c r="L604" s="104">
        <v>90000</v>
      </c>
      <c r="M604" s="104">
        <v>900000</v>
      </c>
      <c r="N604" s="39">
        <f t="shared" si="130"/>
        <v>250000</v>
      </c>
      <c r="O604" s="107">
        <f>+M604*$O$1</f>
        <v>162000</v>
      </c>
      <c r="P604" s="108">
        <f>+N604+O604</f>
        <v>412000</v>
      </c>
      <c r="Q604" s="39">
        <v>50</v>
      </c>
      <c r="R604" s="39">
        <f t="shared" si="124"/>
        <v>450000</v>
      </c>
      <c r="S604" s="42">
        <f t="shared" si="125"/>
        <v>450000</v>
      </c>
    </row>
    <row r="605" spans="1:19">
      <c r="A605" s="99">
        <v>2026</v>
      </c>
      <c r="B605" s="100">
        <v>5</v>
      </c>
      <c r="C605" s="101">
        <v>46157</v>
      </c>
      <c r="D605" s="101" t="str">
        <f t="shared" si="123"/>
        <v>PPS00004448Шахрисабз_Хуршид ака(Сам)</v>
      </c>
      <c r="E605" s="99" t="s">
        <v>1124</v>
      </c>
      <c r="F605" s="102" t="s">
        <v>1125</v>
      </c>
      <c r="G605" s="102" t="s">
        <v>1001</v>
      </c>
      <c r="H605" s="99" t="s">
        <v>255</v>
      </c>
      <c r="I605" s="102" t="s">
        <v>302</v>
      </c>
      <c r="J605" s="102" t="s">
        <v>41</v>
      </c>
      <c r="K605" s="103">
        <v>5</v>
      </c>
      <c r="L605" s="104">
        <v>90000</v>
      </c>
      <c r="M605" s="104">
        <v>450000</v>
      </c>
      <c r="N605" s="39">
        <f t="shared" si="130"/>
        <v>125000</v>
      </c>
      <c r="O605" s="107">
        <f>+M605*$O$1</f>
        <v>81000</v>
      </c>
      <c r="P605" s="108">
        <f>+N605+O605</f>
        <v>206000</v>
      </c>
      <c r="Q605" s="39">
        <v>50</v>
      </c>
      <c r="R605" s="39">
        <f t="shared" si="124"/>
        <v>225000</v>
      </c>
      <c r="S605" s="42">
        <f t="shared" si="125"/>
        <v>225000</v>
      </c>
    </row>
    <row r="606" spans="1:19">
      <c r="A606" s="99">
        <v>2026</v>
      </c>
      <c r="B606" s="100">
        <v>5</v>
      </c>
      <c r="C606" s="101">
        <v>46157</v>
      </c>
      <c r="D606" s="101" t="str">
        <f t="shared" si="123"/>
        <v>PPS00004471Бухоро_Нафосат опа</v>
      </c>
      <c r="E606" s="99" t="s">
        <v>1126</v>
      </c>
      <c r="F606" s="102" t="s">
        <v>1127</v>
      </c>
      <c r="G606" s="102" t="s">
        <v>894</v>
      </c>
      <c r="H606" s="99" t="s">
        <v>255</v>
      </c>
      <c r="I606" s="102" t="s">
        <v>665</v>
      </c>
      <c r="J606" s="102" t="s">
        <v>41</v>
      </c>
      <c r="K606" s="103">
        <v>50</v>
      </c>
      <c r="L606" s="104">
        <v>90000</v>
      </c>
      <c r="M606" s="104">
        <v>4500000</v>
      </c>
      <c r="N606" s="39">
        <f t="shared" si="130"/>
        <v>1250000</v>
      </c>
      <c r="O606" s="107">
        <f>+M606*$O$1</f>
        <v>810000</v>
      </c>
      <c r="P606" s="108">
        <f>+N606+O606</f>
        <v>2060000</v>
      </c>
      <c r="Q606" s="39">
        <v>0</v>
      </c>
      <c r="R606" s="39">
        <f t="shared" si="124"/>
        <v>0</v>
      </c>
      <c r="S606" s="42">
        <f t="shared" si="125"/>
        <v>4500000</v>
      </c>
    </row>
    <row r="607" spans="1:19">
      <c r="A607" s="99">
        <v>2026</v>
      </c>
      <c r="B607" s="100">
        <v>5</v>
      </c>
      <c r="C607" s="101">
        <v>46157</v>
      </c>
      <c r="D607" s="101" t="str">
        <f t="shared" si="123"/>
        <v>PPS00004477Таш.Обл_Шахло опа</v>
      </c>
      <c r="E607" s="99" t="s">
        <v>1128</v>
      </c>
      <c r="F607" s="102" t="s">
        <v>547</v>
      </c>
      <c r="G607" s="102" t="s">
        <v>464</v>
      </c>
      <c r="H607" s="99" t="s">
        <v>255</v>
      </c>
      <c r="I607" s="102" t="s">
        <v>1030</v>
      </c>
      <c r="J607" s="102" t="s">
        <v>466</v>
      </c>
      <c r="K607" s="103">
        <v>30</v>
      </c>
      <c r="L607" s="104">
        <v>120000</v>
      </c>
      <c r="M607" s="104">
        <v>3600000</v>
      </c>
      <c r="N607" s="39">
        <f>+K607*35000</f>
        <v>1050000</v>
      </c>
      <c r="O607" s="107">
        <f>+M607*$O$1</f>
        <v>648000</v>
      </c>
      <c r="P607" s="108">
        <f>+N607+O607</f>
        <v>1698000</v>
      </c>
      <c r="Q607" s="39">
        <v>100</v>
      </c>
      <c r="R607" s="39">
        <f t="shared" si="124"/>
        <v>3600000</v>
      </c>
      <c r="S607" s="42">
        <f t="shared" si="125"/>
        <v>0</v>
      </c>
    </row>
    <row r="608" spans="1:19">
      <c r="A608" s="99">
        <v>2026</v>
      </c>
      <c r="B608" s="100">
        <v>5</v>
      </c>
      <c r="C608" s="101">
        <v>46157</v>
      </c>
      <c r="D608" s="101" t="str">
        <f t="shared" si="123"/>
        <v>PPS00004490Самарканд_Хуршед ака 2</v>
      </c>
      <c r="E608" s="99" t="s">
        <v>1129</v>
      </c>
      <c r="F608" s="102" t="s">
        <v>912</v>
      </c>
      <c r="G608" s="102" t="s">
        <v>871</v>
      </c>
      <c r="H608" s="99" t="s">
        <v>255</v>
      </c>
      <c r="I608" s="102" t="s">
        <v>944</v>
      </c>
      <c r="J608" s="102" t="s">
        <v>41</v>
      </c>
      <c r="K608" s="103">
        <v>30</v>
      </c>
      <c r="L608" s="104">
        <v>90000</v>
      </c>
      <c r="M608" s="104">
        <v>2700000</v>
      </c>
      <c r="N608" s="39">
        <f t="shared" ref="N608:N609" si="131">+K608*25000</f>
        <v>750000</v>
      </c>
      <c r="O608" s="107">
        <f>+M608*$O$1</f>
        <v>486000</v>
      </c>
      <c r="P608" s="108">
        <f>+N608+O608</f>
        <v>1236000</v>
      </c>
      <c r="Q608" s="39">
        <v>50</v>
      </c>
      <c r="R608" s="39">
        <f t="shared" si="124"/>
        <v>1350000</v>
      </c>
      <c r="S608" s="42">
        <f t="shared" si="125"/>
        <v>1350000</v>
      </c>
    </row>
    <row r="609" spans="1:19">
      <c r="A609" s="99">
        <v>2026</v>
      </c>
      <c r="B609" s="100">
        <v>5</v>
      </c>
      <c r="C609" s="101">
        <v>46157</v>
      </c>
      <c r="D609" s="101" t="str">
        <f t="shared" si="123"/>
        <v>PPS00004499Бухоро_Нафосат опа</v>
      </c>
      <c r="E609" s="99" t="s">
        <v>1130</v>
      </c>
      <c r="F609" s="102" t="s">
        <v>893</v>
      </c>
      <c r="G609" s="102" t="s">
        <v>894</v>
      </c>
      <c r="H609" s="99" t="s">
        <v>255</v>
      </c>
      <c r="I609" s="102" t="s">
        <v>635</v>
      </c>
      <c r="J609" s="102" t="s">
        <v>41</v>
      </c>
      <c r="K609" s="103">
        <v>100</v>
      </c>
      <c r="L609" s="104">
        <v>90000</v>
      </c>
      <c r="M609" s="104">
        <v>9000000</v>
      </c>
      <c r="N609" s="39">
        <f t="shared" si="131"/>
        <v>2500000</v>
      </c>
      <c r="O609" s="107">
        <f>+M609*$O$1</f>
        <v>1620000</v>
      </c>
      <c r="P609" s="108">
        <f>+N609+O609</f>
        <v>4120000</v>
      </c>
      <c r="Q609" s="39">
        <v>44</v>
      </c>
      <c r="R609" s="39">
        <f t="shared" si="124"/>
        <v>3960000</v>
      </c>
      <c r="S609" s="42">
        <f t="shared" si="125"/>
        <v>5040000</v>
      </c>
    </row>
    <row r="610" spans="1:19">
      <c r="A610" s="99">
        <v>2026</v>
      </c>
      <c r="B610" s="100">
        <v>5</v>
      </c>
      <c r="C610" s="101">
        <v>46157</v>
      </c>
      <c r="D610" s="101" t="str">
        <f t="shared" si="123"/>
        <v>PPS00004500Самарканд_Хуршед ака 2</v>
      </c>
      <c r="E610" s="99" t="s">
        <v>1131</v>
      </c>
      <c r="F610" s="102" t="s">
        <v>271</v>
      </c>
      <c r="G610" s="102" t="s">
        <v>871</v>
      </c>
      <c r="H610" s="99" t="s">
        <v>255</v>
      </c>
      <c r="I610" s="102" t="s">
        <v>917</v>
      </c>
      <c r="J610" s="102" t="s">
        <v>38</v>
      </c>
      <c r="K610" s="103">
        <v>50</v>
      </c>
      <c r="L610" s="104">
        <v>65000</v>
      </c>
      <c r="M610" s="104">
        <v>3250000</v>
      </c>
      <c r="N610" s="39">
        <f t="shared" ref="N610:N611" si="132">+K610*20000</f>
        <v>1000000</v>
      </c>
      <c r="O610" s="107">
        <f>+M610*$O$1</f>
        <v>585000</v>
      </c>
      <c r="P610" s="108">
        <f>+N610+O610</f>
        <v>1585000</v>
      </c>
      <c r="Q610" s="39">
        <v>53</v>
      </c>
      <c r="R610" s="39">
        <f t="shared" si="124"/>
        <v>1722500</v>
      </c>
      <c r="S610" s="42">
        <f t="shared" si="125"/>
        <v>1527500</v>
      </c>
    </row>
    <row r="611" spans="1:19">
      <c r="A611" s="99">
        <v>2026</v>
      </c>
      <c r="B611" s="100">
        <v>5</v>
      </c>
      <c r="C611" s="101">
        <v>46157</v>
      </c>
      <c r="D611" s="101" t="str">
        <f t="shared" si="123"/>
        <v>PPS00004505Таш.Обл_Ноила опа</v>
      </c>
      <c r="E611" s="99" t="s">
        <v>1132</v>
      </c>
      <c r="F611" s="102" t="s">
        <v>1100</v>
      </c>
      <c r="G611" s="102" t="s">
        <v>1101</v>
      </c>
      <c r="H611" s="99" t="s">
        <v>255</v>
      </c>
      <c r="I611" s="102" t="s">
        <v>498</v>
      </c>
      <c r="J611" s="102" t="s">
        <v>38</v>
      </c>
      <c r="K611" s="103">
        <v>50</v>
      </c>
      <c r="L611" s="104">
        <v>65000</v>
      </c>
      <c r="M611" s="104">
        <v>3250000</v>
      </c>
      <c r="N611" s="39">
        <f t="shared" si="132"/>
        <v>1000000</v>
      </c>
      <c r="O611" s="107">
        <f>+M611*$O$1</f>
        <v>585000</v>
      </c>
      <c r="P611" s="108">
        <f>+N611+O611</f>
        <v>1585000</v>
      </c>
      <c r="Q611" s="39">
        <v>0</v>
      </c>
      <c r="R611" s="39">
        <f t="shared" si="124"/>
        <v>0</v>
      </c>
      <c r="S611" s="42">
        <f t="shared" si="125"/>
        <v>3250000</v>
      </c>
    </row>
    <row r="612" spans="1:19">
      <c r="A612" s="99">
        <v>2026</v>
      </c>
      <c r="B612" s="100">
        <v>5</v>
      </c>
      <c r="C612" s="101">
        <v>46157</v>
      </c>
      <c r="D612" s="101" t="str">
        <f t="shared" si="123"/>
        <v>PPS00004508Самарканд_Хуршед ака 2</v>
      </c>
      <c r="E612" s="99" t="s">
        <v>1133</v>
      </c>
      <c r="F612" s="102" t="s">
        <v>899</v>
      </c>
      <c r="G612" s="102" t="s">
        <v>871</v>
      </c>
      <c r="H612" s="99" t="s">
        <v>255</v>
      </c>
      <c r="I612" s="102" t="s">
        <v>1134</v>
      </c>
      <c r="J612" s="102" t="s">
        <v>466</v>
      </c>
      <c r="K612" s="103">
        <v>10</v>
      </c>
      <c r="L612" s="104">
        <v>120000</v>
      </c>
      <c r="M612" s="104">
        <v>1200000</v>
      </c>
      <c r="N612" s="39">
        <f>+K612*35000</f>
        <v>350000</v>
      </c>
      <c r="O612" s="107">
        <f>+M612*$O$1</f>
        <v>216000</v>
      </c>
      <c r="P612" s="108">
        <f>+N612+O612</f>
        <v>566000</v>
      </c>
      <c r="Q612" s="39">
        <v>50</v>
      </c>
      <c r="R612" s="39">
        <f t="shared" si="124"/>
        <v>600000</v>
      </c>
      <c r="S612" s="42">
        <f t="shared" si="125"/>
        <v>600000</v>
      </c>
    </row>
    <row r="613" spans="1:19">
      <c r="A613" s="99">
        <v>2026</v>
      </c>
      <c r="B613" s="100">
        <v>5</v>
      </c>
      <c r="C613" s="101">
        <v>46157</v>
      </c>
      <c r="D613" s="101" t="str">
        <f t="shared" si="123"/>
        <v>PPS00004508Самарканд_Хуршед ака 2</v>
      </c>
      <c r="E613" s="99" t="s">
        <v>1133</v>
      </c>
      <c r="F613" s="102" t="s">
        <v>899</v>
      </c>
      <c r="G613" s="102" t="s">
        <v>871</v>
      </c>
      <c r="H613" s="99" t="s">
        <v>255</v>
      </c>
      <c r="I613" s="102" t="s">
        <v>1134</v>
      </c>
      <c r="J613" s="102" t="s">
        <v>38</v>
      </c>
      <c r="K613" s="103">
        <v>10</v>
      </c>
      <c r="L613" s="104">
        <v>65000</v>
      </c>
      <c r="M613" s="104">
        <v>650000</v>
      </c>
      <c r="N613" s="39">
        <f>+K613*20000</f>
        <v>200000</v>
      </c>
      <c r="O613" s="107">
        <f>+M613*$O$1</f>
        <v>117000</v>
      </c>
      <c r="P613" s="108">
        <f>+N613+O613</f>
        <v>317000</v>
      </c>
      <c r="Q613" s="39">
        <v>50</v>
      </c>
      <c r="R613" s="39">
        <f t="shared" si="124"/>
        <v>325000</v>
      </c>
      <c r="S613" s="42">
        <f t="shared" si="125"/>
        <v>325000</v>
      </c>
    </row>
    <row r="614" spans="1:19">
      <c r="A614" s="99">
        <v>2026</v>
      </c>
      <c r="B614" s="100">
        <v>5</v>
      </c>
      <c r="C614" s="101">
        <v>46157</v>
      </c>
      <c r="D614" s="101" t="str">
        <f t="shared" si="123"/>
        <v>PPS00004508Самарканд_Хуршед ака 2</v>
      </c>
      <c r="E614" s="99" t="s">
        <v>1133</v>
      </c>
      <c r="F614" s="102" t="s">
        <v>899</v>
      </c>
      <c r="G614" s="102" t="s">
        <v>871</v>
      </c>
      <c r="H614" s="99" t="s">
        <v>255</v>
      </c>
      <c r="I614" s="102" t="s">
        <v>1134</v>
      </c>
      <c r="J614" s="102" t="s">
        <v>41</v>
      </c>
      <c r="K614" s="103">
        <v>10</v>
      </c>
      <c r="L614" s="104">
        <v>90000</v>
      </c>
      <c r="M614" s="104">
        <v>900000</v>
      </c>
      <c r="N614" s="39">
        <f>+K614*25000</f>
        <v>250000</v>
      </c>
      <c r="O614" s="107">
        <f>+M614*$O$1</f>
        <v>162000</v>
      </c>
      <c r="P614" s="108">
        <f>+N614+O614</f>
        <v>412000</v>
      </c>
      <c r="Q614" s="39">
        <v>50</v>
      </c>
      <c r="R614" s="39">
        <f t="shared" si="124"/>
        <v>450000</v>
      </c>
      <c r="S614" s="42">
        <f t="shared" si="125"/>
        <v>450000</v>
      </c>
    </row>
    <row r="615" spans="1:19">
      <c r="A615" s="99">
        <v>2026</v>
      </c>
      <c r="B615" s="100">
        <v>5</v>
      </c>
      <c r="C615" s="101">
        <v>46157</v>
      </c>
      <c r="D615" s="101" t="str">
        <f t="shared" si="123"/>
        <v>PPS00004515Сурхондарьё_Анвар ака</v>
      </c>
      <c r="E615" s="99" t="s">
        <v>1135</v>
      </c>
      <c r="F615" s="102" t="s">
        <v>874</v>
      </c>
      <c r="G615" s="102" t="s">
        <v>875</v>
      </c>
      <c r="H615" s="99" t="s">
        <v>255</v>
      </c>
      <c r="I615" s="102" t="s">
        <v>1136</v>
      </c>
      <c r="J615" s="102" t="s">
        <v>38</v>
      </c>
      <c r="K615" s="103">
        <v>18</v>
      </c>
      <c r="L615" s="104">
        <v>65000</v>
      </c>
      <c r="M615" s="104">
        <v>1170000</v>
      </c>
      <c r="N615" s="39">
        <f>+K615*20000</f>
        <v>360000</v>
      </c>
      <c r="O615" s="107">
        <f>+M615*$O$1</f>
        <v>210600</v>
      </c>
      <c r="P615" s="108">
        <f>+N615+O615</f>
        <v>570600</v>
      </c>
      <c r="Q615" s="39">
        <v>100</v>
      </c>
      <c r="R615" s="39">
        <f t="shared" si="124"/>
        <v>1170000</v>
      </c>
      <c r="S615" s="42">
        <f t="shared" si="125"/>
        <v>0</v>
      </c>
    </row>
    <row r="616" spans="1:19">
      <c r="A616" s="99">
        <v>2025</v>
      </c>
      <c r="B616" s="100">
        <v>3</v>
      </c>
      <c r="C616" s="101">
        <v>45721</v>
      </c>
      <c r="D616" s="101" t="str">
        <f t="shared" si="123"/>
        <v>GB000000662Сирдарьё_Фотима Опа</v>
      </c>
      <c r="E616" s="99" t="s">
        <v>15</v>
      </c>
      <c r="F616" s="102" t="s">
        <v>16</v>
      </c>
      <c r="G616" s="102" t="s">
        <v>17</v>
      </c>
      <c r="H616" s="99" t="s">
        <v>19</v>
      </c>
      <c r="I616" s="102" t="s">
        <v>20</v>
      </c>
      <c r="J616" s="102" t="s">
        <v>21</v>
      </c>
      <c r="K616" s="103">
        <v>20</v>
      </c>
      <c r="L616" s="104">
        <v>36955.08</v>
      </c>
      <c r="M616" s="104">
        <v>739101.6</v>
      </c>
      <c r="N616" s="39">
        <f t="shared" ref="N616:N621" si="133">+K616*15000</f>
        <v>300000</v>
      </c>
      <c r="O616" s="107">
        <f>+M616*$O$1</f>
        <v>133038.288</v>
      </c>
      <c r="P616" s="108">
        <f>+N616+O616</f>
        <v>433038.288</v>
      </c>
      <c r="Q616" s="39">
        <v>100</v>
      </c>
      <c r="R616" s="39">
        <f t="shared" si="124"/>
        <v>739101.6</v>
      </c>
      <c r="S616" s="42">
        <f t="shared" si="125"/>
        <v>0</v>
      </c>
    </row>
    <row r="617" spans="1:19">
      <c r="A617" s="99">
        <v>2025</v>
      </c>
      <c r="B617" s="100">
        <v>3</v>
      </c>
      <c r="C617" s="101">
        <v>45728</v>
      </c>
      <c r="D617" s="101" t="str">
        <f t="shared" si="123"/>
        <v>GB000000733Сирдарьё_Фотима Опа</v>
      </c>
      <c r="E617" s="99" t="s">
        <v>22</v>
      </c>
      <c r="F617" s="102" t="s">
        <v>16</v>
      </c>
      <c r="G617" s="102" t="s">
        <v>17</v>
      </c>
      <c r="H617" s="99" t="s">
        <v>19</v>
      </c>
      <c r="I617" s="102" t="s">
        <v>23</v>
      </c>
      <c r="J617" s="102" t="s">
        <v>21</v>
      </c>
      <c r="K617" s="103">
        <v>30</v>
      </c>
      <c r="L617" s="104">
        <v>36955.08</v>
      </c>
      <c r="M617" s="104">
        <v>1108652.3999999999</v>
      </c>
      <c r="N617" s="39">
        <f t="shared" si="133"/>
        <v>450000</v>
      </c>
      <c r="O617" s="107">
        <f>+M617*$O$1</f>
        <v>199557.43199999997</v>
      </c>
      <c r="P617" s="108">
        <f>+N617+O617</f>
        <v>649557.43200000003</v>
      </c>
      <c r="Q617" s="39">
        <v>100</v>
      </c>
      <c r="R617" s="39">
        <f t="shared" si="124"/>
        <v>1108652.3999999999</v>
      </c>
      <c r="S617" s="42">
        <f t="shared" si="125"/>
        <v>0</v>
      </c>
    </row>
    <row r="618" spans="1:19">
      <c r="A618" s="99">
        <v>2025</v>
      </c>
      <c r="B618" s="100">
        <v>3</v>
      </c>
      <c r="C618" s="101">
        <v>45733</v>
      </c>
      <c r="D618" s="101" t="str">
        <f t="shared" si="123"/>
        <v>GB000000770Сирдарьё_Фотима Опа</v>
      </c>
      <c r="E618" s="99" t="s">
        <v>24</v>
      </c>
      <c r="F618" s="102" t="s">
        <v>16</v>
      </c>
      <c r="G618" s="102" t="s">
        <v>17</v>
      </c>
      <c r="H618" s="99" t="s">
        <v>19</v>
      </c>
      <c r="I618" s="102" t="s">
        <v>25</v>
      </c>
      <c r="J618" s="102" t="s">
        <v>21</v>
      </c>
      <c r="K618" s="103">
        <v>60</v>
      </c>
      <c r="L618" s="104">
        <v>36955.08</v>
      </c>
      <c r="M618" s="104">
        <v>2217304.7999999998</v>
      </c>
      <c r="N618" s="39">
        <f t="shared" si="133"/>
        <v>900000</v>
      </c>
      <c r="O618" s="107">
        <f>+M618*$O$1</f>
        <v>399114.86399999994</v>
      </c>
      <c r="P618" s="108">
        <f>+N618+O618</f>
        <v>1299114.8640000001</v>
      </c>
      <c r="Q618" s="39">
        <v>100</v>
      </c>
      <c r="R618" s="39">
        <f t="shared" si="124"/>
        <v>2217304.7999999998</v>
      </c>
      <c r="S618" s="42">
        <f t="shared" si="125"/>
        <v>0</v>
      </c>
    </row>
    <row r="619" spans="1:19">
      <c r="A619" s="99">
        <v>2025</v>
      </c>
      <c r="B619" s="100">
        <v>3</v>
      </c>
      <c r="C619" s="101">
        <v>45733</v>
      </c>
      <c r="D619" s="101" t="str">
        <f t="shared" si="123"/>
        <v>GB000000776Сирдарьё_Фотима Опа</v>
      </c>
      <c r="E619" s="99" t="s">
        <v>26</v>
      </c>
      <c r="F619" s="102" t="s">
        <v>16</v>
      </c>
      <c r="G619" s="102" t="s">
        <v>17</v>
      </c>
      <c r="H619" s="99" t="s">
        <v>19</v>
      </c>
      <c r="I619" s="102" t="s">
        <v>20</v>
      </c>
      <c r="J619" s="102" t="s">
        <v>21</v>
      </c>
      <c r="K619" s="103">
        <v>50</v>
      </c>
      <c r="L619" s="104">
        <v>36955.08</v>
      </c>
      <c r="M619" s="104">
        <v>1847754</v>
      </c>
      <c r="N619" s="39">
        <f t="shared" si="133"/>
        <v>750000</v>
      </c>
      <c r="O619" s="107">
        <f>+M619*$O$1</f>
        <v>332595.71999999997</v>
      </c>
      <c r="P619" s="108">
        <f>+N619+O619</f>
        <v>1082595.72</v>
      </c>
      <c r="Q619" s="39">
        <v>100</v>
      </c>
      <c r="R619" s="39">
        <f t="shared" si="124"/>
        <v>1847754</v>
      </c>
      <c r="S619" s="42">
        <f t="shared" si="125"/>
        <v>0</v>
      </c>
    </row>
    <row r="620" spans="1:19">
      <c r="A620" s="99">
        <v>2025</v>
      </c>
      <c r="B620" s="100">
        <v>4</v>
      </c>
      <c r="C620" s="101">
        <v>45749</v>
      </c>
      <c r="D620" s="101" t="str">
        <f t="shared" si="123"/>
        <v>GB000000922Сирдарьё_Фотима Опа</v>
      </c>
      <c r="E620" s="99" t="s">
        <v>27</v>
      </c>
      <c r="F620" s="102" t="s">
        <v>16</v>
      </c>
      <c r="G620" s="102" t="s">
        <v>17</v>
      </c>
      <c r="H620" s="99" t="s">
        <v>19</v>
      </c>
      <c r="I620" s="102" t="s">
        <v>28</v>
      </c>
      <c r="J620" s="102" t="s">
        <v>21</v>
      </c>
      <c r="K620" s="103">
        <v>43</v>
      </c>
      <c r="L620" s="104">
        <v>36955.08</v>
      </c>
      <c r="M620" s="104">
        <v>1589068.44</v>
      </c>
      <c r="N620" s="39">
        <f t="shared" si="133"/>
        <v>645000</v>
      </c>
      <c r="O620" s="107">
        <f>+M620*$O$1</f>
        <v>286032.31919999997</v>
      </c>
      <c r="P620" s="108">
        <f>+N620+O620</f>
        <v>931032.31920000003</v>
      </c>
      <c r="Q620" s="39">
        <v>100</v>
      </c>
      <c r="R620" s="39">
        <f t="shared" si="124"/>
        <v>1589068.44</v>
      </c>
      <c r="S620" s="42">
        <f t="shared" si="125"/>
        <v>0</v>
      </c>
    </row>
    <row r="621" spans="1:19">
      <c r="A621" s="99">
        <v>2025</v>
      </c>
      <c r="B621" s="100">
        <v>4</v>
      </c>
      <c r="C621" s="101">
        <v>45751</v>
      </c>
      <c r="D621" s="101" t="str">
        <f t="shared" si="123"/>
        <v>GB000000954Сирдарьё_Фотима Опа</v>
      </c>
      <c r="E621" s="99" t="s">
        <v>29</v>
      </c>
      <c r="F621" s="102" t="s">
        <v>16</v>
      </c>
      <c r="G621" s="102" t="s">
        <v>17</v>
      </c>
      <c r="H621" s="99" t="s">
        <v>19</v>
      </c>
      <c r="I621" s="102" t="s">
        <v>30</v>
      </c>
      <c r="J621" s="102" t="s">
        <v>21</v>
      </c>
      <c r="K621" s="103">
        <v>50</v>
      </c>
      <c r="L621" s="104">
        <v>36955.08</v>
      </c>
      <c r="M621" s="104">
        <v>1847754</v>
      </c>
      <c r="N621" s="39">
        <f t="shared" si="133"/>
        <v>750000</v>
      </c>
      <c r="O621" s="107">
        <f>+M621*$O$1</f>
        <v>332595.71999999997</v>
      </c>
      <c r="P621" s="108">
        <f>+N621+O621</f>
        <v>1082595.72</v>
      </c>
      <c r="Q621" s="39">
        <v>100</v>
      </c>
      <c r="R621" s="39">
        <f t="shared" si="124"/>
        <v>1847754</v>
      </c>
      <c r="S621" s="42">
        <f t="shared" si="125"/>
        <v>0</v>
      </c>
    </row>
    <row r="622" spans="1:19">
      <c r="A622" s="99">
        <v>2026</v>
      </c>
      <c r="B622" s="100">
        <v>1</v>
      </c>
      <c r="C622" s="101">
        <v>46035</v>
      </c>
      <c r="D622" s="101" t="str">
        <f t="shared" si="123"/>
        <v>GB000000070Ташкент_Дилнавоз опа</v>
      </c>
      <c r="E622" s="99" t="s">
        <v>34</v>
      </c>
      <c r="F622" s="102" t="s">
        <v>35</v>
      </c>
      <c r="G622" s="102" t="s">
        <v>36</v>
      </c>
      <c r="H622" s="99" t="s">
        <v>19</v>
      </c>
      <c r="I622" s="102" t="s">
        <v>37</v>
      </c>
      <c r="J622" s="102" t="s">
        <v>38</v>
      </c>
      <c r="K622" s="103">
        <v>10</v>
      </c>
      <c r="L622" s="104">
        <v>65000</v>
      </c>
      <c r="M622" s="104">
        <v>650000</v>
      </c>
      <c r="N622" s="39">
        <f>+K622*20000</f>
        <v>200000</v>
      </c>
      <c r="O622" s="107">
        <f>+M622*$O$1</f>
        <v>117000</v>
      </c>
      <c r="P622" s="108">
        <f>+N622+O622</f>
        <v>317000</v>
      </c>
      <c r="Q622" s="39">
        <v>100</v>
      </c>
      <c r="R622" s="39">
        <f t="shared" si="124"/>
        <v>650000</v>
      </c>
      <c r="S622" s="42">
        <f t="shared" si="125"/>
        <v>0</v>
      </c>
    </row>
    <row r="623" spans="1:19">
      <c r="A623" s="99">
        <v>2026</v>
      </c>
      <c r="B623" s="100">
        <v>1</v>
      </c>
      <c r="C623" s="101">
        <v>46036</v>
      </c>
      <c r="D623" s="101" t="str">
        <f t="shared" si="123"/>
        <v>GB000000085Ташкент_Дилнавоз опа</v>
      </c>
      <c r="E623" s="99" t="s">
        <v>39</v>
      </c>
      <c r="F623" s="102" t="s">
        <v>35</v>
      </c>
      <c r="G623" s="102" t="s">
        <v>36</v>
      </c>
      <c r="H623" s="99" t="s">
        <v>19</v>
      </c>
      <c r="I623" s="102" t="s">
        <v>40</v>
      </c>
      <c r="J623" s="102" t="s">
        <v>41</v>
      </c>
      <c r="K623" s="103">
        <v>40</v>
      </c>
      <c r="L623" s="104">
        <v>90000</v>
      </c>
      <c r="M623" s="104">
        <v>3600000</v>
      </c>
      <c r="N623" s="39">
        <f>+K623*25000</f>
        <v>1000000</v>
      </c>
      <c r="O623" s="107">
        <f>+M623*$O$1</f>
        <v>648000</v>
      </c>
      <c r="P623" s="108">
        <f>+N623+O623</f>
        <v>1648000</v>
      </c>
      <c r="Q623" s="39">
        <v>100</v>
      </c>
      <c r="R623" s="39">
        <f t="shared" si="124"/>
        <v>3600000</v>
      </c>
      <c r="S623" s="42">
        <f t="shared" si="125"/>
        <v>0</v>
      </c>
    </row>
    <row r="624" spans="1:19">
      <c r="A624" s="99">
        <v>2026</v>
      </c>
      <c r="B624" s="100">
        <v>1</v>
      </c>
      <c r="C624" s="101">
        <v>46036</v>
      </c>
      <c r="D624" s="101" t="str">
        <f t="shared" si="123"/>
        <v>GB000000085Ташкент_Дилнавоз опа</v>
      </c>
      <c r="E624" s="99" t="s">
        <v>39</v>
      </c>
      <c r="F624" s="102" t="s">
        <v>35</v>
      </c>
      <c r="G624" s="102" t="s">
        <v>36</v>
      </c>
      <c r="H624" s="99" t="s">
        <v>19</v>
      </c>
      <c r="I624" s="102" t="s">
        <v>40</v>
      </c>
      <c r="J624" s="102" t="s">
        <v>38</v>
      </c>
      <c r="K624" s="103">
        <v>20</v>
      </c>
      <c r="L624" s="104">
        <v>65000</v>
      </c>
      <c r="M624" s="104">
        <v>1300000</v>
      </c>
      <c r="N624" s="39">
        <f>+K624*20000</f>
        <v>400000</v>
      </c>
      <c r="O624" s="107">
        <f>+M624*$O$1</f>
        <v>234000</v>
      </c>
      <c r="P624" s="108">
        <f>+N624+O624</f>
        <v>634000</v>
      </c>
      <c r="Q624" s="39">
        <v>100</v>
      </c>
      <c r="R624" s="39">
        <f t="shared" si="124"/>
        <v>1300000</v>
      </c>
      <c r="S624" s="42">
        <f t="shared" si="125"/>
        <v>0</v>
      </c>
    </row>
    <row r="625" spans="1:19">
      <c r="A625" s="99">
        <v>2026</v>
      </c>
      <c r="B625" s="100">
        <v>1</v>
      </c>
      <c r="C625" s="101">
        <v>46036</v>
      </c>
      <c r="D625" s="101" t="str">
        <f t="shared" si="123"/>
        <v>GB000000092Навоий_Мехриддин ака</v>
      </c>
      <c r="E625" s="99" t="s">
        <v>42</v>
      </c>
      <c r="F625" s="102" t="s">
        <v>43</v>
      </c>
      <c r="G625" s="102" t="s">
        <v>44</v>
      </c>
      <c r="H625" s="99" t="s">
        <v>19</v>
      </c>
      <c r="I625" s="102" t="s">
        <v>45</v>
      </c>
      <c r="J625" s="102" t="s">
        <v>46</v>
      </c>
      <c r="K625" s="103">
        <v>20</v>
      </c>
      <c r="L625" s="104">
        <v>64700</v>
      </c>
      <c r="M625" s="104">
        <v>1294000</v>
      </c>
      <c r="N625" s="39">
        <f t="shared" ref="N625:N626" si="134">20000*K625</f>
        <v>400000</v>
      </c>
      <c r="O625" s="107">
        <f>+M625*$O$1</f>
        <v>232920</v>
      </c>
      <c r="P625" s="108">
        <f>+N625+O625</f>
        <v>632920</v>
      </c>
      <c r="Q625" s="39">
        <v>50</v>
      </c>
      <c r="R625" s="39">
        <f t="shared" si="124"/>
        <v>647000</v>
      </c>
      <c r="S625" s="42">
        <f t="shared" si="125"/>
        <v>647000</v>
      </c>
    </row>
    <row r="626" spans="1:19">
      <c r="A626" s="99">
        <v>2026</v>
      </c>
      <c r="B626" s="100">
        <v>1</v>
      </c>
      <c r="C626" s="101">
        <v>46037</v>
      </c>
      <c r="D626" s="101" t="str">
        <f t="shared" si="123"/>
        <v>GB000000099Ташкент_Дилнавоз опа</v>
      </c>
      <c r="E626" s="99" t="s">
        <v>47</v>
      </c>
      <c r="F626" s="102" t="s">
        <v>48</v>
      </c>
      <c r="G626" s="102" t="s">
        <v>36</v>
      </c>
      <c r="H626" s="99" t="s">
        <v>19</v>
      </c>
      <c r="I626" s="102" t="s">
        <v>49</v>
      </c>
      <c r="J626" s="102" t="s">
        <v>46</v>
      </c>
      <c r="K626" s="103">
        <v>10</v>
      </c>
      <c r="L626" s="104">
        <v>64700</v>
      </c>
      <c r="M626" s="104">
        <v>647000</v>
      </c>
      <c r="N626" s="39">
        <f t="shared" si="134"/>
        <v>200000</v>
      </c>
      <c r="O626" s="107">
        <f>+M626*$O$1</f>
        <v>116460</v>
      </c>
      <c r="P626" s="108">
        <f>+N626+O626</f>
        <v>316460</v>
      </c>
      <c r="Q626" s="39">
        <v>100</v>
      </c>
      <c r="R626" s="39">
        <f t="shared" si="124"/>
        <v>647000</v>
      </c>
      <c r="S626" s="42">
        <f t="shared" si="125"/>
        <v>0</v>
      </c>
    </row>
    <row r="627" spans="1:19">
      <c r="A627" s="99">
        <v>2026</v>
      </c>
      <c r="B627" s="100">
        <v>1</v>
      </c>
      <c r="C627" s="101">
        <v>46037</v>
      </c>
      <c r="D627" s="101" t="str">
        <f t="shared" si="123"/>
        <v>GB000000099Ташкент_Дилнавоз опа</v>
      </c>
      <c r="E627" s="99" t="s">
        <v>47</v>
      </c>
      <c r="F627" s="102" t="s">
        <v>48</v>
      </c>
      <c r="G627" s="102" t="s">
        <v>36</v>
      </c>
      <c r="H627" s="99" t="s">
        <v>19</v>
      </c>
      <c r="I627" s="102" t="s">
        <v>49</v>
      </c>
      <c r="J627" s="102" t="s">
        <v>38</v>
      </c>
      <c r="K627" s="103">
        <v>20</v>
      </c>
      <c r="L627" s="104">
        <v>65000</v>
      </c>
      <c r="M627" s="104">
        <v>1300000</v>
      </c>
      <c r="N627" s="39">
        <f>+K627*20000</f>
        <v>400000</v>
      </c>
      <c r="O627" s="107">
        <f>+M627*$O$1</f>
        <v>234000</v>
      </c>
      <c r="P627" s="108">
        <f>+N627+O627</f>
        <v>634000</v>
      </c>
      <c r="Q627" s="39">
        <v>100</v>
      </c>
      <c r="R627" s="39">
        <f t="shared" si="124"/>
        <v>1300000</v>
      </c>
      <c r="S627" s="42">
        <f t="shared" si="125"/>
        <v>0</v>
      </c>
    </row>
    <row r="628" spans="1:19">
      <c r="A628" s="99">
        <v>2026</v>
      </c>
      <c r="B628" s="100">
        <v>1</v>
      </c>
      <c r="C628" s="101">
        <v>46037</v>
      </c>
      <c r="D628" s="101" t="str">
        <f t="shared" si="123"/>
        <v>GB000000100Ташкент_Дилнавоз опа</v>
      </c>
      <c r="E628" s="99" t="s">
        <v>50</v>
      </c>
      <c r="F628" s="102" t="s">
        <v>35</v>
      </c>
      <c r="G628" s="102" t="s">
        <v>36</v>
      </c>
      <c r="H628" s="99" t="s">
        <v>19</v>
      </c>
      <c r="I628" s="102" t="s">
        <v>51</v>
      </c>
      <c r="J628" s="102" t="s">
        <v>41</v>
      </c>
      <c r="K628" s="103">
        <v>10</v>
      </c>
      <c r="L628" s="104">
        <v>90000</v>
      </c>
      <c r="M628" s="104">
        <v>900000</v>
      </c>
      <c r="N628" s="39">
        <f>+K628*25000</f>
        <v>250000</v>
      </c>
      <c r="O628" s="107">
        <f>+M628*$O$1</f>
        <v>162000</v>
      </c>
      <c r="P628" s="108">
        <f>+N628+O628</f>
        <v>412000</v>
      </c>
      <c r="Q628" s="39">
        <v>100</v>
      </c>
      <c r="R628" s="39">
        <f t="shared" si="124"/>
        <v>900000</v>
      </c>
      <c r="S628" s="42">
        <f t="shared" si="125"/>
        <v>0</v>
      </c>
    </row>
    <row r="629" spans="1:19">
      <c r="A629" s="99">
        <v>2026</v>
      </c>
      <c r="B629" s="100">
        <v>1</v>
      </c>
      <c r="C629" s="101">
        <v>46037</v>
      </c>
      <c r="D629" s="101" t="str">
        <f t="shared" si="123"/>
        <v>GB000000103Ташкент_Дилнавоз опа</v>
      </c>
      <c r="E629" s="99" t="s">
        <v>52</v>
      </c>
      <c r="F629" s="102" t="s">
        <v>48</v>
      </c>
      <c r="G629" s="102" t="s">
        <v>36</v>
      </c>
      <c r="H629" s="99" t="s">
        <v>19</v>
      </c>
      <c r="I629" s="102" t="s">
        <v>53</v>
      </c>
      <c r="J629" s="102" t="s">
        <v>38</v>
      </c>
      <c r="K629" s="103">
        <v>50</v>
      </c>
      <c r="L629" s="104">
        <v>65000</v>
      </c>
      <c r="M629" s="104">
        <v>3250000</v>
      </c>
      <c r="N629" s="39">
        <f t="shared" ref="N629:N630" si="135">+K629*20000</f>
        <v>1000000</v>
      </c>
      <c r="O629" s="107">
        <f>+M629*$O$1</f>
        <v>585000</v>
      </c>
      <c r="P629" s="108">
        <f>+N629+O629</f>
        <v>1585000</v>
      </c>
      <c r="Q629" s="39">
        <v>100</v>
      </c>
      <c r="R629" s="39">
        <f t="shared" si="124"/>
        <v>3250000</v>
      </c>
      <c r="S629" s="42">
        <f t="shared" si="125"/>
        <v>0</v>
      </c>
    </row>
    <row r="630" spans="1:19">
      <c r="A630" s="99">
        <v>2026</v>
      </c>
      <c r="B630" s="100">
        <v>1</v>
      </c>
      <c r="C630" s="101">
        <v>46038</v>
      </c>
      <c r="D630" s="101" t="str">
        <f t="shared" si="123"/>
        <v>GB000000108Ташкент_Дилнавоз опа</v>
      </c>
      <c r="E630" s="99" t="s">
        <v>54</v>
      </c>
      <c r="F630" s="102" t="s">
        <v>48</v>
      </c>
      <c r="G630" s="102" t="s">
        <v>36</v>
      </c>
      <c r="H630" s="99" t="s">
        <v>19</v>
      </c>
      <c r="I630" s="102" t="s">
        <v>55</v>
      </c>
      <c r="J630" s="102" t="s">
        <v>38</v>
      </c>
      <c r="K630" s="103">
        <v>32</v>
      </c>
      <c r="L630" s="104">
        <v>65000</v>
      </c>
      <c r="M630" s="104">
        <v>2080000</v>
      </c>
      <c r="N630" s="39">
        <f t="shared" si="135"/>
        <v>640000</v>
      </c>
      <c r="O630" s="107">
        <f>+M630*$O$1</f>
        <v>374400</v>
      </c>
      <c r="P630" s="108">
        <f>+N630+O630</f>
        <v>1014400</v>
      </c>
      <c r="Q630" s="39">
        <v>100</v>
      </c>
      <c r="R630" s="39">
        <f t="shared" si="124"/>
        <v>2080000</v>
      </c>
      <c r="S630" s="42">
        <f t="shared" si="125"/>
        <v>0</v>
      </c>
    </row>
    <row r="631" spans="1:19">
      <c r="A631" s="99">
        <v>2026</v>
      </c>
      <c r="B631" s="100">
        <v>1</v>
      </c>
      <c r="C631" s="101">
        <v>46038</v>
      </c>
      <c r="D631" s="101" t="str">
        <f t="shared" si="123"/>
        <v>GB000000108Ташкент_Дилнавоз опа</v>
      </c>
      <c r="E631" s="99" t="s">
        <v>54</v>
      </c>
      <c r="F631" s="102" t="s">
        <v>48</v>
      </c>
      <c r="G631" s="102" t="s">
        <v>36</v>
      </c>
      <c r="H631" s="99" t="s">
        <v>19</v>
      </c>
      <c r="I631" s="102" t="s">
        <v>55</v>
      </c>
      <c r="J631" s="102" t="s">
        <v>46</v>
      </c>
      <c r="K631" s="103">
        <v>20</v>
      </c>
      <c r="L631" s="104">
        <v>64700</v>
      </c>
      <c r="M631" s="104">
        <v>1294000</v>
      </c>
      <c r="N631" s="39">
        <f>20000*K631</f>
        <v>400000</v>
      </c>
      <c r="O631" s="107">
        <f>+M631*$O$1</f>
        <v>232920</v>
      </c>
      <c r="P631" s="108">
        <f>+N631+O631</f>
        <v>632920</v>
      </c>
      <c r="Q631" s="39">
        <v>100</v>
      </c>
      <c r="R631" s="39">
        <f t="shared" si="124"/>
        <v>1294000</v>
      </c>
      <c r="S631" s="42">
        <f t="shared" si="125"/>
        <v>0</v>
      </c>
    </row>
    <row r="632" spans="1:19">
      <c r="A632" s="99">
        <v>2026</v>
      </c>
      <c r="B632" s="100">
        <v>1</v>
      </c>
      <c r="C632" s="101">
        <v>46038</v>
      </c>
      <c r="D632" s="101" t="str">
        <f t="shared" si="123"/>
        <v>GB000000122Ташкент_Дилнавоз опа</v>
      </c>
      <c r="E632" s="99" t="s">
        <v>56</v>
      </c>
      <c r="F632" s="102"/>
      <c r="G632" s="102" t="s">
        <v>36</v>
      </c>
      <c r="H632" s="99" t="s">
        <v>19</v>
      </c>
      <c r="I632" s="102" t="s">
        <v>57</v>
      </c>
      <c r="J632" s="102" t="s">
        <v>38</v>
      </c>
      <c r="K632" s="103">
        <v>10</v>
      </c>
      <c r="L632" s="104">
        <v>65000</v>
      </c>
      <c r="M632" s="104">
        <v>650000</v>
      </c>
      <c r="N632" s="39">
        <f>+K632*20000</f>
        <v>200000</v>
      </c>
      <c r="O632" s="107">
        <f>+M632*$O$1</f>
        <v>117000</v>
      </c>
      <c r="P632" s="108">
        <f>+N632+O632</f>
        <v>317000</v>
      </c>
      <c r="Q632" s="39">
        <v>100</v>
      </c>
      <c r="R632" s="39">
        <f t="shared" si="124"/>
        <v>650000</v>
      </c>
      <c r="S632" s="42">
        <f t="shared" si="125"/>
        <v>0</v>
      </c>
    </row>
    <row r="633" spans="1:19">
      <c r="A633" s="99">
        <v>2026</v>
      </c>
      <c r="B633" s="100">
        <v>1</v>
      </c>
      <c r="C633" s="101">
        <v>46038</v>
      </c>
      <c r="D633" s="101" t="str">
        <f t="shared" si="123"/>
        <v>GB000000122Ташкент_Дилнавоз опа</v>
      </c>
      <c r="E633" s="99" t="s">
        <v>56</v>
      </c>
      <c r="F633" s="102"/>
      <c r="G633" s="102" t="s">
        <v>36</v>
      </c>
      <c r="H633" s="99" t="s">
        <v>19</v>
      </c>
      <c r="I633" s="102" t="s">
        <v>57</v>
      </c>
      <c r="J633" s="102" t="s">
        <v>41</v>
      </c>
      <c r="K633" s="103">
        <v>10</v>
      </c>
      <c r="L633" s="104">
        <v>90000</v>
      </c>
      <c r="M633" s="104">
        <v>900000</v>
      </c>
      <c r="N633" s="39">
        <f>+K633*25000</f>
        <v>250000</v>
      </c>
      <c r="O633" s="107">
        <f>+M633*$O$1</f>
        <v>162000</v>
      </c>
      <c r="P633" s="108">
        <f>+N633+O633</f>
        <v>412000</v>
      </c>
      <c r="Q633" s="39">
        <v>100</v>
      </c>
      <c r="R633" s="39">
        <f t="shared" si="124"/>
        <v>900000</v>
      </c>
      <c r="S633" s="42">
        <f t="shared" si="125"/>
        <v>0</v>
      </c>
    </row>
    <row r="634" spans="1:19">
      <c r="A634" s="99">
        <v>2026</v>
      </c>
      <c r="B634" s="100">
        <v>1</v>
      </c>
      <c r="C634" s="101">
        <v>46041</v>
      </c>
      <c r="D634" s="101" t="str">
        <f t="shared" si="123"/>
        <v>GB000000125Ташкент_Дилнавоз опа</v>
      </c>
      <c r="E634" s="99" t="s">
        <v>58</v>
      </c>
      <c r="F634" s="102" t="s">
        <v>59</v>
      </c>
      <c r="G634" s="102" t="s">
        <v>36</v>
      </c>
      <c r="H634" s="99" t="s">
        <v>19</v>
      </c>
      <c r="I634" s="102" t="s">
        <v>60</v>
      </c>
      <c r="J634" s="102" t="s">
        <v>38</v>
      </c>
      <c r="K634" s="103">
        <v>50</v>
      </c>
      <c r="L634" s="104">
        <v>65000</v>
      </c>
      <c r="M634" s="104">
        <v>3250000</v>
      </c>
      <c r="N634" s="39">
        <f>+K634*20000</f>
        <v>1000000</v>
      </c>
      <c r="O634" s="107">
        <f>+M634*$O$1</f>
        <v>585000</v>
      </c>
      <c r="P634" s="108">
        <f>+N634+O634</f>
        <v>1585000</v>
      </c>
      <c r="Q634" s="39">
        <v>100</v>
      </c>
      <c r="R634" s="39">
        <f t="shared" si="124"/>
        <v>3250000</v>
      </c>
      <c r="S634" s="42">
        <f t="shared" si="125"/>
        <v>0</v>
      </c>
    </row>
    <row r="635" spans="1:19">
      <c r="A635" s="99">
        <v>2026</v>
      </c>
      <c r="B635" s="100">
        <v>1</v>
      </c>
      <c r="C635" s="101">
        <v>46041</v>
      </c>
      <c r="D635" s="101" t="str">
        <f t="shared" si="123"/>
        <v>GB000000127Навоий_Мехриддин ака</v>
      </c>
      <c r="E635" s="99" t="s">
        <v>61</v>
      </c>
      <c r="F635" s="102" t="s">
        <v>43</v>
      </c>
      <c r="G635" s="102" t="s">
        <v>44</v>
      </c>
      <c r="H635" s="99" t="s">
        <v>19</v>
      </c>
      <c r="I635" s="102" t="s">
        <v>62</v>
      </c>
      <c r="J635" s="102" t="s">
        <v>46</v>
      </c>
      <c r="K635" s="103">
        <v>50</v>
      </c>
      <c r="L635" s="104">
        <v>64700</v>
      </c>
      <c r="M635" s="104">
        <v>3235000</v>
      </c>
      <c r="N635" s="39">
        <f t="shared" ref="N635:N636" si="136">20000*K635</f>
        <v>1000000</v>
      </c>
      <c r="O635" s="107">
        <f>+M635*$O$1</f>
        <v>582300</v>
      </c>
      <c r="P635" s="108">
        <f>+N635+O635</f>
        <v>1582300</v>
      </c>
      <c r="Q635" s="39">
        <v>50</v>
      </c>
      <c r="R635" s="39">
        <f t="shared" si="124"/>
        <v>1617500</v>
      </c>
      <c r="S635" s="42">
        <f t="shared" si="125"/>
        <v>1617500</v>
      </c>
    </row>
    <row r="636" spans="1:19">
      <c r="A636" s="99">
        <v>2026</v>
      </c>
      <c r="B636" s="100">
        <v>1</v>
      </c>
      <c r="C636" s="101">
        <v>46042</v>
      </c>
      <c r="D636" s="101" t="str">
        <f t="shared" si="123"/>
        <v>GB000000143Навоий_Мехриддин ака</v>
      </c>
      <c r="E636" s="99" t="s">
        <v>63</v>
      </c>
      <c r="F636" s="102" t="s">
        <v>43</v>
      </c>
      <c r="G636" s="102" t="s">
        <v>44</v>
      </c>
      <c r="H636" s="99" t="s">
        <v>19</v>
      </c>
      <c r="I636" s="102" t="s">
        <v>64</v>
      </c>
      <c r="J636" s="102" t="s">
        <v>46</v>
      </c>
      <c r="K636" s="103">
        <v>20</v>
      </c>
      <c r="L636" s="104">
        <v>64700</v>
      </c>
      <c r="M636" s="104">
        <v>1294000</v>
      </c>
      <c r="N636" s="39">
        <f t="shared" si="136"/>
        <v>400000</v>
      </c>
      <c r="O636" s="107">
        <f>+M636*$O$1</f>
        <v>232920</v>
      </c>
      <c r="P636" s="108">
        <f>+N636+O636</f>
        <v>632920</v>
      </c>
      <c r="Q636" s="39">
        <v>100</v>
      </c>
      <c r="R636" s="39">
        <f t="shared" si="124"/>
        <v>1294000</v>
      </c>
      <c r="S636" s="42">
        <f t="shared" si="125"/>
        <v>0</v>
      </c>
    </row>
    <row r="637" spans="1:19">
      <c r="A637" s="99">
        <v>2026</v>
      </c>
      <c r="B637" s="100">
        <v>1</v>
      </c>
      <c r="C637" s="101">
        <v>46042</v>
      </c>
      <c r="D637" s="101" t="str">
        <f t="shared" si="123"/>
        <v>GB000000144Ташкент_Дилнавоз опа</v>
      </c>
      <c r="E637" s="99" t="s">
        <v>65</v>
      </c>
      <c r="F637" s="102" t="s">
        <v>59</v>
      </c>
      <c r="G637" s="102" t="s">
        <v>36</v>
      </c>
      <c r="H637" s="99" t="s">
        <v>19</v>
      </c>
      <c r="I637" s="102" t="s">
        <v>66</v>
      </c>
      <c r="J637" s="102" t="s">
        <v>38</v>
      </c>
      <c r="K637" s="103">
        <v>10</v>
      </c>
      <c r="L637" s="104">
        <v>65000</v>
      </c>
      <c r="M637" s="104">
        <v>650000</v>
      </c>
      <c r="N637" s="39">
        <f>+K637*20000</f>
        <v>200000</v>
      </c>
      <c r="O637" s="107">
        <f>+M637*$O$1</f>
        <v>117000</v>
      </c>
      <c r="P637" s="108">
        <f>+N637+O637</f>
        <v>317000</v>
      </c>
      <c r="Q637" s="39">
        <v>100</v>
      </c>
      <c r="R637" s="39">
        <f t="shared" si="124"/>
        <v>650000</v>
      </c>
      <c r="S637" s="42">
        <f t="shared" si="125"/>
        <v>0</v>
      </c>
    </row>
    <row r="638" spans="1:19">
      <c r="A638" s="99">
        <v>2026</v>
      </c>
      <c r="B638" s="100">
        <v>1</v>
      </c>
      <c r="C638" s="101">
        <v>46043</v>
      </c>
      <c r="D638" s="101" t="str">
        <f t="shared" si="123"/>
        <v>GB000000169Ташкент_Дилнавоз опа</v>
      </c>
      <c r="E638" s="99" t="s">
        <v>67</v>
      </c>
      <c r="F638" s="102" t="s">
        <v>68</v>
      </c>
      <c r="G638" s="102" t="s">
        <v>36</v>
      </c>
      <c r="H638" s="99" t="s">
        <v>19</v>
      </c>
      <c r="I638" s="102" t="s">
        <v>69</v>
      </c>
      <c r="J638" s="102" t="s">
        <v>46</v>
      </c>
      <c r="K638" s="103">
        <v>10</v>
      </c>
      <c r="L638" s="104">
        <v>64700</v>
      </c>
      <c r="M638" s="104">
        <v>647000</v>
      </c>
      <c r="N638" s="39">
        <f>20000*K638</f>
        <v>200000</v>
      </c>
      <c r="O638" s="107">
        <f>+M638*$O$1</f>
        <v>116460</v>
      </c>
      <c r="P638" s="108">
        <f>+N638+O638</f>
        <v>316460</v>
      </c>
      <c r="Q638" s="39">
        <v>100</v>
      </c>
      <c r="R638" s="39">
        <f t="shared" si="124"/>
        <v>647000</v>
      </c>
      <c r="S638" s="42">
        <f t="shared" si="125"/>
        <v>0</v>
      </c>
    </row>
    <row r="639" spans="1:19">
      <c r="A639" s="99">
        <v>2026</v>
      </c>
      <c r="B639" s="100">
        <v>1</v>
      </c>
      <c r="C639" s="101">
        <v>46043</v>
      </c>
      <c r="D639" s="101" t="str">
        <f t="shared" si="123"/>
        <v>GB000000169Ташкент_Дилнавоз опа</v>
      </c>
      <c r="E639" s="99" t="s">
        <v>67</v>
      </c>
      <c r="F639" s="102" t="s">
        <v>68</v>
      </c>
      <c r="G639" s="102" t="s">
        <v>36</v>
      </c>
      <c r="H639" s="99" t="s">
        <v>19</v>
      </c>
      <c r="I639" s="102" t="s">
        <v>69</v>
      </c>
      <c r="J639" s="102" t="s">
        <v>41</v>
      </c>
      <c r="K639" s="103">
        <v>10</v>
      </c>
      <c r="L639" s="104">
        <v>90000</v>
      </c>
      <c r="M639" s="104">
        <v>900000</v>
      </c>
      <c r="N639" s="39">
        <f>+K639*25000</f>
        <v>250000</v>
      </c>
      <c r="O639" s="107">
        <f>+M639*$O$1</f>
        <v>162000</v>
      </c>
      <c r="P639" s="108">
        <f>+N639+O639</f>
        <v>412000</v>
      </c>
      <c r="Q639" s="39">
        <v>100</v>
      </c>
      <c r="R639" s="39">
        <f t="shared" si="124"/>
        <v>900000</v>
      </c>
      <c r="S639" s="42">
        <f t="shared" si="125"/>
        <v>0</v>
      </c>
    </row>
    <row r="640" spans="1:19">
      <c r="A640" s="99">
        <v>2026</v>
      </c>
      <c r="B640" s="100">
        <v>1</v>
      </c>
      <c r="C640" s="101">
        <v>46043</v>
      </c>
      <c r="D640" s="101" t="str">
        <f t="shared" si="123"/>
        <v>GB000000169Ташкент_Дилнавоз опа</v>
      </c>
      <c r="E640" s="99" t="s">
        <v>67</v>
      </c>
      <c r="F640" s="102" t="s">
        <v>68</v>
      </c>
      <c r="G640" s="102" t="s">
        <v>36</v>
      </c>
      <c r="H640" s="99" t="s">
        <v>19</v>
      </c>
      <c r="I640" s="102" t="s">
        <v>69</v>
      </c>
      <c r="J640" s="102" t="s">
        <v>38</v>
      </c>
      <c r="K640" s="103">
        <v>10</v>
      </c>
      <c r="L640" s="104">
        <v>65000</v>
      </c>
      <c r="M640" s="104">
        <v>650000</v>
      </c>
      <c r="N640" s="39">
        <f t="shared" ref="N640:N641" si="137">+K640*20000</f>
        <v>200000</v>
      </c>
      <c r="O640" s="107">
        <f>+M640*$O$1</f>
        <v>117000</v>
      </c>
      <c r="P640" s="108">
        <f>+N640+O640</f>
        <v>317000</v>
      </c>
      <c r="Q640" s="39">
        <v>100</v>
      </c>
      <c r="R640" s="39">
        <f t="shared" si="124"/>
        <v>650000</v>
      </c>
      <c r="S640" s="42">
        <f t="shared" si="125"/>
        <v>0</v>
      </c>
    </row>
    <row r="641" spans="1:19">
      <c r="A641" s="99">
        <v>2026</v>
      </c>
      <c r="B641" s="100">
        <v>1</v>
      </c>
      <c r="C641" s="101">
        <v>46043</v>
      </c>
      <c r="D641" s="101" t="str">
        <f t="shared" si="123"/>
        <v>GB000000174Ташкент_Дилнавоз опа</v>
      </c>
      <c r="E641" s="99" t="s">
        <v>70</v>
      </c>
      <c r="F641" s="102" t="s">
        <v>48</v>
      </c>
      <c r="G641" s="102" t="s">
        <v>36</v>
      </c>
      <c r="H641" s="99" t="s">
        <v>19</v>
      </c>
      <c r="I641" s="102" t="s">
        <v>71</v>
      </c>
      <c r="J641" s="102" t="s">
        <v>38</v>
      </c>
      <c r="K641" s="103">
        <v>10</v>
      </c>
      <c r="L641" s="104">
        <v>65000</v>
      </c>
      <c r="M641" s="104">
        <v>650000</v>
      </c>
      <c r="N641" s="39">
        <f t="shared" si="137"/>
        <v>200000</v>
      </c>
      <c r="O641" s="107">
        <f>+M641*$O$1</f>
        <v>117000</v>
      </c>
      <c r="P641" s="108">
        <f>+N641+O641</f>
        <v>317000</v>
      </c>
      <c r="Q641" s="39">
        <v>100</v>
      </c>
      <c r="R641" s="39">
        <f t="shared" si="124"/>
        <v>650000</v>
      </c>
      <c r="S641" s="42">
        <f t="shared" si="125"/>
        <v>0</v>
      </c>
    </row>
    <row r="642" spans="1:19">
      <c r="A642" s="99">
        <v>2026</v>
      </c>
      <c r="B642" s="100">
        <v>1</v>
      </c>
      <c r="C642" s="101">
        <v>46043</v>
      </c>
      <c r="D642" s="101" t="str">
        <f t="shared" si="123"/>
        <v>GB000000175Ташкент_Дилнавоз опа</v>
      </c>
      <c r="E642" s="99" t="s">
        <v>72</v>
      </c>
      <c r="F642" s="102" t="s">
        <v>35</v>
      </c>
      <c r="G642" s="102" t="s">
        <v>36</v>
      </c>
      <c r="H642" s="99" t="s">
        <v>19</v>
      </c>
      <c r="I642" s="102" t="s">
        <v>73</v>
      </c>
      <c r="J642" s="102" t="s">
        <v>41</v>
      </c>
      <c r="K642" s="103">
        <v>20</v>
      </c>
      <c r="L642" s="104">
        <v>90000</v>
      </c>
      <c r="M642" s="104">
        <v>1800000</v>
      </c>
      <c r="N642" s="39">
        <f>+K642*25000</f>
        <v>500000</v>
      </c>
      <c r="O642" s="107">
        <f>+M642*$O$1</f>
        <v>324000</v>
      </c>
      <c r="P642" s="108">
        <f>+N642+O642</f>
        <v>824000</v>
      </c>
      <c r="Q642" s="39">
        <v>100</v>
      </c>
      <c r="R642" s="39">
        <f t="shared" si="124"/>
        <v>1800000</v>
      </c>
      <c r="S642" s="42">
        <f t="shared" si="125"/>
        <v>0</v>
      </c>
    </row>
    <row r="643" spans="1:19">
      <c r="A643" s="99">
        <v>2026</v>
      </c>
      <c r="B643" s="100">
        <v>1</v>
      </c>
      <c r="C643" s="101">
        <v>46043</v>
      </c>
      <c r="D643" s="101" t="str">
        <f t="shared" si="123"/>
        <v>GB000000175Ташкент_Дилнавоз опа</v>
      </c>
      <c r="E643" s="99" t="s">
        <v>72</v>
      </c>
      <c r="F643" s="102" t="s">
        <v>35</v>
      </c>
      <c r="G643" s="102" t="s">
        <v>36</v>
      </c>
      <c r="H643" s="99" t="s">
        <v>19</v>
      </c>
      <c r="I643" s="102" t="s">
        <v>73</v>
      </c>
      <c r="J643" s="102" t="s">
        <v>46</v>
      </c>
      <c r="K643" s="103">
        <v>20</v>
      </c>
      <c r="L643" s="104">
        <v>64700</v>
      </c>
      <c r="M643" s="104">
        <v>1294000</v>
      </c>
      <c r="N643" s="39">
        <f>20000*K643</f>
        <v>400000</v>
      </c>
      <c r="O643" s="107">
        <f>+M643*$O$1</f>
        <v>232920</v>
      </c>
      <c r="P643" s="108">
        <f>+N643+O643</f>
        <v>632920</v>
      </c>
      <c r="Q643" s="39">
        <v>100</v>
      </c>
      <c r="R643" s="39">
        <f t="shared" si="124"/>
        <v>1294000</v>
      </c>
      <c r="S643" s="42">
        <f t="shared" si="125"/>
        <v>0</v>
      </c>
    </row>
    <row r="644" spans="1:19">
      <c r="A644" s="99">
        <v>2026</v>
      </c>
      <c r="B644" s="100">
        <v>1</v>
      </c>
      <c r="C644" s="101">
        <v>46043</v>
      </c>
      <c r="D644" s="101" t="str">
        <f t="shared" ref="D644:D707" si="138">+E644&amp;G644</f>
        <v>GB000000175Ташкент_Дилнавоз опа</v>
      </c>
      <c r="E644" s="99" t="s">
        <v>72</v>
      </c>
      <c r="F644" s="102" t="s">
        <v>35</v>
      </c>
      <c r="G644" s="102" t="s">
        <v>36</v>
      </c>
      <c r="H644" s="99" t="s">
        <v>19</v>
      </c>
      <c r="I644" s="102" t="s">
        <v>73</v>
      </c>
      <c r="J644" s="102" t="s">
        <v>38</v>
      </c>
      <c r="K644" s="103">
        <v>20</v>
      </c>
      <c r="L644" s="104">
        <v>65000</v>
      </c>
      <c r="M644" s="104">
        <v>1300000</v>
      </c>
      <c r="N644" s="39">
        <f t="shared" ref="N644:N645" si="139">+K644*20000</f>
        <v>400000</v>
      </c>
      <c r="O644" s="107">
        <f>+M644*$O$1</f>
        <v>234000</v>
      </c>
      <c r="P644" s="108">
        <f>+N644+O644</f>
        <v>634000</v>
      </c>
      <c r="Q644" s="39">
        <v>100</v>
      </c>
      <c r="R644" s="39">
        <f t="shared" ref="R644:R707" si="140">+M644*Q644%</f>
        <v>1300000</v>
      </c>
      <c r="S644" s="42">
        <f t="shared" ref="S644:S707" si="141">M644-R644</f>
        <v>0</v>
      </c>
    </row>
    <row r="645" spans="1:19">
      <c r="A645" s="99">
        <v>2026</v>
      </c>
      <c r="B645" s="100">
        <v>1</v>
      </c>
      <c r="C645" s="101">
        <v>46044</v>
      </c>
      <c r="D645" s="101" t="str">
        <f t="shared" si="138"/>
        <v>GB000000181Ташкент_Дилнавоз опа</v>
      </c>
      <c r="E645" s="99" t="s">
        <v>74</v>
      </c>
      <c r="F645" s="102" t="s">
        <v>35</v>
      </c>
      <c r="G645" s="102" t="s">
        <v>36</v>
      </c>
      <c r="H645" s="99" t="s">
        <v>19</v>
      </c>
      <c r="I645" s="102" t="s">
        <v>75</v>
      </c>
      <c r="J645" s="102" t="s">
        <v>38</v>
      </c>
      <c r="K645" s="103">
        <v>20</v>
      </c>
      <c r="L645" s="104">
        <v>65000</v>
      </c>
      <c r="M645" s="104">
        <v>1300000</v>
      </c>
      <c r="N645" s="39">
        <f t="shared" si="139"/>
        <v>400000</v>
      </c>
      <c r="O645" s="107">
        <f>+M645*$O$1</f>
        <v>234000</v>
      </c>
      <c r="P645" s="108">
        <f>+N645+O645</f>
        <v>634000</v>
      </c>
      <c r="Q645" s="39">
        <v>100</v>
      </c>
      <c r="R645" s="39">
        <f t="shared" si="140"/>
        <v>1300000</v>
      </c>
      <c r="S645" s="42">
        <f t="shared" si="141"/>
        <v>0</v>
      </c>
    </row>
    <row r="646" spans="1:19">
      <c r="A646" s="99">
        <v>2026</v>
      </c>
      <c r="B646" s="100">
        <v>1</v>
      </c>
      <c r="C646" s="101">
        <v>46044</v>
      </c>
      <c r="D646" s="101" t="str">
        <f t="shared" si="138"/>
        <v>GB000000181Ташкент_Дилнавоз опа</v>
      </c>
      <c r="E646" s="99" t="s">
        <v>74</v>
      </c>
      <c r="F646" s="102" t="s">
        <v>35</v>
      </c>
      <c r="G646" s="102" t="s">
        <v>36</v>
      </c>
      <c r="H646" s="99" t="s">
        <v>19</v>
      </c>
      <c r="I646" s="102" t="s">
        <v>75</v>
      </c>
      <c r="J646" s="102" t="s">
        <v>46</v>
      </c>
      <c r="K646" s="103">
        <v>20</v>
      </c>
      <c r="L646" s="104">
        <v>64700</v>
      </c>
      <c r="M646" s="104">
        <v>1294000</v>
      </c>
      <c r="N646" s="39">
        <f>20000*K646</f>
        <v>400000</v>
      </c>
      <c r="O646" s="107">
        <f>+M646*$O$1</f>
        <v>232920</v>
      </c>
      <c r="P646" s="108">
        <f>+N646+O646</f>
        <v>632920</v>
      </c>
      <c r="Q646" s="39">
        <v>100</v>
      </c>
      <c r="R646" s="39">
        <f t="shared" si="140"/>
        <v>1294000</v>
      </c>
      <c r="S646" s="42">
        <f t="shared" si="141"/>
        <v>0</v>
      </c>
    </row>
    <row r="647" spans="1:19">
      <c r="A647" s="99">
        <v>2026</v>
      </c>
      <c r="B647" s="100">
        <v>1</v>
      </c>
      <c r="C647" s="101">
        <v>46044</v>
      </c>
      <c r="D647" s="101" t="str">
        <f t="shared" si="138"/>
        <v>GB000000181Ташкент_Дилнавоз опа</v>
      </c>
      <c r="E647" s="99" t="s">
        <v>74</v>
      </c>
      <c r="F647" s="102" t="s">
        <v>35</v>
      </c>
      <c r="G647" s="102" t="s">
        <v>36</v>
      </c>
      <c r="H647" s="99" t="s">
        <v>19</v>
      </c>
      <c r="I647" s="102" t="s">
        <v>75</v>
      </c>
      <c r="J647" s="102" t="s">
        <v>41</v>
      </c>
      <c r="K647" s="103">
        <v>20</v>
      </c>
      <c r="L647" s="104">
        <v>90000</v>
      </c>
      <c r="M647" s="104">
        <v>1800000</v>
      </c>
      <c r="N647" s="39">
        <f>+K647*25000</f>
        <v>500000</v>
      </c>
      <c r="O647" s="107">
        <f>+M647*$O$1</f>
        <v>324000</v>
      </c>
      <c r="P647" s="108">
        <f>+N647+O647</f>
        <v>824000</v>
      </c>
      <c r="Q647" s="39">
        <v>100</v>
      </c>
      <c r="R647" s="39">
        <f t="shared" si="140"/>
        <v>1800000</v>
      </c>
      <c r="S647" s="42">
        <f t="shared" si="141"/>
        <v>0</v>
      </c>
    </row>
    <row r="648" spans="1:19">
      <c r="A648" s="99">
        <v>2026</v>
      </c>
      <c r="B648" s="100">
        <v>1</v>
      </c>
      <c r="C648" s="101">
        <v>46044</v>
      </c>
      <c r="D648" s="101" t="str">
        <f t="shared" si="138"/>
        <v>GB000000182Ташкент_Дилнавоз опа</v>
      </c>
      <c r="E648" s="99" t="s">
        <v>76</v>
      </c>
      <c r="F648" s="102" t="s">
        <v>35</v>
      </c>
      <c r="G648" s="102" t="s">
        <v>36</v>
      </c>
      <c r="H648" s="99" t="s">
        <v>19</v>
      </c>
      <c r="I648" s="102" t="s">
        <v>75</v>
      </c>
      <c r="J648" s="102" t="s">
        <v>38</v>
      </c>
      <c r="K648" s="103">
        <v>20</v>
      </c>
      <c r="L648" s="104">
        <v>65000</v>
      </c>
      <c r="M648" s="104">
        <v>1300000</v>
      </c>
      <c r="N648" s="39">
        <f>+K648*20000</f>
        <v>400000</v>
      </c>
      <c r="O648" s="107">
        <f>+M648*$O$1</f>
        <v>234000</v>
      </c>
      <c r="P648" s="108">
        <f>+N648+O648</f>
        <v>634000</v>
      </c>
      <c r="Q648" s="39">
        <v>100</v>
      </c>
      <c r="R648" s="39">
        <f t="shared" si="140"/>
        <v>1300000</v>
      </c>
      <c r="S648" s="42">
        <f t="shared" si="141"/>
        <v>0</v>
      </c>
    </row>
    <row r="649" spans="1:19">
      <c r="A649" s="99">
        <v>2026</v>
      </c>
      <c r="B649" s="100">
        <v>1</v>
      </c>
      <c r="C649" s="101">
        <v>46044</v>
      </c>
      <c r="D649" s="101" t="str">
        <f t="shared" si="138"/>
        <v>GB000000182Ташкент_Дилнавоз опа</v>
      </c>
      <c r="E649" s="99" t="s">
        <v>76</v>
      </c>
      <c r="F649" s="102" t="s">
        <v>35</v>
      </c>
      <c r="G649" s="102" t="s">
        <v>36</v>
      </c>
      <c r="H649" s="99" t="s">
        <v>19</v>
      </c>
      <c r="I649" s="102" t="s">
        <v>75</v>
      </c>
      <c r="J649" s="102" t="s">
        <v>46</v>
      </c>
      <c r="K649" s="103">
        <v>20</v>
      </c>
      <c r="L649" s="104">
        <v>64700</v>
      </c>
      <c r="M649" s="104">
        <v>1294000</v>
      </c>
      <c r="N649" s="39">
        <f>20000*K649</f>
        <v>400000</v>
      </c>
      <c r="O649" s="107">
        <f>+M649*$O$1</f>
        <v>232920</v>
      </c>
      <c r="P649" s="108">
        <f>+N649+O649</f>
        <v>632920</v>
      </c>
      <c r="Q649" s="39">
        <v>100</v>
      </c>
      <c r="R649" s="39">
        <f t="shared" si="140"/>
        <v>1294000</v>
      </c>
      <c r="S649" s="42">
        <f t="shared" si="141"/>
        <v>0</v>
      </c>
    </row>
    <row r="650" spans="1:19">
      <c r="A650" s="99">
        <v>2026</v>
      </c>
      <c r="B650" s="100">
        <v>1</v>
      </c>
      <c r="C650" s="101">
        <v>46044</v>
      </c>
      <c r="D650" s="101" t="str">
        <f t="shared" si="138"/>
        <v>GB000000182Ташкент_Дилнавоз опа</v>
      </c>
      <c r="E650" s="99" t="s">
        <v>76</v>
      </c>
      <c r="F650" s="102" t="s">
        <v>35</v>
      </c>
      <c r="G650" s="102" t="s">
        <v>36</v>
      </c>
      <c r="H650" s="99" t="s">
        <v>19</v>
      </c>
      <c r="I650" s="102" t="s">
        <v>75</v>
      </c>
      <c r="J650" s="102" t="s">
        <v>41</v>
      </c>
      <c r="K650" s="103">
        <v>20</v>
      </c>
      <c r="L650" s="104">
        <v>90000</v>
      </c>
      <c r="M650" s="104">
        <v>1800000</v>
      </c>
      <c r="N650" s="39">
        <f t="shared" ref="N650:N651" si="142">+K650*25000</f>
        <v>500000</v>
      </c>
      <c r="O650" s="107">
        <f>+M650*$O$1</f>
        <v>324000</v>
      </c>
      <c r="P650" s="108">
        <f>+N650+O650</f>
        <v>824000</v>
      </c>
      <c r="Q650" s="39">
        <v>100</v>
      </c>
      <c r="R650" s="39">
        <f t="shared" si="140"/>
        <v>1800000</v>
      </c>
      <c r="S650" s="42">
        <f t="shared" si="141"/>
        <v>0</v>
      </c>
    </row>
    <row r="651" spans="1:19">
      <c r="A651" s="99">
        <v>2026</v>
      </c>
      <c r="B651" s="100">
        <v>1</v>
      </c>
      <c r="C651" s="101">
        <v>46045</v>
      </c>
      <c r="D651" s="101" t="str">
        <f t="shared" si="138"/>
        <v>GB000000192Шохжахон ипс</v>
      </c>
      <c r="E651" s="99" t="s">
        <v>77</v>
      </c>
      <c r="F651" s="102" t="s">
        <v>78</v>
      </c>
      <c r="G651" s="102" t="s">
        <v>78</v>
      </c>
      <c r="H651" s="99" t="s">
        <v>19</v>
      </c>
      <c r="I651" s="102" t="s">
        <v>79</v>
      </c>
      <c r="J651" s="102" t="s">
        <v>41</v>
      </c>
      <c r="K651" s="103">
        <v>150</v>
      </c>
      <c r="L651" s="104">
        <v>90000</v>
      </c>
      <c r="M651" s="104">
        <v>13500000</v>
      </c>
      <c r="N651" s="39">
        <f t="shared" si="142"/>
        <v>3750000</v>
      </c>
      <c r="O651" s="107">
        <f>+M651*$O$1</f>
        <v>2430000</v>
      </c>
      <c r="P651" s="108">
        <f>+N651+O651</f>
        <v>6180000</v>
      </c>
      <c r="Q651" s="39">
        <v>100</v>
      </c>
      <c r="R651" s="39">
        <f t="shared" si="140"/>
        <v>13500000</v>
      </c>
      <c r="S651" s="42">
        <f t="shared" si="141"/>
        <v>0</v>
      </c>
    </row>
    <row r="652" spans="1:19">
      <c r="A652" s="99">
        <v>2026</v>
      </c>
      <c r="B652" s="100">
        <v>1</v>
      </c>
      <c r="C652" s="101">
        <v>46045</v>
      </c>
      <c r="D652" s="101" t="str">
        <f t="shared" si="138"/>
        <v>GB000000192Шохжахон ипс</v>
      </c>
      <c r="E652" s="99" t="s">
        <v>77</v>
      </c>
      <c r="F652" s="102" t="s">
        <v>78</v>
      </c>
      <c r="G652" s="102" t="s">
        <v>78</v>
      </c>
      <c r="H652" s="99" t="s">
        <v>19</v>
      </c>
      <c r="I652" s="102" t="s">
        <v>79</v>
      </c>
      <c r="J652" s="102" t="s">
        <v>46</v>
      </c>
      <c r="K652" s="103">
        <v>120</v>
      </c>
      <c r="L652" s="104">
        <v>64700</v>
      </c>
      <c r="M652" s="104">
        <v>7764000</v>
      </c>
      <c r="N652" s="39">
        <f>20000*K652</f>
        <v>2400000</v>
      </c>
      <c r="O652" s="107">
        <f>+M652*$O$1</f>
        <v>1397520</v>
      </c>
      <c r="P652" s="108">
        <f>+N652+O652</f>
        <v>3797520</v>
      </c>
      <c r="Q652" s="39">
        <v>100</v>
      </c>
      <c r="R652" s="39">
        <f t="shared" si="140"/>
        <v>7764000</v>
      </c>
      <c r="S652" s="42">
        <f t="shared" si="141"/>
        <v>0</v>
      </c>
    </row>
    <row r="653" spans="1:19">
      <c r="A653" s="99">
        <v>2026</v>
      </c>
      <c r="B653" s="100">
        <v>1</v>
      </c>
      <c r="C653" s="101">
        <v>46045</v>
      </c>
      <c r="D653" s="101" t="str">
        <f t="shared" si="138"/>
        <v>GB000000192Шохжахон ипс</v>
      </c>
      <c r="E653" s="99" t="s">
        <v>77</v>
      </c>
      <c r="F653" s="102" t="s">
        <v>78</v>
      </c>
      <c r="G653" s="102" t="s">
        <v>78</v>
      </c>
      <c r="H653" s="99" t="s">
        <v>19</v>
      </c>
      <c r="I653" s="102" t="s">
        <v>79</v>
      </c>
      <c r="J653" s="102" t="s">
        <v>38</v>
      </c>
      <c r="K653" s="103">
        <v>150</v>
      </c>
      <c r="L653" s="104">
        <v>65000</v>
      </c>
      <c r="M653" s="104">
        <v>9750000</v>
      </c>
      <c r="N653" s="39">
        <f t="shared" ref="N653:N654" si="143">+K653*20000</f>
        <v>3000000</v>
      </c>
      <c r="O653" s="107">
        <f>+M653*$O$1</f>
        <v>1755000</v>
      </c>
      <c r="P653" s="108">
        <f>+N653+O653</f>
        <v>4755000</v>
      </c>
      <c r="Q653" s="39">
        <v>100</v>
      </c>
      <c r="R653" s="39">
        <f t="shared" si="140"/>
        <v>9750000</v>
      </c>
      <c r="S653" s="42">
        <f t="shared" si="141"/>
        <v>0</v>
      </c>
    </row>
    <row r="654" spans="1:19">
      <c r="A654" s="99">
        <v>2026</v>
      </c>
      <c r="B654" s="100">
        <v>1</v>
      </c>
      <c r="C654" s="101">
        <v>46048</v>
      </c>
      <c r="D654" s="101" t="str">
        <f t="shared" si="138"/>
        <v>GB000000213Ташкент_Дилнавоз опа</v>
      </c>
      <c r="E654" s="99" t="s">
        <v>80</v>
      </c>
      <c r="F654" s="102" t="s">
        <v>59</v>
      </c>
      <c r="G654" s="102" t="s">
        <v>36</v>
      </c>
      <c r="H654" s="99" t="s">
        <v>19</v>
      </c>
      <c r="I654" s="102" t="s">
        <v>81</v>
      </c>
      <c r="J654" s="102" t="s">
        <v>38</v>
      </c>
      <c r="K654" s="103">
        <v>30</v>
      </c>
      <c r="L654" s="104">
        <v>65000</v>
      </c>
      <c r="M654" s="104">
        <v>1950000</v>
      </c>
      <c r="N654" s="39">
        <f t="shared" si="143"/>
        <v>600000</v>
      </c>
      <c r="O654" s="107">
        <f>+M654*$O$1</f>
        <v>351000</v>
      </c>
      <c r="P654" s="108">
        <f>+N654+O654</f>
        <v>951000</v>
      </c>
      <c r="Q654" s="39">
        <v>100</v>
      </c>
      <c r="R654" s="39">
        <f t="shared" si="140"/>
        <v>1950000</v>
      </c>
      <c r="S654" s="42">
        <f t="shared" si="141"/>
        <v>0</v>
      </c>
    </row>
    <row r="655" spans="1:19">
      <c r="A655" s="99">
        <v>2026</v>
      </c>
      <c r="B655" s="100">
        <v>1</v>
      </c>
      <c r="C655" s="101">
        <v>46048</v>
      </c>
      <c r="D655" s="101" t="str">
        <f t="shared" si="138"/>
        <v>GB000000215Навоий_Мехриддин ака</v>
      </c>
      <c r="E655" s="99" t="s">
        <v>82</v>
      </c>
      <c r="F655" s="102" t="s">
        <v>43</v>
      </c>
      <c r="G655" s="102" t="s">
        <v>44</v>
      </c>
      <c r="H655" s="99" t="s">
        <v>19</v>
      </c>
      <c r="I655" s="102" t="s">
        <v>83</v>
      </c>
      <c r="J655" s="102" t="s">
        <v>46</v>
      </c>
      <c r="K655" s="103">
        <v>10</v>
      </c>
      <c r="L655" s="104">
        <v>64700</v>
      </c>
      <c r="M655" s="104">
        <v>647000</v>
      </c>
      <c r="N655" s="39">
        <f>20000*K655</f>
        <v>200000</v>
      </c>
      <c r="O655" s="107">
        <f>+M655*$O$1</f>
        <v>116460</v>
      </c>
      <c r="P655" s="108">
        <f>+N655+O655</f>
        <v>316460</v>
      </c>
      <c r="Q655" s="39">
        <v>100</v>
      </c>
      <c r="R655" s="39">
        <f t="shared" si="140"/>
        <v>647000</v>
      </c>
      <c r="S655" s="42">
        <f t="shared" si="141"/>
        <v>0</v>
      </c>
    </row>
    <row r="656" spans="1:19">
      <c r="A656" s="99">
        <v>2026</v>
      </c>
      <c r="B656" s="100">
        <v>1</v>
      </c>
      <c r="C656" s="101">
        <v>46050</v>
      </c>
      <c r="D656" s="101" t="str">
        <f t="shared" si="138"/>
        <v>GB000000236Ташкент_Дилнавоз опа</v>
      </c>
      <c r="E656" s="99" t="s">
        <v>84</v>
      </c>
      <c r="F656" s="102" t="s">
        <v>48</v>
      </c>
      <c r="G656" s="102" t="s">
        <v>36</v>
      </c>
      <c r="H656" s="99" t="s">
        <v>19</v>
      </c>
      <c r="I656" s="102" t="s">
        <v>85</v>
      </c>
      <c r="J656" s="102" t="s">
        <v>41</v>
      </c>
      <c r="K656" s="103">
        <v>10</v>
      </c>
      <c r="L656" s="104">
        <v>90000</v>
      </c>
      <c r="M656" s="104">
        <v>900000</v>
      </c>
      <c r="N656" s="39">
        <f>+K656*25000</f>
        <v>250000</v>
      </c>
      <c r="O656" s="107">
        <f>+M656*$O$1</f>
        <v>162000</v>
      </c>
      <c r="P656" s="108">
        <f>+N656+O656</f>
        <v>412000</v>
      </c>
      <c r="Q656" s="39">
        <v>100</v>
      </c>
      <c r="R656" s="39">
        <f t="shared" si="140"/>
        <v>900000</v>
      </c>
      <c r="S656" s="42">
        <f t="shared" si="141"/>
        <v>0</v>
      </c>
    </row>
    <row r="657" spans="1:19">
      <c r="A657" s="99">
        <v>2026</v>
      </c>
      <c r="B657" s="100">
        <v>1</v>
      </c>
      <c r="C657" s="101">
        <v>46050</v>
      </c>
      <c r="D657" s="101" t="str">
        <f t="shared" si="138"/>
        <v>GB000000241Ташкент_Дилнавоз опа</v>
      </c>
      <c r="E657" s="99" t="s">
        <v>86</v>
      </c>
      <c r="F657" s="102" t="s">
        <v>48</v>
      </c>
      <c r="G657" s="102" t="s">
        <v>36</v>
      </c>
      <c r="H657" s="99" t="s">
        <v>19</v>
      </c>
      <c r="I657" s="102" t="s">
        <v>71</v>
      </c>
      <c r="J657" s="102" t="s">
        <v>38</v>
      </c>
      <c r="K657" s="103">
        <v>50</v>
      </c>
      <c r="L657" s="104">
        <v>65000</v>
      </c>
      <c r="M657" s="104">
        <v>3250000</v>
      </c>
      <c r="N657" s="39">
        <f>+K657*20000</f>
        <v>1000000</v>
      </c>
      <c r="O657" s="107">
        <f>+M657*$O$1</f>
        <v>585000</v>
      </c>
      <c r="P657" s="108">
        <f>+N657+O657</f>
        <v>1585000</v>
      </c>
      <c r="Q657" s="39">
        <v>100</v>
      </c>
      <c r="R657" s="39">
        <f t="shared" si="140"/>
        <v>3250000</v>
      </c>
      <c r="S657" s="42">
        <f t="shared" si="141"/>
        <v>0</v>
      </c>
    </row>
    <row r="658" spans="1:19">
      <c r="A658" s="99">
        <v>2026</v>
      </c>
      <c r="B658" s="100">
        <v>1</v>
      </c>
      <c r="C658" s="101">
        <v>46050</v>
      </c>
      <c r="D658" s="101" t="str">
        <f t="shared" si="138"/>
        <v>GB000000244Ташкент_Дилнавоз опа</v>
      </c>
      <c r="E658" s="99" t="s">
        <v>87</v>
      </c>
      <c r="F658" s="102" t="s">
        <v>35</v>
      </c>
      <c r="G658" s="102" t="s">
        <v>36</v>
      </c>
      <c r="H658" s="99" t="s">
        <v>19</v>
      </c>
      <c r="I658" s="102" t="s">
        <v>40</v>
      </c>
      <c r="J658" s="102" t="s">
        <v>41</v>
      </c>
      <c r="K658" s="103">
        <v>30</v>
      </c>
      <c r="L658" s="104">
        <v>90000</v>
      </c>
      <c r="M658" s="104">
        <v>2700000</v>
      </c>
      <c r="N658" s="39">
        <f>+K658*25000</f>
        <v>750000</v>
      </c>
      <c r="O658" s="107">
        <f>+M658*$O$1</f>
        <v>486000</v>
      </c>
      <c r="P658" s="108">
        <f>+N658+O658</f>
        <v>1236000</v>
      </c>
      <c r="Q658" s="39">
        <v>100</v>
      </c>
      <c r="R658" s="39">
        <f t="shared" si="140"/>
        <v>2700000</v>
      </c>
      <c r="S658" s="42">
        <f t="shared" si="141"/>
        <v>0</v>
      </c>
    </row>
    <row r="659" spans="1:19">
      <c r="A659" s="99">
        <v>2026</v>
      </c>
      <c r="B659" s="100">
        <v>1</v>
      </c>
      <c r="C659" s="101">
        <v>46052</v>
      </c>
      <c r="D659" s="101" t="str">
        <f t="shared" si="138"/>
        <v>GB000000272Ташкент_Дилнавоз опа</v>
      </c>
      <c r="E659" s="99" t="s">
        <v>88</v>
      </c>
      <c r="F659" s="102" t="s">
        <v>48</v>
      </c>
      <c r="G659" s="102" t="s">
        <v>36</v>
      </c>
      <c r="H659" s="99" t="s">
        <v>19</v>
      </c>
      <c r="I659" s="102" t="s">
        <v>89</v>
      </c>
      <c r="J659" s="102" t="s">
        <v>38</v>
      </c>
      <c r="K659" s="103">
        <v>10</v>
      </c>
      <c r="L659" s="104">
        <v>65000</v>
      </c>
      <c r="M659" s="104">
        <v>650000</v>
      </c>
      <c r="N659" s="39">
        <f>+K659*20000</f>
        <v>200000</v>
      </c>
      <c r="O659" s="107">
        <f>+M659*$O$1</f>
        <v>117000</v>
      </c>
      <c r="P659" s="108">
        <f>+N659+O659</f>
        <v>317000</v>
      </c>
      <c r="Q659" s="39">
        <v>100</v>
      </c>
      <c r="R659" s="39">
        <f t="shared" si="140"/>
        <v>650000</v>
      </c>
      <c r="S659" s="42">
        <f t="shared" si="141"/>
        <v>0</v>
      </c>
    </row>
    <row r="660" spans="1:19">
      <c r="A660" s="99">
        <v>2026</v>
      </c>
      <c r="B660" s="100">
        <v>1</v>
      </c>
      <c r="C660" s="101">
        <v>46052</v>
      </c>
      <c r="D660" s="101" t="str">
        <f t="shared" si="138"/>
        <v>GB000000272Ташкент_Дилнавоз опа</v>
      </c>
      <c r="E660" s="99" t="s">
        <v>88</v>
      </c>
      <c r="F660" s="102" t="s">
        <v>48</v>
      </c>
      <c r="G660" s="102" t="s">
        <v>36</v>
      </c>
      <c r="H660" s="99" t="s">
        <v>19</v>
      </c>
      <c r="I660" s="102" t="s">
        <v>89</v>
      </c>
      <c r="J660" s="102" t="s">
        <v>41</v>
      </c>
      <c r="K660" s="103">
        <v>10</v>
      </c>
      <c r="L660" s="104">
        <v>90000</v>
      </c>
      <c r="M660" s="104">
        <v>900000</v>
      </c>
      <c r="N660" s="39">
        <f>+K660*25000</f>
        <v>250000</v>
      </c>
      <c r="O660" s="107">
        <f>+M660*$O$1</f>
        <v>162000</v>
      </c>
      <c r="P660" s="108">
        <f>+N660+O660</f>
        <v>412000</v>
      </c>
      <c r="Q660" s="39">
        <v>100</v>
      </c>
      <c r="R660" s="39">
        <f t="shared" si="140"/>
        <v>900000</v>
      </c>
      <c r="S660" s="42">
        <f t="shared" si="141"/>
        <v>0</v>
      </c>
    </row>
    <row r="661" spans="1:19">
      <c r="A661" s="99">
        <v>2026</v>
      </c>
      <c r="B661" s="100">
        <v>1</v>
      </c>
      <c r="C661" s="101">
        <v>46052</v>
      </c>
      <c r="D661" s="101" t="str">
        <f t="shared" si="138"/>
        <v>GB000000281Навоий_Мехриддин ака</v>
      </c>
      <c r="E661" s="99" t="s">
        <v>90</v>
      </c>
      <c r="F661" s="102" t="s">
        <v>43</v>
      </c>
      <c r="G661" s="102" t="s">
        <v>44</v>
      </c>
      <c r="H661" s="99" t="s">
        <v>19</v>
      </c>
      <c r="I661" s="102" t="s">
        <v>91</v>
      </c>
      <c r="J661" s="102" t="s">
        <v>46</v>
      </c>
      <c r="K661" s="103">
        <v>10</v>
      </c>
      <c r="L661" s="104">
        <v>64700</v>
      </c>
      <c r="M661" s="104">
        <v>647000</v>
      </c>
      <c r="N661" s="39">
        <f t="shared" ref="N661:N663" si="144">20000*K661</f>
        <v>200000</v>
      </c>
      <c r="O661" s="107">
        <f>+M661*$O$1</f>
        <v>116460</v>
      </c>
      <c r="P661" s="108">
        <f>+N661+O661</f>
        <v>316460</v>
      </c>
      <c r="Q661" s="39">
        <v>100</v>
      </c>
      <c r="R661" s="39">
        <f t="shared" si="140"/>
        <v>647000</v>
      </c>
      <c r="S661" s="42">
        <f t="shared" si="141"/>
        <v>0</v>
      </c>
    </row>
    <row r="662" spans="1:19">
      <c r="A662" s="99">
        <v>2026</v>
      </c>
      <c r="B662" s="100">
        <v>2</v>
      </c>
      <c r="C662" s="101">
        <v>46055</v>
      </c>
      <c r="D662" s="101" t="str">
        <f t="shared" si="138"/>
        <v>GB000000297Навоий_Мехриддин ака</v>
      </c>
      <c r="E662" s="99" t="s">
        <v>92</v>
      </c>
      <c r="F662" s="102"/>
      <c r="G662" s="102" t="s">
        <v>44</v>
      </c>
      <c r="H662" s="99" t="s">
        <v>19</v>
      </c>
      <c r="I662" s="102" t="s">
        <v>93</v>
      </c>
      <c r="J662" s="102" t="s">
        <v>46</v>
      </c>
      <c r="K662" s="103">
        <v>20</v>
      </c>
      <c r="L662" s="104">
        <v>64700</v>
      </c>
      <c r="M662" s="104">
        <v>1294000</v>
      </c>
      <c r="N662" s="39">
        <f t="shared" si="144"/>
        <v>400000</v>
      </c>
      <c r="O662" s="107">
        <f>+M662*$O$1</f>
        <v>232920</v>
      </c>
      <c r="P662" s="108">
        <f>+N662+O662</f>
        <v>632920</v>
      </c>
      <c r="Q662" s="39">
        <v>0</v>
      </c>
      <c r="R662" s="39">
        <f t="shared" si="140"/>
        <v>0</v>
      </c>
      <c r="S662" s="42">
        <f t="shared" si="141"/>
        <v>1294000</v>
      </c>
    </row>
    <row r="663" spans="1:19">
      <c r="A663" s="99">
        <v>2026</v>
      </c>
      <c r="B663" s="100">
        <v>2</v>
      </c>
      <c r="C663" s="101">
        <v>46055</v>
      </c>
      <c r="D663" s="101" t="str">
        <f t="shared" si="138"/>
        <v>GB000000297Навоий_Мехриддин ака</v>
      </c>
      <c r="E663" s="99" t="s">
        <v>92</v>
      </c>
      <c r="F663" s="102"/>
      <c r="G663" s="102" t="s">
        <v>44</v>
      </c>
      <c r="H663" s="99" t="s">
        <v>19</v>
      </c>
      <c r="I663" s="102" t="s">
        <v>93</v>
      </c>
      <c r="J663" s="102" t="s">
        <v>46</v>
      </c>
      <c r="K663" s="103">
        <v>20</v>
      </c>
      <c r="L663" s="104">
        <v>64700</v>
      </c>
      <c r="M663" s="104">
        <v>1294000</v>
      </c>
      <c r="N663" s="39">
        <f t="shared" si="144"/>
        <v>400000</v>
      </c>
      <c r="O663" s="107">
        <f>+M663*$O$1</f>
        <v>232920</v>
      </c>
      <c r="P663" s="108">
        <f>+N663+O663</f>
        <v>632920</v>
      </c>
      <c r="Q663" s="39">
        <v>0</v>
      </c>
      <c r="R663" s="39">
        <f t="shared" si="140"/>
        <v>0</v>
      </c>
      <c r="S663" s="42">
        <f t="shared" si="141"/>
        <v>1294000</v>
      </c>
    </row>
    <row r="664" spans="1:19">
      <c r="A664" s="99">
        <v>2026</v>
      </c>
      <c r="B664" s="100">
        <v>2</v>
      </c>
      <c r="C664" s="101">
        <v>46056</v>
      </c>
      <c r="D664" s="101" t="str">
        <f t="shared" si="138"/>
        <v>GB000000300Ташкент_Дилнавоз опа</v>
      </c>
      <c r="E664" s="99" t="s">
        <v>94</v>
      </c>
      <c r="F664" s="102" t="s">
        <v>35</v>
      </c>
      <c r="G664" s="102" t="s">
        <v>36</v>
      </c>
      <c r="H664" s="99" t="s">
        <v>19</v>
      </c>
      <c r="I664" s="102" t="s">
        <v>75</v>
      </c>
      <c r="J664" s="102" t="s">
        <v>41</v>
      </c>
      <c r="K664" s="103">
        <v>20</v>
      </c>
      <c r="L664" s="104">
        <v>90000</v>
      </c>
      <c r="M664" s="104">
        <v>1800000</v>
      </c>
      <c r="N664" s="39">
        <f>+K664*25000</f>
        <v>500000</v>
      </c>
      <c r="O664" s="107">
        <f>+M664*$O$1</f>
        <v>324000</v>
      </c>
      <c r="P664" s="108">
        <f>+N664+O664</f>
        <v>824000</v>
      </c>
      <c r="Q664" s="39">
        <v>100</v>
      </c>
      <c r="R664" s="39">
        <f t="shared" si="140"/>
        <v>1800000</v>
      </c>
      <c r="S664" s="42">
        <f t="shared" si="141"/>
        <v>0</v>
      </c>
    </row>
    <row r="665" spans="1:19">
      <c r="A665" s="99">
        <v>2026</v>
      </c>
      <c r="B665" s="100">
        <v>2</v>
      </c>
      <c r="C665" s="101">
        <v>46056</v>
      </c>
      <c r="D665" s="101" t="str">
        <f t="shared" si="138"/>
        <v>GB000000300Ташкент_Дилнавоз опа</v>
      </c>
      <c r="E665" s="99" t="s">
        <v>94</v>
      </c>
      <c r="F665" s="102" t="s">
        <v>35</v>
      </c>
      <c r="G665" s="102" t="s">
        <v>36</v>
      </c>
      <c r="H665" s="99" t="s">
        <v>19</v>
      </c>
      <c r="I665" s="102" t="s">
        <v>75</v>
      </c>
      <c r="J665" s="102" t="s">
        <v>46</v>
      </c>
      <c r="K665" s="103">
        <v>30</v>
      </c>
      <c r="L665" s="104">
        <v>64700</v>
      </c>
      <c r="M665" s="104">
        <v>1941000</v>
      </c>
      <c r="N665" s="39">
        <f>20000*K665</f>
        <v>600000</v>
      </c>
      <c r="O665" s="107">
        <f>+M665*$O$1</f>
        <v>349380</v>
      </c>
      <c r="P665" s="108">
        <f>+N665+O665</f>
        <v>949380</v>
      </c>
      <c r="Q665" s="39">
        <v>100</v>
      </c>
      <c r="R665" s="39">
        <f t="shared" si="140"/>
        <v>1941000</v>
      </c>
      <c r="S665" s="42">
        <f t="shared" si="141"/>
        <v>0</v>
      </c>
    </row>
    <row r="666" spans="1:19">
      <c r="A666" s="99">
        <v>2026</v>
      </c>
      <c r="B666" s="100">
        <v>2</v>
      </c>
      <c r="C666" s="101">
        <v>46056</v>
      </c>
      <c r="D666" s="101" t="str">
        <f t="shared" si="138"/>
        <v>GB000000300Ташкент_Дилнавоз опа</v>
      </c>
      <c r="E666" s="99" t="s">
        <v>94</v>
      </c>
      <c r="F666" s="102" t="s">
        <v>35</v>
      </c>
      <c r="G666" s="102" t="s">
        <v>36</v>
      </c>
      <c r="H666" s="99" t="s">
        <v>19</v>
      </c>
      <c r="I666" s="102" t="s">
        <v>75</v>
      </c>
      <c r="J666" s="102" t="s">
        <v>38</v>
      </c>
      <c r="K666" s="103">
        <v>20</v>
      </c>
      <c r="L666" s="104">
        <v>65000</v>
      </c>
      <c r="M666" s="104">
        <v>1300000</v>
      </c>
      <c r="N666" s="39">
        <f>+K666*20000</f>
        <v>400000</v>
      </c>
      <c r="O666" s="107">
        <f>+M666*$O$1</f>
        <v>234000</v>
      </c>
      <c r="P666" s="108">
        <f>+N666+O666</f>
        <v>634000</v>
      </c>
      <c r="Q666" s="39">
        <v>100</v>
      </c>
      <c r="R666" s="39">
        <f t="shared" si="140"/>
        <v>1300000</v>
      </c>
      <c r="S666" s="42">
        <f t="shared" si="141"/>
        <v>0</v>
      </c>
    </row>
    <row r="667" spans="1:19">
      <c r="A667" s="99">
        <v>2026</v>
      </c>
      <c r="B667" s="100">
        <v>2</v>
      </c>
      <c r="C667" s="101">
        <v>46056</v>
      </c>
      <c r="D667" s="101" t="str">
        <f t="shared" si="138"/>
        <v>GB000000303Навоий_Мехриддин ака</v>
      </c>
      <c r="E667" s="99" t="s">
        <v>95</v>
      </c>
      <c r="F667" s="102" t="s">
        <v>43</v>
      </c>
      <c r="G667" s="102" t="s">
        <v>44</v>
      </c>
      <c r="H667" s="99" t="s">
        <v>19</v>
      </c>
      <c r="I667" s="102" t="s">
        <v>64</v>
      </c>
      <c r="J667" s="102" t="s">
        <v>46</v>
      </c>
      <c r="K667" s="103">
        <v>20</v>
      </c>
      <c r="L667" s="104">
        <v>64700</v>
      </c>
      <c r="M667" s="104">
        <v>1294000</v>
      </c>
      <c r="N667" s="39">
        <f>20000*K667</f>
        <v>400000</v>
      </c>
      <c r="O667" s="107">
        <f>+M667*$O$1</f>
        <v>232920</v>
      </c>
      <c r="P667" s="108">
        <f>+N667+O667</f>
        <v>632920</v>
      </c>
      <c r="Q667" s="39">
        <v>100</v>
      </c>
      <c r="R667" s="39">
        <f t="shared" si="140"/>
        <v>1294000</v>
      </c>
      <c r="S667" s="42">
        <f t="shared" si="141"/>
        <v>0</v>
      </c>
    </row>
    <row r="668" spans="1:19">
      <c r="A668" s="99">
        <v>2026</v>
      </c>
      <c r="B668" s="100">
        <v>2</v>
      </c>
      <c r="C668" s="101">
        <v>46057</v>
      </c>
      <c r="D668" s="101" t="str">
        <f t="shared" si="138"/>
        <v>GB000000323Ташкент_Дилнавоз опа</v>
      </c>
      <c r="E668" s="99" t="s">
        <v>96</v>
      </c>
      <c r="F668" s="102" t="s">
        <v>48</v>
      </c>
      <c r="G668" s="102" t="s">
        <v>36</v>
      </c>
      <c r="H668" s="99" t="s">
        <v>19</v>
      </c>
      <c r="I668" s="102" t="s">
        <v>97</v>
      </c>
      <c r="J668" s="102" t="s">
        <v>38</v>
      </c>
      <c r="K668" s="103">
        <v>20</v>
      </c>
      <c r="L668" s="104">
        <v>65000</v>
      </c>
      <c r="M668" s="104">
        <v>1300000</v>
      </c>
      <c r="N668" s="39">
        <f>+K668*20000</f>
        <v>400000</v>
      </c>
      <c r="O668" s="107">
        <f>+M668*$O$1</f>
        <v>234000</v>
      </c>
      <c r="P668" s="108">
        <f>+N668+O668</f>
        <v>634000</v>
      </c>
      <c r="Q668" s="39">
        <v>100</v>
      </c>
      <c r="R668" s="39">
        <f t="shared" si="140"/>
        <v>1300000</v>
      </c>
      <c r="S668" s="42">
        <f t="shared" si="141"/>
        <v>0</v>
      </c>
    </row>
    <row r="669" spans="1:19">
      <c r="A669" s="99">
        <v>2026</v>
      </c>
      <c r="B669" s="100">
        <v>2</v>
      </c>
      <c r="C669" s="101">
        <v>46057</v>
      </c>
      <c r="D669" s="101" t="str">
        <f t="shared" si="138"/>
        <v>GB000000324Навоий_Мехриддин ака</v>
      </c>
      <c r="E669" s="99" t="s">
        <v>98</v>
      </c>
      <c r="F669" s="102" t="s">
        <v>43</v>
      </c>
      <c r="G669" s="102" t="s">
        <v>44</v>
      </c>
      <c r="H669" s="99" t="s">
        <v>19</v>
      </c>
      <c r="I669" s="102" t="s">
        <v>99</v>
      </c>
      <c r="J669" s="102" t="s">
        <v>46</v>
      </c>
      <c r="K669" s="103">
        <v>25</v>
      </c>
      <c r="L669" s="104">
        <v>64700</v>
      </c>
      <c r="M669" s="104">
        <v>1617500</v>
      </c>
      <c r="N669" s="39">
        <f>20000*K669</f>
        <v>500000</v>
      </c>
      <c r="O669" s="107">
        <f>+M669*$O$1</f>
        <v>291150</v>
      </c>
      <c r="P669" s="108">
        <f>+N669+O669</f>
        <v>791150</v>
      </c>
      <c r="Q669" s="39">
        <v>100</v>
      </c>
      <c r="R669" s="39">
        <f t="shared" si="140"/>
        <v>1617500</v>
      </c>
      <c r="S669" s="42">
        <f t="shared" si="141"/>
        <v>0</v>
      </c>
    </row>
    <row r="670" spans="1:19">
      <c r="A670" s="99">
        <v>2026</v>
      </c>
      <c r="B670" s="100">
        <v>2</v>
      </c>
      <c r="C670" s="101">
        <v>46057</v>
      </c>
      <c r="D670" s="101" t="str">
        <f t="shared" si="138"/>
        <v>GB000000326Ташкент_Дилнавоз опа</v>
      </c>
      <c r="E670" s="99" t="s">
        <v>100</v>
      </c>
      <c r="F670" s="102" t="s">
        <v>48</v>
      </c>
      <c r="G670" s="102" t="s">
        <v>36</v>
      </c>
      <c r="H670" s="99" t="s">
        <v>19</v>
      </c>
      <c r="I670" s="102" t="s">
        <v>53</v>
      </c>
      <c r="J670" s="102" t="s">
        <v>38</v>
      </c>
      <c r="K670" s="103">
        <v>48</v>
      </c>
      <c r="L670" s="104">
        <v>65000</v>
      </c>
      <c r="M670" s="104">
        <v>3120000</v>
      </c>
      <c r="N670" s="39">
        <f t="shared" ref="N670:N672" si="145">+K670*20000</f>
        <v>960000</v>
      </c>
      <c r="O670" s="107">
        <f>+M670*$O$1</f>
        <v>561600</v>
      </c>
      <c r="P670" s="108">
        <f>+N670+O670</f>
        <v>1521600</v>
      </c>
      <c r="Q670" s="39">
        <v>100</v>
      </c>
      <c r="R670" s="39">
        <f t="shared" si="140"/>
        <v>3120000</v>
      </c>
      <c r="S670" s="42">
        <f t="shared" si="141"/>
        <v>0</v>
      </c>
    </row>
    <row r="671" spans="1:19">
      <c r="A671" s="99">
        <v>2026</v>
      </c>
      <c r="B671" s="100">
        <v>2</v>
      </c>
      <c r="C671" s="101">
        <v>46057</v>
      </c>
      <c r="D671" s="101" t="str">
        <f t="shared" si="138"/>
        <v>GB000000326Ташкент_Дилнавоз опа</v>
      </c>
      <c r="E671" s="99" t="s">
        <v>100</v>
      </c>
      <c r="F671" s="102" t="s">
        <v>48</v>
      </c>
      <c r="G671" s="102" t="s">
        <v>36</v>
      </c>
      <c r="H671" s="99" t="s">
        <v>19</v>
      </c>
      <c r="I671" s="102" t="s">
        <v>53</v>
      </c>
      <c r="J671" s="102" t="s">
        <v>38</v>
      </c>
      <c r="K671" s="103">
        <v>2</v>
      </c>
      <c r="L671" s="104">
        <v>65000</v>
      </c>
      <c r="M671" s="104">
        <v>130000</v>
      </c>
      <c r="N671" s="39">
        <f t="shared" si="145"/>
        <v>40000</v>
      </c>
      <c r="O671" s="107">
        <f>+M671*$O$1</f>
        <v>23400</v>
      </c>
      <c r="P671" s="108">
        <f>+N671+O671</f>
        <v>63400</v>
      </c>
      <c r="Q671" s="39">
        <v>100</v>
      </c>
      <c r="R671" s="39">
        <f t="shared" si="140"/>
        <v>130000</v>
      </c>
      <c r="S671" s="42">
        <f t="shared" si="141"/>
        <v>0</v>
      </c>
    </row>
    <row r="672" spans="1:19">
      <c r="A672" s="99">
        <v>2026</v>
      </c>
      <c r="B672" s="100">
        <v>2</v>
      </c>
      <c r="C672" s="101">
        <v>46058</v>
      </c>
      <c r="D672" s="101" t="str">
        <f t="shared" si="138"/>
        <v>GB000000341Ташкент_Дилнавоз опа</v>
      </c>
      <c r="E672" s="99" t="s">
        <v>101</v>
      </c>
      <c r="F672" s="102" t="s">
        <v>59</v>
      </c>
      <c r="G672" s="102" t="s">
        <v>36</v>
      </c>
      <c r="H672" s="99" t="s">
        <v>19</v>
      </c>
      <c r="I672" s="102" t="s">
        <v>81</v>
      </c>
      <c r="J672" s="102" t="s">
        <v>38</v>
      </c>
      <c r="K672" s="103">
        <v>50</v>
      </c>
      <c r="L672" s="104">
        <v>65000</v>
      </c>
      <c r="M672" s="104">
        <v>3250000</v>
      </c>
      <c r="N672" s="39">
        <f t="shared" si="145"/>
        <v>1000000</v>
      </c>
      <c r="O672" s="107">
        <f>+M672*$O$1</f>
        <v>585000</v>
      </c>
      <c r="P672" s="108">
        <f>+N672+O672</f>
        <v>1585000</v>
      </c>
      <c r="Q672" s="39">
        <v>100</v>
      </c>
      <c r="R672" s="39">
        <f t="shared" si="140"/>
        <v>3250000</v>
      </c>
      <c r="S672" s="42">
        <f t="shared" si="141"/>
        <v>0</v>
      </c>
    </row>
    <row r="673" spans="1:19">
      <c r="A673" s="99">
        <v>2026</v>
      </c>
      <c r="B673" s="100">
        <v>2</v>
      </c>
      <c r="C673" s="101">
        <v>46062</v>
      </c>
      <c r="D673" s="101" t="str">
        <f t="shared" si="138"/>
        <v>GB000000374Ташкент_Дилнавоз опа</v>
      </c>
      <c r="E673" s="99" t="s">
        <v>102</v>
      </c>
      <c r="F673" s="102" t="s">
        <v>48</v>
      </c>
      <c r="G673" s="102" t="s">
        <v>36</v>
      </c>
      <c r="H673" s="99" t="s">
        <v>19</v>
      </c>
      <c r="I673" s="102" t="s">
        <v>103</v>
      </c>
      <c r="J673" s="102" t="s">
        <v>41</v>
      </c>
      <c r="K673" s="103">
        <v>10</v>
      </c>
      <c r="L673" s="104">
        <v>90000</v>
      </c>
      <c r="M673" s="104">
        <v>900000</v>
      </c>
      <c r="N673" s="39">
        <f t="shared" ref="N673:N675" si="146">+K673*25000</f>
        <v>250000</v>
      </c>
      <c r="O673" s="107">
        <f>+M673*$O$1</f>
        <v>162000</v>
      </c>
      <c r="P673" s="108">
        <f>+N673+O673</f>
        <v>412000</v>
      </c>
      <c r="Q673" s="39">
        <v>100</v>
      </c>
      <c r="R673" s="39">
        <f t="shared" si="140"/>
        <v>900000</v>
      </c>
      <c r="S673" s="42">
        <f t="shared" si="141"/>
        <v>0</v>
      </c>
    </row>
    <row r="674" spans="1:19">
      <c r="A674" s="99">
        <v>2026</v>
      </c>
      <c r="B674" s="100">
        <v>2</v>
      </c>
      <c r="C674" s="101">
        <v>46062</v>
      </c>
      <c r="D674" s="101" t="str">
        <f t="shared" si="138"/>
        <v>GB000000380Ташкент_Дилнавоз опа</v>
      </c>
      <c r="E674" s="99" t="s">
        <v>104</v>
      </c>
      <c r="F674" s="102" t="s">
        <v>68</v>
      </c>
      <c r="G674" s="102" t="s">
        <v>36</v>
      </c>
      <c r="H674" s="99" t="s">
        <v>19</v>
      </c>
      <c r="I674" s="102" t="s">
        <v>51</v>
      </c>
      <c r="J674" s="102" t="s">
        <v>41</v>
      </c>
      <c r="K674" s="103">
        <v>20</v>
      </c>
      <c r="L674" s="104">
        <v>90000</v>
      </c>
      <c r="M674" s="104">
        <v>1800000</v>
      </c>
      <c r="N674" s="39">
        <f t="shared" si="146"/>
        <v>500000</v>
      </c>
      <c r="O674" s="107">
        <f>+M674*$O$1</f>
        <v>324000</v>
      </c>
      <c r="P674" s="108">
        <f>+N674+O674</f>
        <v>824000</v>
      </c>
      <c r="Q674" s="39">
        <v>100</v>
      </c>
      <c r="R674" s="39">
        <f t="shared" si="140"/>
        <v>1800000</v>
      </c>
      <c r="S674" s="42">
        <f t="shared" si="141"/>
        <v>0</v>
      </c>
    </row>
    <row r="675" spans="1:19">
      <c r="A675" s="99">
        <v>2026</v>
      </c>
      <c r="B675" s="100">
        <v>2</v>
      </c>
      <c r="C675" s="101">
        <v>46062</v>
      </c>
      <c r="D675" s="101" t="str">
        <f t="shared" si="138"/>
        <v>GB000000385Ташкент_Дилнавоз опа</v>
      </c>
      <c r="E675" s="99" t="s">
        <v>105</v>
      </c>
      <c r="F675" s="102" t="s">
        <v>68</v>
      </c>
      <c r="G675" s="102" t="s">
        <v>36</v>
      </c>
      <c r="H675" s="99" t="s">
        <v>19</v>
      </c>
      <c r="I675" s="102" t="s">
        <v>69</v>
      </c>
      <c r="J675" s="102" t="s">
        <v>41</v>
      </c>
      <c r="K675" s="103">
        <v>20</v>
      </c>
      <c r="L675" s="104">
        <v>90000</v>
      </c>
      <c r="M675" s="104">
        <v>1800000</v>
      </c>
      <c r="N675" s="39">
        <f t="shared" si="146"/>
        <v>500000</v>
      </c>
      <c r="O675" s="107">
        <f>+M675*$O$1</f>
        <v>324000</v>
      </c>
      <c r="P675" s="108">
        <f>+N675+O675</f>
        <v>824000</v>
      </c>
      <c r="Q675" s="39">
        <v>100</v>
      </c>
      <c r="R675" s="39">
        <f t="shared" si="140"/>
        <v>1800000</v>
      </c>
      <c r="S675" s="42">
        <f t="shared" si="141"/>
        <v>0</v>
      </c>
    </row>
    <row r="676" spans="1:19">
      <c r="A676" s="99">
        <v>2026</v>
      </c>
      <c r="B676" s="100">
        <v>2</v>
      </c>
      <c r="C676" s="101">
        <v>46062</v>
      </c>
      <c r="D676" s="101" t="str">
        <f t="shared" si="138"/>
        <v>GB000000385Ташкент_Дилнавоз опа</v>
      </c>
      <c r="E676" s="99" t="s">
        <v>105</v>
      </c>
      <c r="F676" s="102" t="s">
        <v>68</v>
      </c>
      <c r="G676" s="102" t="s">
        <v>36</v>
      </c>
      <c r="H676" s="99" t="s">
        <v>19</v>
      </c>
      <c r="I676" s="102" t="s">
        <v>69</v>
      </c>
      <c r="J676" s="102" t="s">
        <v>38</v>
      </c>
      <c r="K676" s="103">
        <v>20</v>
      </c>
      <c r="L676" s="104">
        <v>65000</v>
      </c>
      <c r="M676" s="104">
        <v>1300000</v>
      </c>
      <c r="N676" s="39">
        <f>+K676*20000</f>
        <v>400000</v>
      </c>
      <c r="O676" s="107">
        <f>+M676*$O$1</f>
        <v>234000</v>
      </c>
      <c r="P676" s="108">
        <f>+N676+O676</f>
        <v>634000</v>
      </c>
      <c r="Q676" s="39">
        <v>100</v>
      </c>
      <c r="R676" s="39">
        <f t="shared" si="140"/>
        <v>1300000</v>
      </c>
      <c r="S676" s="42">
        <f t="shared" si="141"/>
        <v>0</v>
      </c>
    </row>
    <row r="677" spans="1:19">
      <c r="A677" s="99">
        <v>2026</v>
      </c>
      <c r="B677" s="100">
        <v>2</v>
      </c>
      <c r="C677" s="101">
        <v>46062</v>
      </c>
      <c r="D677" s="101" t="str">
        <f t="shared" si="138"/>
        <v>GB000000385Ташкент_Дилнавоз опа</v>
      </c>
      <c r="E677" s="99" t="s">
        <v>105</v>
      </c>
      <c r="F677" s="102" t="s">
        <v>68</v>
      </c>
      <c r="G677" s="102" t="s">
        <v>36</v>
      </c>
      <c r="H677" s="99" t="s">
        <v>19</v>
      </c>
      <c r="I677" s="102" t="s">
        <v>69</v>
      </c>
      <c r="J677" s="102" t="s">
        <v>46</v>
      </c>
      <c r="K677" s="103">
        <v>20</v>
      </c>
      <c r="L677" s="104">
        <v>64700</v>
      </c>
      <c r="M677" s="104">
        <v>1294000</v>
      </c>
      <c r="N677" s="39">
        <f t="shared" ref="N677:N678" si="147">20000*K677</f>
        <v>400000</v>
      </c>
      <c r="O677" s="107">
        <f>+M677*$O$1</f>
        <v>232920</v>
      </c>
      <c r="P677" s="108">
        <f>+N677+O677</f>
        <v>632920</v>
      </c>
      <c r="Q677" s="39">
        <v>100</v>
      </c>
      <c r="R677" s="39">
        <f t="shared" si="140"/>
        <v>1294000</v>
      </c>
      <c r="S677" s="42">
        <f t="shared" si="141"/>
        <v>0</v>
      </c>
    </row>
    <row r="678" spans="1:19">
      <c r="A678" s="99">
        <v>2026</v>
      </c>
      <c r="B678" s="100">
        <v>2</v>
      </c>
      <c r="C678" s="101">
        <v>46063</v>
      </c>
      <c r="D678" s="101" t="str">
        <f t="shared" si="138"/>
        <v>GB000000404Ташкент_Дилнавоз опа</v>
      </c>
      <c r="E678" s="99" t="s">
        <v>106</v>
      </c>
      <c r="F678" s="102" t="s">
        <v>35</v>
      </c>
      <c r="G678" s="102" t="s">
        <v>36</v>
      </c>
      <c r="H678" s="99" t="s">
        <v>19</v>
      </c>
      <c r="I678" s="102" t="s">
        <v>75</v>
      </c>
      <c r="J678" s="102" t="s">
        <v>46</v>
      </c>
      <c r="K678" s="103">
        <v>50</v>
      </c>
      <c r="L678" s="104">
        <v>64700</v>
      </c>
      <c r="M678" s="104">
        <v>3235000</v>
      </c>
      <c r="N678" s="39">
        <f t="shared" si="147"/>
        <v>1000000</v>
      </c>
      <c r="O678" s="107">
        <f>+M678*$O$1</f>
        <v>582300</v>
      </c>
      <c r="P678" s="108">
        <f>+N678+O678</f>
        <v>1582300</v>
      </c>
      <c r="Q678" s="39">
        <v>100</v>
      </c>
      <c r="R678" s="39">
        <f t="shared" si="140"/>
        <v>3235000</v>
      </c>
      <c r="S678" s="42">
        <f t="shared" si="141"/>
        <v>0</v>
      </c>
    </row>
    <row r="679" spans="1:19">
      <c r="A679" s="99">
        <v>2026</v>
      </c>
      <c r="B679" s="100">
        <v>2</v>
      </c>
      <c r="C679" s="101">
        <v>46063</v>
      </c>
      <c r="D679" s="101" t="str">
        <f t="shared" si="138"/>
        <v>GB000000404Ташкент_Дилнавоз опа</v>
      </c>
      <c r="E679" s="99" t="s">
        <v>106</v>
      </c>
      <c r="F679" s="102" t="s">
        <v>35</v>
      </c>
      <c r="G679" s="102" t="s">
        <v>36</v>
      </c>
      <c r="H679" s="99" t="s">
        <v>19</v>
      </c>
      <c r="I679" s="102" t="s">
        <v>75</v>
      </c>
      <c r="J679" s="102" t="s">
        <v>38</v>
      </c>
      <c r="K679" s="103">
        <v>20</v>
      </c>
      <c r="L679" s="104">
        <v>65000</v>
      </c>
      <c r="M679" s="104">
        <v>1300000</v>
      </c>
      <c r="N679" s="39">
        <f t="shared" ref="N679:N680" si="148">+K679*20000</f>
        <v>400000</v>
      </c>
      <c r="O679" s="107">
        <f>+M679*$O$1</f>
        <v>234000</v>
      </c>
      <c r="P679" s="108">
        <f>+N679+O679</f>
        <v>634000</v>
      </c>
      <c r="Q679" s="39">
        <v>100</v>
      </c>
      <c r="R679" s="39">
        <f t="shared" si="140"/>
        <v>1300000</v>
      </c>
      <c r="S679" s="42">
        <f t="shared" si="141"/>
        <v>0</v>
      </c>
    </row>
    <row r="680" spans="1:19">
      <c r="A680" s="99">
        <v>2026</v>
      </c>
      <c r="B680" s="100">
        <v>2</v>
      </c>
      <c r="C680" s="101">
        <v>46063</v>
      </c>
      <c r="D680" s="101" t="str">
        <f t="shared" si="138"/>
        <v>GB000000413Ташкент_Дилнавоз опа</v>
      </c>
      <c r="E680" s="99" t="s">
        <v>107</v>
      </c>
      <c r="F680" s="102" t="s">
        <v>48</v>
      </c>
      <c r="G680" s="102" t="s">
        <v>36</v>
      </c>
      <c r="H680" s="99" t="s">
        <v>19</v>
      </c>
      <c r="I680" s="102" t="s">
        <v>49</v>
      </c>
      <c r="J680" s="102" t="s">
        <v>38</v>
      </c>
      <c r="K680" s="103">
        <v>20</v>
      </c>
      <c r="L680" s="104">
        <v>65000</v>
      </c>
      <c r="M680" s="104">
        <v>1300000</v>
      </c>
      <c r="N680" s="39">
        <f t="shared" si="148"/>
        <v>400000</v>
      </c>
      <c r="O680" s="107">
        <f>+M680*$O$1</f>
        <v>234000</v>
      </c>
      <c r="P680" s="108">
        <f>+N680+O680</f>
        <v>634000</v>
      </c>
      <c r="Q680" s="39">
        <v>100</v>
      </c>
      <c r="R680" s="39">
        <f t="shared" si="140"/>
        <v>1300000</v>
      </c>
      <c r="S680" s="42">
        <f t="shared" si="141"/>
        <v>0</v>
      </c>
    </row>
    <row r="681" spans="1:19">
      <c r="A681" s="99">
        <v>2026</v>
      </c>
      <c r="B681" s="100">
        <v>2</v>
      </c>
      <c r="C681" s="101">
        <v>46065</v>
      </c>
      <c r="D681" s="101" t="str">
        <f t="shared" si="138"/>
        <v>GB000000435Навоий_Мехриддин ака</v>
      </c>
      <c r="E681" s="99" t="s">
        <v>108</v>
      </c>
      <c r="F681" s="102" t="s">
        <v>43</v>
      </c>
      <c r="G681" s="102" t="s">
        <v>44</v>
      </c>
      <c r="H681" s="99" t="s">
        <v>19</v>
      </c>
      <c r="I681" s="102" t="s">
        <v>109</v>
      </c>
      <c r="J681" s="102" t="s">
        <v>46</v>
      </c>
      <c r="K681" s="103">
        <v>30</v>
      </c>
      <c r="L681" s="104">
        <v>64700</v>
      </c>
      <c r="M681" s="104">
        <v>1941000</v>
      </c>
      <c r="N681" s="39">
        <f>20000*K681</f>
        <v>600000</v>
      </c>
      <c r="O681" s="107">
        <f>+M681*$O$1</f>
        <v>349380</v>
      </c>
      <c r="P681" s="108">
        <f>+N681+O681</f>
        <v>949380</v>
      </c>
      <c r="Q681" s="39">
        <v>19</v>
      </c>
      <c r="R681" s="39">
        <f t="shared" si="140"/>
        <v>368790</v>
      </c>
      <c r="S681" s="42">
        <f t="shared" si="141"/>
        <v>1572210</v>
      </c>
    </row>
    <row r="682" spans="1:19">
      <c r="A682" s="99">
        <v>2026</v>
      </c>
      <c r="B682" s="100">
        <v>2</v>
      </c>
      <c r="C682" s="101">
        <v>46065</v>
      </c>
      <c r="D682" s="101" t="str">
        <f t="shared" si="138"/>
        <v>GB000000440Ташкент_Дилнавоз опа</v>
      </c>
      <c r="E682" s="99" t="s">
        <v>110</v>
      </c>
      <c r="F682" s="102" t="s">
        <v>35</v>
      </c>
      <c r="G682" s="102" t="s">
        <v>36</v>
      </c>
      <c r="H682" s="99" t="s">
        <v>19</v>
      </c>
      <c r="I682" s="102" t="s">
        <v>111</v>
      </c>
      <c r="J682" s="102" t="s">
        <v>38</v>
      </c>
      <c r="K682" s="103">
        <v>10</v>
      </c>
      <c r="L682" s="104">
        <v>65000</v>
      </c>
      <c r="M682" s="104">
        <v>650000</v>
      </c>
      <c r="N682" s="39">
        <f>+K682*20000</f>
        <v>200000</v>
      </c>
      <c r="O682" s="107">
        <f>+M682*$O$1</f>
        <v>117000</v>
      </c>
      <c r="P682" s="108">
        <f>+N682+O682</f>
        <v>317000</v>
      </c>
      <c r="Q682" s="39">
        <v>100</v>
      </c>
      <c r="R682" s="39">
        <f t="shared" si="140"/>
        <v>650000</v>
      </c>
      <c r="S682" s="42">
        <f t="shared" si="141"/>
        <v>0</v>
      </c>
    </row>
    <row r="683" spans="1:19">
      <c r="A683" s="99">
        <v>2026</v>
      </c>
      <c r="B683" s="100">
        <v>2</v>
      </c>
      <c r="C683" s="101">
        <v>46065</v>
      </c>
      <c r="D683" s="101" t="str">
        <f t="shared" si="138"/>
        <v>GB000000440Ташкент_Дилнавоз опа</v>
      </c>
      <c r="E683" s="99" t="s">
        <v>110</v>
      </c>
      <c r="F683" s="102" t="s">
        <v>35</v>
      </c>
      <c r="G683" s="102" t="s">
        <v>36</v>
      </c>
      <c r="H683" s="99" t="s">
        <v>19</v>
      </c>
      <c r="I683" s="102" t="s">
        <v>111</v>
      </c>
      <c r="J683" s="102" t="s">
        <v>46</v>
      </c>
      <c r="K683" s="103">
        <v>10</v>
      </c>
      <c r="L683" s="104">
        <v>64700</v>
      </c>
      <c r="M683" s="104">
        <v>647000</v>
      </c>
      <c r="N683" s="39">
        <f>20000*K683</f>
        <v>200000</v>
      </c>
      <c r="O683" s="107">
        <f>+M683*$O$1</f>
        <v>116460</v>
      </c>
      <c r="P683" s="108">
        <f>+N683+O683</f>
        <v>316460</v>
      </c>
      <c r="Q683" s="39">
        <v>100</v>
      </c>
      <c r="R683" s="39">
        <f t="shared" si="140"/>
        <v>647000</v>
      </c>
      <c r="S683" s="42">
        <f t="shared" si="141"/>
        <v>0</v>
      </c>
    </row>
    <row r="684" spans="1:19">
      <c r="A684" s="99">
        <v>2026</v>
      </c>
      <c r="B684" s="100">
        <v>2</v>
      </c>
      <c r="C684" s="101">
        <v>46065</v>
      </c>
      <c r="D684" s="101" t="str">
        <f t="shared" si="138"/>
        <v>GB000000440Ташкент_Дилнавоз опа</v>
      </c>
      <c r="E684" s="99" t="s">
        <v>110</v>
      </c>
      <c r="F684" s="102" t="s">
        <v>35</v>
      </c>
      <c r="G684" s="102" t="s">
        <v>36</v>
      </c>
      <c r="H684" s="99" t="s">
        <v>19</v>
      </c>
      <c r="I684" s="102" t="s">
        <v>111</v>
      </c>
      <c r="J684" s="102" t="s">
        <v>41</v>
      </c>
      <c r="K684" s="103">
        <v>10</v>
      </c>
      <c r="L684" s="104">
        <v>90000</v>
      </c>
      <c r="M684" s="104">
        <v>900000</v>
      </c>
      <c r="N684" s="39">
        <f>+K684*25000</f>
        <v>250000</v>
      </c>
      <c r="O684" s="107">
        <f>+M684*$O$1</f>
        <v>162000</v>
      </c>
      <c r="P684" s="108">
        <f>+N684+O684</f>
        <v>412000</v>
      </c>
      <c r="Q684" s="39">
        <v>100</v>
      </c>
      <c r="R684" s="39">
        <f t="shared" si="140"/>
        <v>900000</v>
      </c>
      <c r="S684" s="42">
        <f t="shared" si="141"/>
        <v>0</v>
      </c>
    </row>
    <row r="685" spans="1:19">
      <c r="A685" s="99">
        <v>2026</v>
      </c>
      <c r="B685" s="100">
        <v>2</v>
      </c>
      <c r="C685" s="101">
        <v>46065</v>
      </c>
      <c r="D685" s="101" t="str">
        <f t="shared" si="138"/>
        <v>GB000000448Навоий_Мехриддин ака</v>
      </c>
      <c r="E685" s="99" t="s">
        <v>112</v>
      </c>
      <c r="F685" s="102" t="s">
        <v>43</v>
      </c>
      <c r="G685" s="102" t="s">
        <v>44</v>
      </c>
      <c r="H685" s="99" t="s">
        <v>19</v>
      </c>
      <c r="I685" s="102" t="s">
        <v>113</v>
      </c>
      <c r="J685" s="102" t="s">
        <v>46</v>
      </c>
      <c r="K685" s="103">
        <v>5</v>
      </c>
      <c r="L685" s="104">
        <v>64700</v>
      </c>
      <c r="M685" s="104">
        <v>323500</v>
      </c>
      <c r="N685" s="39">
        <f t="shared" ref="N685:N686" si="149">20000*K685</f>
        <v>100000</v>
      </c>
      <c r="O685" s="107">
        <f>+M685*$O$1</f>
        <v>58230</v>
      </c>
      <c r="P685" s="108">
        <f>+N685+O685</f>
        <v>158230</v>
      </c>
      <c r="Q685" s="39">
        <v>100</v>
      </c>
      <c r="R685" s="39">
        <f t="shared" si="140"/>
        <v>323500</v>
      </c>
      <c r="S685" s="42">
        <f t="shared" si="141"/>
        <v>0</v>
      </c>
    </row>
    <row r="686" spans="1:19">
      <c r="A686" s="99">
        <v>2026</v>
      </c>
      <c r="B686" s="100">
        <v>2</v>
      </c>
      <c r="C686" s="101">
        <v>46066</v>
      </c>
      <c r="D686" s="101" t="str">
        <f t="shared" si="138"/>
        <v>GB000000461Шохжахон ипс</v>
      </c>
      <c r="E686" s="99" t="s">
        <v>114</v>
      </c>
      <c r="F686" s="102" t="s">
        <v>78</v>
      </c>
      <c r="G686" s="102" t="s">
        <v>78</v>
      </c>
      <c r="H686" s="99" t="s">
        <v>19</v>
      </c>
      <c r="I686" s="102" t="s">
        <v>79</v>
      </c>
      <c r="J686" s="102" t="s">
        <v>46</v>
      </c>
      <c r="K686" s="103">
        <v>200</v>
      </c>
      <c r="L686" s="104">
        <v>64700</v>
      </c>
      <c r="M686" s="104">
        <v>12940000</v>
      </c>
      <c r="N686" s="39">
        <f t="shared" si="149"/>
        <v>4000000</v>
      </c>
      <c r="O686" s="107">
        <f>+M686*$O$1</f>
        <v>2329200</v>
      </c>
      <c r="P686" s="108">
        <f>+N686+O686</f>
        <v>6329200</v>
      </c>
      <c r="Q686" s="39">
        <v>100</v>
      </c>
      <c r="R686" s="39">
        <f t="shared" si="140"/>
        <v>12940000</v>
      </c>
      <c r="S686" s="42">
        <f t="shared" si="141"/>
        <v>0</v>
      </c>
    </row>
    <row r="687" spans="1:19">
      <c r="A687" s="99">
        <v>2026</v>
      </c>
      <c r="B687" s="100">
        <v>2</v>
      </c>
      <c r="C687" s="101">
        <v>46066</v>
      </c>
      <c r="D687" s="101" t="str">
        <f t="shared" si="138"/>
        <v>GB000000461Шохжахон ипс</v>
      </c>
      <c r="E687" s="99" t="s">
        <v>114</v>
      </c>
      <c r="F687" s="102" t="s">
        <v>78</v>
      </c>
      <c r="G687" s="102" t="s">
        <v>78</v>
      </c>
      <c r="H687" s="99" t="s">
        <v>19</v>
      </c>
      <c r="I687" s="102" t="s">
        <v>79</v>
      </c>
      <c r="J687" s="102" t="s">
        <v>41</v>
      </c>
      <c r="K687" s="103">
        <v>150</v>
      </c>
      <c r="L687" s="104">
        <v>90000</v>
      </c>
      <c r="M687" s="104">
        <v>13500000</v>
      </c>
      <c r="N687" s="39">
        <f>+K687*25000</f>
        <v>3750000</v>
      </c>
      <c r="O687" s="107">
        <f>+M687*$O$1</f>
        <v>2430000</v>
      </c>
      <c r="P687" s="108">
        <f>+N687+O687</f>
        <v>6180000</v>
      </c>
      <c r="Q687" s="39">
        <v>100</v>
      </c>
      <c r="R687" s="39">
        <f t="shared" si="140"/>
        <v>13500000</v>
      </c>
      <c r="S687" s="42">
        <f t="shared" si="141"/>
        <v>0</v>
      </c>
    </row>
    <row r="688" spans="1:19">
      <c r="A688" s="99">
        <v>2026</v>
      </c>
      <c r="B688" s="100">
        <v>2</v>
      </c>
      <c r="C688" s="101">
        <v>46066</v>
      </c>
      <c r="D688" s="101" t="str">
        <f t="shared" si="138"/>
        <v>GB000000461Шохжахон ипс</v>
      </c>
      <c r="E688" s="99" t="s">
        <v>114</v>
      </c>
      <c r="F688" s="102" t="s">
        <v>78</v>
      </c>
      <c r="G688" s="102" t="s">
        <v>78</v>
      </c>
      <c r="H688" s="99" t="s">
        <v>19</v>
      </c>
      <c r="I688" s="102" t="s">
        <v>79</v>
      </c>
      <c r="J688" s="102" t="s">
        <v>38</v>
      </c>
      <c r="K688" s="103">
        <v>100</v>
      </c>
      <c r="L688" s="104">
        <v>65000</v>
      </c>
      <c r="M688" s="104">
        <v>6500000</v>
      </c>
      <c r="N688" s="39">
        <f>+K688*20000</f>
        <v>2000000</v>
      </c>
      <c r="O688" s="107">
        <f>+M688*$O$1</f>
        <v>1170000</v>
      </c>
      <c r="P688" s="108">
        <f>+N688+O688</f>
        <v>3170000</v>
      </c>
      <c r="Q688" s="39">
        <v>100</v>
      </c>
      <c r="R688" s="39">
        <f t="shared" si="140"/>
        <v>6500000</v>
      </c>
      <c r="S688" s="42">
        <f t="shared" si="141"/>
        <v>0</v>
      </c>
    </row>
    <row r="689" spans="1:19">
      <c r="A689" s="99">
        <v>2026</v>
      </c>
      <c r="B689" s="100">
        <v>2</v>
      </c>
      <c r="C689" s="101">
        <v>46069</v>
      </c>
      <c r="D689" s="101" t="str">
        <f t="shared" si="138"/>
        <v>GB000000482Ташкент_Дилнавоз опа</v>
      </c>
      <c r="E689" s="99" t="s">
        <v>115</v>
      </c>
      <c r="F689" s="102" t="s">
        <v>48</v>
      </c>
      <c r="G689" s="102" t="s">
        <v>36</v>
      </c>
      <c r="H689" s="99" t="s">
        <v>19</v>
      </c>
      <c r="I689" s="102" t="s">
        <v>103</v>
      </c>
      <c r="J689" s="102" t="s">
        <v>41</v>
      </c>
      <c r="K689" s="103">
        <v>10</v>
      </c>
      <c r="L689" s="104">
        <v>90000</v>
      </c>
      <c r="M689" s="104">
        <v>900000</v>
      </c>
      <c r="N689" s="39">
        <f>+K689*25000</f>
        <v>250000</v>
      </c>
      <c r="O689" s="107">
        <f>+M689*$O$1</f>
        <v>162000</v>
      </c>
      <c r="P689" s="108">
        <f>+N689+O689</f>
        <v>412000</v>
      </c>
      <c r="Q689" s="39">
        <v>100</v>
      </c>
      <c r="R689" s="39">
        <f t="shared" si="140"/>
        <v>900000</v>
      </c>
      <c r="S689" s="42">
        <f t="shared" si="141"/>
        <v>0</v>
      </c>
    </row>
    <row r="690" spans="1:19">
      <c r="A690" s="99">
        <v>2026</v>
      </c>
      <c r="B690" s="100">
        <v>2</v>
      </c>
      <c r="C690" s="101">
        <v>46070</v>
      </c>
      <c r="D690" s="101" t="str">
        <f t="shared" si="138"/>
        <v>GB000000498Навоий_Мехриддин ака</v>
      </c>
      <c r="E690" s="99" t="s">
        <v>116</v>
      </c>
      <c r="F690" s="102" t="s">
        <v>43</v>
      </c>
      <c r="G690" s="102" t="s">
        <v>44</v>
      </c>
      <c r="H690" s="99" t="s">
        <v>19</v>
      </c>
      <c r="I690" s="102" t="s">
        <v>117</v>
      </c>
      <c r="J690" s="102" t="s">
        <v>46</v>
      </c>
      <c r="K690" s="103">
        <v>40</v>
      </c>
      <c r="L690" s="104">
        <v>64700</v>
      </c>
      <c r="M690" s="104">
        <v>2588000</v>
      </c>
      <c r="N690" s="39">
        <f>20000*K690</f>
        <v>800000</v>
      </c>
      <c r="O690" s="107">
        <f>+M690*$O$1</f>
        <v>465840</v>
      </c>
      <c r="P690" s="108">
        <f>+N690+O690</f>
        <v>1265840</v>
      </c>
      <c r="Q690" s="39">
        <v>50</v>
      </c>
      <c r="R690" s="39">
        <f t="shared" si="140"/>
        <v>1294000</v>
      </c>
      <c r="S690" s="42">
        <f t="shared" si="141"/>
        <v>1294000</v>
      </c>
    </row>
    <row r="691" spans="1:19">
      <c r="A691" s="99">
        <v>2026</v>
      </c>
      <c r="B691" s="100">
        <v>2</v>
      </c>
      <c r="C691" s="101">
        <v>46071</v>
      </c>
      <c r="D691" s="101" t="str">
        <f t="shared" si="138"/>
        <v>GB000000501Ташкент_Дилнавоз опа</v>
      </c>
      <c r="E691" s="99" t="s">
        <v>118</v>
      </c>
      <c r="F691" s="102" t="s">
        <v>35</v>
      </c>
      <c r="G691" s="102" t="s">
        <v>36</v>
      </c>
      <c r="H691" s="99" t="s">
        <v>19</v>
      </c>
      <c r="I691" s="102" t="s">
        <v>75</v>
      </c>
      <c r="J691" s="102" t="s">
        <v>38</v>
      </c>
      <c r="K691" s="103">
        <v>30</v>
      </c>
      <c r="L691" s="104">
        <v>65000</v>
      </c>
      <c r="M691" s="104">
        <v>1950000</v>
      </c>
      <c r="N691" s="39">
        <f t="shared" ref="N691:N692" si="150">+K691*20000</f>
        <v>600000</v>
      </c>
      <c r="O691" s="107">
        <f>+M691*$O$1</f>
        <v>351000</v>
      </c>
      <c r="P691" s="108">
        <f>+N691+O691</f>
        <v>951000</v>
      </c>
      <c r="Q691" s="39">
        <v>100</v>
      </c>
      <c r="R691" s="39">
        <f t="shared" si="140"/>
        <v>1950000</v>
      </c>
      <c r="S691" s="42">
        <f t="shared" si="141"/>
        <v>0</v>
      </c>
    </row>
    <row r="692" spans="1:19">
      <c r="A692" s="99">
        <v>2026</v>
      </c>
      <c r="B692" s="100">
        <v>2</v>
      </c>
      <c r="C692" s="101">
        <v>46071</v>
      </c>
      <c r="D692" s="101" t="str">
        <f t="shared" si="138"/>
        <v>GB000000501Ташкент_Дилнавоз опа</v>
      </c>
      <c r="E692" s="99" t="s">
        <v>118</v>
      </c>
      <c r="F692" s="102" t="s">
        <v>35</v>
      </c>
      <c r="G692" s="102" t="s">
        <v>36</v>
      </c>
      <c r="H692" s="99" t="s">
        <v>19</v>
      </c>
      <c r="I692" s="102" t="s">
        <v>75</v>
      </c>
      <c r="J692" s="102" t="s">
        <v>38</v>
      </c>
      <c r="K692" s="103">
        <v>20</v>
      </c>
      <c r="L692" s="104">
        <v>65000</v>
      </c>
      <c r="M692" s="104">
        <v>1300000</v>
      </c>
      <c r="N692" s="39">
        <f t="shared" si="150"/>
        <v>400000</v>
      </c>
      <c r="O692" s="107">
        <f>+M692*$O$1</f>
        <v>234000</v>
      </c>
      <c r="P692" s="108">
        <f>+N692+O692</f>
        <v>634000</v>
      </c>
      <c r="Q692" s="39">
        <v>100</v>
      </c>
      <c r="R692" s="39">
        <f t="shared" si="140"/>
        <v>1300000</v>
      </c>
      <c r="S692" s="42">
        <f t="shared" si="141"/>
        <v>0</v>
      </c>
    </row>
    <row r="693" spans="1:19">
      <c r="A693" s="99">
        <v>2026</v>
      </c>
      <c r="B693" s="100">
        <v>2</v>
      </c>
      <c r="C693" s="101">
        <v>46071</v>
      </c>
      <c r="D693" s="101" t="str">
        <f t="shared" si="138"/>
        <v>GB000000501Ташкент_Дилнавоз опа</v>
      </c>
      <c r="E693" s="99" t="s">
        <v>118</v>
      </c>
      <c r="F693" s="102" t="s">
        <v>35</v>
      </c>
      <c r="G693" s="102" t="s">
        <v>36</v>
      </c>
      <c r="H693" s="99" t="s">
        <v>19</v>
      </c>
      <c r="I693" s="102" t="s">
        <v>75</v>
      </c>
      <c r="J693" s="102" t="s">
        <v>41</v>
      </c>
      <c r="K693" s="103">
        <v>50</v>
      </c>
      <c r="L693" s="104">
        <v>90000</v>
      </c>
      <c r="M693" s="104">
        <v>4500000</v>
      </c>
      <c r="N693" s="39">
        <f>+K693*25000</f>
        <v>1250000</v>
      </c>
      <c r="O693" s="107">
        <f>+M693*$O$1</f>
        <v>810000</v>
      </c>
      <c r="P693" s="108">
        <f>+N693+O693</f>
        <v>2060000</v>
      </c>
      <c r="Q693" s="39">
        <v>100</v>
      </c>
      <c r="R693" s="39">
        <f t="shared" si="140"/>
        <v>4500000</v>
      </c>
      <c r="S693" s="42">
        <f t="shared" si="141"/>
        <v>0</v>
      </c>
    </row>
    <row r="694" spans="1:19">
      <c r="A694" s="99">
        <v>2026</v>
      </c>
      <c r="B694" s="100">
        <v>2</v>
      </c>
      <c r="C694" s="101">
        <v>46071</v>
      </c>
      <c r="D694" s="101" t="str">
        <f t="shared" si="138"/>
        <v>GB000000501Ташкент_Дилнавоз опа</v>
      </c>
      <c r="E694" s="99" t="s">
        <v>118</v>
      </c>
      <c r="F694" s="102" t="s">
        <v>35</v>
      </c>
      <c r="G694" s="102" t="s">
        <v>36</v>
      </c>
      <c r="H694" s="99" t="s">
        <v>19</v>
      </c>
      <c r="I694" s="102" t="s">
        <v>75</v>
      </c>
      <c r="J694" s="102" t="s">
        <v>46</v>
      </c>
      <c r="K694" s="103">
        <v>25</v>
      </c>
      <c r="L694" s="104">
        <v>64700</v>
      </c>
      <c r="M694" s="104">
        <v>1617500</v>
      </c>
      <c r="N694" s="39">
        <f t="shared" ref="N694:N695" si="151">20000*K694</f>
        <v>500000</v>
      </c>
      <c r="O694" s="107">
        <f>+M694*$O$1</f>
        <v>291150</v>
      </c>
      <c r="P694" s="108">
        <f>+N694+O694</f>
        <v>791150</v>
      </c>
      <c r="Q694" s="39">
        <v>100</v>
      </c>
      <c r="R694" s="39">
        <f t="shared" si="140"/>
        <v>1617500</v>
      </c>
      <c r="S694" s="42">
        <f t="shared" si="141"/>
        <v>0</v>
      </c>
    </row>
    <row r="695" spans="1:19">
      <c r="A695" s="99">
        <v>2026</v>
      </c>
      <c r="B695" s="100">
        <v>2</v>
      </c>
      <c r="C695" s="101">
        <v>46071</v>
      </c>
      <c r="D695" s="101" t="str">
        <f t="shared" si="138"/>
        <v>GB000000501Ташкент_Дилнавоз опа</v>
      </c>
      <c r="E695" s="99" t="s">
        <v>118</v>
      </c>
      <c r="F695" s="102" t="s">
        <v>35</v>
      </c>
      <c r="G695" s="102" t="s">
        <v>36</v>
      </c>
      <c r="H695" s="99" t="s">
        <v>19</v>
      </c>
      <c r="I695" s="102" t="s">
        <v>75</v>
      </c>
      <c r="J695" s="102" t="s">
        <v>46</v>
      </c>
      <c r="K695" s="103">
        <v>55</v>
      </c>
      <c r="L695" s="104">
        <v>64700</v>
      </c>
      <c r="M695" s="104">
        <v>3558500</v>
      </c>
      <c r="N695" s="39">
        <f t="shared" si="151"/>
        <v>1100000</v>
      </c>
      <c r="O695" s="107">
        <f>+M695*$O$1</f>
        <v>640530</v>
      </c>
      <c r="P695" s="108">
        <f>+N695+O695</f>
        <v>1740530</v>
      </c>
      <c r="Q695" s="39">
        <v>100</v>
      </c>
      <c r="R695" s="39">
        <f t="shared" si="140"/>
        <v>3558500</v>
      </c>
      <c r="S695" s="42">
        <f t="shared" si="141"/>
        <v>0</v>
      </c>
    </row>
    <row r="696" spans="1:19">
      <c r="A696" s="99">
        <v>2026</v>
      </c>
      <c r="B696" s="100">
        <v>2</v>
      </c>
      <c r="C696" s="101">
        <v>46071</v>
      </c>
      <c r="D696" s="101" t="str">
        <f t="shared" si="138"/>
        <v>GB000000502Ташкент_Дилнавоз опа</v>
      </c>
      <c r="E696" s="99" t="s">
        <v>119</v>
      </c>
      <c r="F696" s="102" t="s">
        <v>48</v>
      </c>
      <c r="G696" s="102" t="s">
        <v>36</v>
      </c>
      <c r="H696" s="99" t="s">
        <v>19</v>
      </c>
      <c r="I696" s="102" t="s">
        <v>120</v>
      </c>
      <c r="J696" s="102" t="s">
        <v>38</v>
      </c>
      <c r="K696" s="103">
        <v>20</v>
      </c>
      <c r="L696" s="104">
        <v>65000</v>
      </c>
      <c r="M696" s="104">
        <v>1300000</v>
      </c>
      <c r="N696" s="39">
        <f>+K696*20000</f>
        <v>400000</v>
      </c>
      <c r="O696" s="107">
        <f>+M696*$O$1</f>
        <v>234000</v>
      </c>
      <c r="P696" s="108">
        <f>+N696+O696</f>
        <v>634000</v>
      </c>
      <c r="Q696" s="39">
        <v>100</v>
      </c>
      <c r="R696" s="39">
        <f t="shared" si="140"/>
        <v>1300000</v>
      </c>
      <c r="S696" s="42">
        <f t="shared" si="141"/>
        <v>0</v>
      </c>
    </row>
    <row r="697" spans="1:19">
      <c r="A697" s="99">
        <v>2026</v>
      </c>
      <c r="B697" s="100">
        <v>2</v>
      </c>
      <c r="C697" s="101">
        <v>46071</v>
      </c>
      <c r="D697" s="101" t="str">
        <f t="shared" si="138"/>
        <v>GB000000502Ташкент_Дилнавоз опа</v>
      </c>
      <c r="E697" s="99" t="s">
        <v>119</v>
      </c>
      <c r="F697" s="102" t="s">
        <v>48</v>
      </c>
      <c r="G697" s="102" t="s">
        <v>36</v>
      </c>
      <c r="H697" s="99" t="s">
        <v>19</v>
      </c>
      <c r="I697" s="102" t="s">
        <v>120</v>
      </c>
      <c r="J697" s="102" t="s">
        <v>41</v>
      </c>
      <c r="K697" s="103">
        <v>5</v>
      </c>
      <c r="L697" s="104">
        <v>90000</v>
      </c>
      <c r="M697" s="104">
        <v>450000</v>
      </c>
      <c r="N697" s="39">
        <f>+K697*25000</f>
        <v>125000</v>
      </c>
      <c r="O697" s="107">
        <f>+M697*$O$1</f>
        <v>81000</v>
      </c>
      <c r="P697" s="108">
        <f>+N697+O697</f>
        <v>206000</v>
      </c>
      <c r="Q697" s="39">
        <v>100</v>
      </c>
      <c r="R697" s="39">
        <f t="shared" si="140"/>
        <v>450000</v>
      </c>
      <c r="S697" s="42">
        <f t="shared" si="141"/>
        <v>0</v>
      </c>
    </row>
    <row r="698" spans="1:19">
      <c r="A698" s="99">
        <v>2026</v>
      </c>
      <c r="B698" s="100">
        <v>2</v>
      </c>
      <c r="C698" s="101">
        <v>46071</v>
      </c>
      <c r="D698" s="101" t="str">
        <f t="shared" si="138"/>
        <v>GB000000502Ташкент_Дилнавоз опа</v>
      </c>
      <c r="E698" s="99" t="s">
        <v>119</v>
      </c>
      <c r="F698" s="102" t="s">
        <v>48</v>
      </c>
      <c r="G698" s="102" t="s">
        <v>36</v>
      </c>
      <c r="H698" s="99" t="s">
        <v>19</v>
      </c>
      <c r="I698" s="102" t="s">
        <v>120</v>
      </c>
      <c r="J698" s="102" t="s">
        <v>46</v>
      </c>
      <c r="K698" s="103">
        <v>5</v>
      </c>
      <c r="L698" s="104">
        <v>64700</v>
      </c>
      <c r="M698" s="104">
        <v>323500</v>
      </c>
      <c r="N698" s="39">
        <f>20000*K698</f>
        <v>100000</v>
      </c>
      <c r="O698" s="107">
        <f>+M698*$O$1</f>
        <v>58230</v>
      </c>
      <c r="P698" s="108">
        <f>+N698+O698</f>
        <v>158230</v>
      </c>
      <c r="Q698" s="39">
        <v>100</v>
      </c>
      <c r="R698" s="39">
        <f t="shared" si="140"/>
        <v>323500</v>
      </c>
      <c r="S698" s="42">
        <f t="shared" si="141"/>
        <v>0</v>
      </c>
    </row>
    <row r="699" spans="1:19">
      <c r="A699" s="99">
        <v>2026</v>
      </c>
      <c r="B699" s="100">
        <v>2</v>
      </c>
      <c r="C699" s="101">
        <v>46071</v>
      </c>
      <c r="D699" s="101" t="str">
        <f t="shared" si="138"/>
        <v>GB000000505Ташкент_Дилнавоз опа</v>
      </c>
      <c r="E699" s="99" t="s">
        <v>121</v>
      </c>
      <c r="F699" s="102" t="s">
        <v>59</v>
      </c>
      <c r="G699" s="102" t="s">
        <v>36</v>
      </c>
      <c r="H699" s="99" t="s">
        <v>19</v>
      </c>
      <c r="I699" s="102" t="s">
        <v>122</v>
      </c>
      <c r="J699" s="102" t="s">
        <v>38</v>
      </c>
      <c r="K699" s="103">
        <v>40</v>
      </c>
      <c r="L699" s="104">
        <v>65000</v>
      </c>
      <c r="M699" s="104">
        <v>2600000</v>
      </c>
      <c r="N699" s="39">
        <f t="shared" ref="N699:N701" si="152">+K699*20000</f>
        <v>800000</v>
      </c>
      <c r="O699" s="107">
        <f>+M699*$O$1</f>
        <v>468000</v>
      </c>
      <c r="P699" s="108">
        <f>+N699+O699</f>
        <v>1268000</v>
      </c>
      <c r="Q699" s="39">
        <v>100</v>
      </c>
      <c r="R699" s="39">
        <f t="shared" si="140"/>
        <v>2600000</v>
      </c>
      <c r="S699" s="42">
        <f t="shared" si="141"/>
        <v>0</v>
      </c>
    </row>
    <row r="700" spans="1:19">
      <c r="A700" s="99">
        <v>2026</v>
      </c>
      <c r="B700" s="100">
        <v>2</v>
      </c>
      <c r="C700" s="101">
        <v>46071</v>
      </c>
      <c r="D700" s="101" t="str">
        <f t="shared" si="138"/>
        <v>GB000000505Ташкент_Дилнавоз опа</v>
      </c>
      <c r="E700" s="99" t="s">
        <v>121</v>
      </c>
      <c r="F700" s="102" t="s">
        <v>59</v>
      </c>
      <c r="G700" s="102" t="s">
        <v>36</v>
      </c>
      <c r="H700" s="99" t="s">
        <v>19</v>
      </c>
      <c r="I700" s="102" t="s">
        <v>122</v>
      </c>
      <c r="J700" s="102" t="s">
        <v>38</v>
      </c>
      <c r="K700" s="103">
        <v>10</v>
      </c>
      <c r="L700" s="104">
        <v>65000</v>
      </c>
      <c r="M700" s="104">
        <v>650000</v>
      </c>
      <c r="N700" s="39">
        <f t="shared" si="152"/>
        <v>200000</v>
      </c>
      <c r="O700" s="107">
        <f>+M700*$O$1</f>
        <v>117000</v>
      </c>
      <c r="P700" s="108">
        <f>+N700+O700</f>
        <v>317000</v>
      </c>
      <c r="Q700" s="39">
        <v>100</v>
      </c>
      <c r="R700" s="39">
        <f t="shared" si="140"/>
        <v>650000</v>
      </c>
      <c r="S700" s="42">
        <f t="shared" si="141"/>
        <v>0</v>
      </c>
    </row>
    <row r="701" spans="1:19">
      <c r="A701" s="99">
        <v>2026</v>
      </c>
      <c r="B701" s="100">
        <v>2</v>
      </c>
      <c r="C701" s="101">
        <v>46071</v>
      </c>
      <c r="D701" s="101" t="str">
        <f t="shared" si="138"/>
        <v>GB000000507Ташкент_Дилнавоз опа</v>
      </c>
      <c r="E701" s="99" t="s">
        <v>123</v>
      </c>
      <c r="F701" s="102" t="s">
        <v>48</v>
      </c>
      <c r="G701" s="102" t="s">
        <v>36</v>
      </c>
      <c r="H701" s="99" t="s">
        <v>19</v>
      </c>
      <c r="I701" s="102" t="s">
        <v>124</v>
      </c>
      <c r="J701" s="102" t="s">
        <v>38</v>
      </c>
      <c r="K701" s="103">
        <v>10</v>
      </c>
      <c r="L701" s="104">
        <v>65000</v>
      </c>
      <c r="M701" s="104">
        <v>650000</v>
      </c>
      <c r="N701" s="39">
        <f t="shared" si="152"/>
        <v>200000</v>
      </c>
      <c r="O701" s="107">
        <f>+M701*$O$1</f>
        <v>117000</v>
      </c>
      <c r="P701" s="108">
        <f>+N701+O701</f>
        <v>317000</v>
      </c>
      <c r="Q701" s="39">
        <v>82</v>
      </c>
      <c r="R701" s="39">
        <f t="shared" si="140"/>
        <v>533000</v>
      </c>
      <c r="S701" s="42">
        <f t="shared" si="141"/>
        <v>117000</v>
      </c>
    </row>
    <row r="702" spans="1:19">
      <c r="A702" s="99">
        <v>2026</v>
      </c>
      <c r="B702" s="100">
        <v>2</v>
      </c>
      <c r="C702" s="101">
        <v>46071</v>
      </c>
      <c r="D702" s="101" t="str">
        <f t="shared" si="138"/>
        <v>GB000000507Ташкент_Дилнавоз опа</v>
      </c>
      <c r="E702" s="99" t="s">
        <v>123</v>
      </c>
      <c r="F702" s="102" t="s">
        <v>48</v>
      </c>
      <c r="G702" s="102" t="s">
        <v>36</v>
      </c>
      <c r="H702" s="99" t="s">
        <v>19</v>
      </c>
      <c r="I702" s="102" t="s">
        <v>124</v>
      </c>
      <c r="J702" s="102" t="s">
        <v>46</v>
      </c>
      <c r="K702" s="103">
        <v>10</v>
      </c>
      <c r="L702" s="104">
        <v>64700</v>
      </c>
      <c r="M702" s="104">
        <v>647000</v>
      </c>
      <c r="N702" s="39">
        <f t="shared" ref="N702:N703" si="153">20000*K702</f>
        <v>200000</v>
      </c>
      <c r="O702" s="107">
        <f>+M702*$O$1</f>
        <v>116460</v>
      </c>
      <c r="P702" s="108">
        <f>+N702+O702</f>
        <v>316460</v>
      </c>
      <c r="Q702" s="39">
        <v>82</v>
      </c>
      <c r="R702" s="39">
        <f t="shared" si="140"/>
        <v>530540</v>
      </c>
      <c r="S702" s="42">
        <f t="shared" si="141"/>
        <v>116460</v>
      </c>
    </row>
    <row r="703" spans="1:19">
      <c r="A703" s="99">
        <v>2026</v>
      </c>
      <c r="B703" s="100">
        <v>2</v>
      </c>
      <c r="C703" s="101">
        <v>46071</v>
      </c>
      <c r="D703" s="101" t="str">
        <f t="shared" si="138"/>
        <v>GB000000507Ташкент_Дилнавоз опа</v>
      </c>
      <c r="E703" s="99" t="s">
        <v>123</v>
      </c>
      <c r="F703" s="102" t="s">
        <v>48</v>
      </c>
      <c r="G703" s="102" t="s">
        <v>36</v>
      </c>
      <c r="H703" s="99" t="s">
        <v>19</v>
      </c>
      <c r="I703" s="102" t="s">
        <v>124</v>
      </c>
      <c r="J703" s="102" t="s">
        <v>46</v>
      </c>
      <c r="K703" s="103">
        <v>10</v>
      </c>
      <c r="L703" s="104">
        <v>64700</v>
      </c>
      <c r="M703" s="104">
        <v>647000</v>
      </c>
      <c r="N703" s="39">
        <f t="shared" si="153"/>
        <v>200000</v>
      </c>
      <c r="O703" s="107">
        <f>+M703*$O$1</f>
        <v>116460</v>
      </c>
      <c r="P703" s="108">
        <f>+N703+O703</f>
        <v>316460</v>
      </c>
      <c r="Q703" s="39">
        <v>82</v>
      </c>
      <c r="R703" s="39">
        <f t="shared" si="140"/>
        <v>530540</v>
      </c>
      <c r="S703" s="42">
        <f t="shared" si="141"/>
        <v>116460</v>
      </c>
    </row>
    <row r="704" spans="1:19">
      <c r="A704" s="99">
        <v>2026</v>
      </c>
      <c r="B704" s="100">
        <v>2</v>
      </c>
      <c r="C704" s="101">
        <v>46071</v>
      </c>
      <c r="D704" s="101" t="str">
        <f t="shared" si="138"/>
        <v>GB000000509Ташкент_Дилнавоз опа</v>
      </c>
      <c r="E704" s="99" t="s">
        <v>125</v>
      </c>
      <c r="F704" s="102" t="s">
        <v>59</v>
      </c>
      <c r="G704" s="102" t="s">
        <v>36</v>
      </c>
      <c r="H704" s="99" t="s">
        <v>19</v>
      </c>
      <c r="I704" s="102" t="s">
        <v>97</v>
      </c>
      <c r="J704" s="102" t="s">
        <v>38</v>
      </c>
      <c r="K704" s="103">
        <v>20</v>
      </c>
      <c r="L704" s="104">
        <v>65000</v>
      </c>
      <c r="M704" s="104">
        <v>1300000</v>
      </c>
      <c r="N704" s="39">
        <f>+K704*20000</f>
        <v>400000</v>
      </c>
      <c r="O704" s="107">
        <f>+M704*$O$1</f>
        <v>234000</v>
      </c>
      <c r="P704" s="108">
        <f>+N704+O704</f>
        <v>634000</v>
      </c>
      <c r="Q704" s="39">
        <v>100</v>
      </c>
      <c r="R704" s="39">
        <f t="shared" si="140"/>
        <v>1300000</v>
      </c>
      <c r="S704" s="42">
        <f t="shared" si="141"/>
        <v>0</v>
      </c>
    </row>
    <row r="705" spans="1:19">
      <c r="A705" s="99">
        <v>2026</v>
      </c>
      <c r="B705" s="100">
        <v>2</v>
      </c>
      <c r="C705" s="101">
        <v>46071</v>
      </c>
      <c r="D705" s="101" t="str">
        <f t="shared" si="138"/>
        <v>GB000000516Ташкент_Дилнавоз опа</v>
      </c>
      <c r="E705" s="99" t="s">
        <v>126</v>
      </c>
      <c r="F705" s="102" t="s">
        <v>68</v>
      </c>
      <c r="G705" s="102" t="s">
        <v>36</v>
      </c>
      <c r="H705" s="99" t="s">
        <v>19</v>
      </c>
      <c r="I705" s="102" t="s">
        <v>127</v>
      </c>
      <c r="J705" s="102" t="s">
        <v>41</v>
      </c>
      <c r="K705" s="103">
        <v>20</v>
      </c>
      <c r="L705" s="104">
        <v>90000</v>
      </c>
      <c r="M705" s="104">
        <v>1800000</v>
      </c>
      <c r="N705" s="39">
        <f>+K705*25000</f>
        <v>500000</v>
      </c>
      <c r="O705" s="107">
        <f>+M705*$O$1</f>
        <v>324000</v>
      </c>
      <c r="P705" s="108">
        <f>+N705+O705</f>
        <v>824000</v>
      </c>
      <c r="Q705" s="39">
        <v>100</v>
      </c>
      <c r="R705" s="39">
        <f t="shared" si="140"/>
        <v>1800000</v>
      </c>
      <c r="S705" s="42">
        <f t="shared" si="141"/>
        <v>0</v>
      </c>
    </row>
    <row r="706" spans="1:19">
      <c r="A706" s="99">
        <v>2026</v>
      </c>
      <c r="B706" s="100">
        <v>2</v>
      </c>
      <c r="C706" s="101">
        <v>46071</v>
      </c>
      <c r="D706" s="101" t="str">
        <f t="shared" si="138"/>
        <v>GB000000522Ташкент_Дилнавоз опа</v>
      </c>
      <c r="E706" s="99" t="s">
        <v>128</v>
      </c>
      <c r="F706" s="102" t="s">
        <v>68</v>
      </c>
      <c r="G706" s="102" t="s">
        <v>36</v>
      </c>
      <c r="H706" s="99" t="s">
        <v>19</v>
      </c>
      <c r="I706" s="102" t="s">
        <v>129</v>
      </c>
      <c r="J706" s="102" t="s">
        <v>46</v>
      </c>
      <c r="K706" s="103">
        <v>20</v>
      </c>
      <c r="L706" s="104">
        <v>64700</v>
      </c>
      <c r="M706" s="104">
        <v>1294000</v>
      </c>
      <c r="N706" s="39">
        <f>20000*K706</f>
        <v>400000</v>
      </c>
      <c r="O706" s="107">
        <f>+M706*$O$1</f>
        <v>232920</v>
      </c>
      <c r="P706" s="108">
        <f>+N706+O706</f>
        <v>632920</v>
      </c>
      <c r="Q706" s="39">
        <v>100</v>
      </c>
      <c r="R706" s="39">
        <f t="shared" si="140"/>
        <v>1294000</v>
      </c>
      <c r="S706" s="42">
        <f t="shared" si="141"/>
        <v>0</v>
      </c>
    </row>
    <row r="707" spans="1:19">
      <c r="A707" s="99">
        <v>2026</v>
      </c>
      <c r="B707" s="100">
        <v>2</v>
      </c>
      <c r="C707" s="101">
        <v>46071</v>
      </c>
      <c r="D707" s="101" t="str">
        <f t="shared" si="138"/>
        <v>GB000000522Ташкент_Дилнавоз опа</v>
      </c>
      <c r="E707" s="99" t="s">
        <v>128</v>
      </c>
      <c r="F707" s="102" t="s">
        <v>68</v>
      </c>
      <c r="G707" s="102" t="s">
        <v>36</v>
      </c>
      <c r="H707" s="99" t="s">
        <v>19</v>
      </c>
      <c r="I707" s="102" t="s">
        <v>129</v>
      </c>
      <c r="J707" s="102" t="s">
        <v>41</v>
      </c>
      <c r="K707" s="103">
        <v>20</v>
      </c>
      <c r="L707" s="104">
        <v>90000</v>
      </c>
      <c r="M707" s="104">
        <v>1800000</v>
      </c>
      <c r="N707" s="39">
        <f t="shared" ref="N707:N708" si="154">+K707*25000</f>
        <v>500000</v>
      </c>
      <c r="O707" s="107">
        <f>+M707*$O$1</f>
        <v>324000</v>
      </c>
      <c r="P707" s="108">
        <f>+N707+O707</f>
        <v>824000</v>
      </c>
      <c r="Q707" s="39">
        <v>100</v>
      </c>
      <c r="R707" s="39">
        <f t="shared" si="140"/>
        <v>1800000</v>
      </c>
      <c r="S707" s="42">
        <f t="shared" si="141"/>
        <v>0</v>
      </c>
    </row>
    <row r="708" spans="1:19">
      <c r="A708" s="99">
        <v>2026</v>
      </c>
      <c r="B708" s="100">
        <v>2</v>
      </c>
      <c r="C708" s="101">
        <v>46071</v>
      </c>
      <c r="D708" s="101" t="str">
        <f t="shared" ref="D708:D771" si="155">+E708&amp;G708</f>
        <v>GB000000523Ташкент_Дилнавоз опа</v>
      </c>
      <c r="E708" s="99" t="s">
        <v>130</v>
      </c>
      <c r="F708" s="102" t="s">
        <v>35</v>
      </c>
      <c r="G708" s="102" t="s">
        <v>36</v>
      </c>
      <c r="H708" s="99" t="s">
        <v>19</v>
      </c>
      <c r="I708" s="102" t="s">
        <v>103</v>
      </c>
      <c r="J708" s="102" t="s">
        <v>41</v>
      </c>
      <c r="K708" s="103">
        <v>10</v>
      </c>
      <c r="L708" s="104">
        <v>90000</v>
      </c>
      <c r="M708" s="104">
        <v>900000</v>
      </c>
      <c r="N708" s="39">
        <f t="shared" si="154"/>
        <v>250000</v>
      </c>
      <c r="O708" s="107">
        <f>+M708*$O$1</f>
        <v>162000</v>
      </c>
      <c r="P708" s="108">
        <f>+N708+O708</f>
        <v>412000</v>
      </c>
      <c r="Q708" s="39">
        <v>100</v>
      </c>
      <c r="R708" s="39">
        <f t="shared" ref="R708:R771" si="156">+M708*Q708%</f>
        <v>900000</v>
      </c>
      <c r="S708" s="42">
        <f t="shared" ref="S708:S771" si="157">M708-R708</f>
        <v>0</v>
      </c>
    </row>
    <row r="709" spans="1:19">
      <c r="A709" s="99">
        <v>2026</v>
      </c>
      <c r="B709" s="100">
        <v>2</v>
      </c>
      <c r="C709" s="101">
        <v>46072</v>
      </c>
      <c r="D709" s="101" t="str">
        <f t="shared" si="155"/>
        <v>GB000000528Ташкент_Дилнавоз опа</v>
      </c>
      <c r="E709" s="99" t="s">
        <v>131</v>
      </c>
      <c r="F709" s="102" t="s">
        <v>68</v>
      </c>
      <c r="G709" s="102" t="s">
        <v>36</v>
      </c>
      <c r="H709" s="99" t="s">
        <v>19</v>
      </c>
      <c r="I709" s="102" t="s">
        <v>69</v>
      </c>
      <c r="J709" s="102" t="s">
        <v>46</v>
      </c>
      <c r="K709" s="103">
        <v>10</v>
      </c>
      <c r="L709" s="104">
        <v>64700</v>
      </c>
      <c r="M709" s="104">
        <v>647000</v>
      </c>
      <c r="N709" s="39">
        <f>20000*K709</f>
        <v>200000</v>
      </c>
      <c r="O709" s="107">
        <f>+M709*$O$1</f>
        <v>116460</v>
      </c>
      <c r="P709" s="108">
        <f>+N709+O709</f>
        <v>316460</v>
      </c>
      <c r="Q709" s="39">
        <v>100</v>
      </c>
      <c r="R709" s="39">
        <f t="shared" si="156"/>
        <v>647000</v>
      </c>
      <c r="S709" s="42">
        <f t="shared" si="157"/>
        <v>0</v>
      </c>
    </row>
    <row r="710" spans="1:19">
      <c r="A710" s="99">
        <v>2026</v>
      </c>
      <c r="B710" s="100">
        <v>2</v>
      </c>
      <c r="C710" s="101">
        <v>46073</v>
      </c>
      <c r="D710" s="101" t="str">
        <f t="shared" si="155"/>
        <v>GB000000562Ташкент_Дилнавоз опа</v>
      </c>
      <c r="E710" s="99" t="s">
        <v>132</v>
      </c>
      <c r="F710" s="102" t="s">
        <v>35</v>
      </c>
      <c r="G710" s="102" t="s">
        <v>36</v>
      </c>
      <c r="H710" s="99" t="s">
        <v>19</v>
      </c>
      <c r="I710" s="102" t="s">
        <v>133</v>
      </c>
      <c r="J710" s="102" t="s">
        <v>41</v>
      </c>
      <c r="K710" s="103">
        <v>15</v>
      </c>
      <c r="L710" s="104">
        <v>90000</v>
      </c>
      <c r="M710" s="104">
        <v>1350000</v>
      </c>
      <c r="N710" s="39">
        <f>+K710*25000</f>
        <v>375000</v>
      </c>
      <c r="O710" s="107">
        <f>+M710*$O$1</f>
        <v>243000</v>
      </c>
      <c r="P710" s="108">
        <f>+N710+O710</f>
        <v>618000</v>
      </c>
      <c r="Q710" s="39">
        <v>37</v>
      </c>
      <c r="R710" s="39">
        <f t="shared" si="156"/>
        <v>499500</v>
      </c>
      <c r="S710" s="42">
        <f t="shared" si="157"/>
        <v>850500</v>
      </c>
    </row>
    <row r="711" spans="1:19">
      <c r="A711" s="99">
        <v>2026</v>
      </c>
      <c r="B711" s="100">
        <v>2</v>
      </c>
      <c r="C711" s="101">
        <v>46076</v>
      </c>
      <c r="D711" s="101" t="str">
        <f t="shared" si="155"/>
        <v>GB000000013Навоий_Мехриддин ака</v>
      </c>
      <c r="E711" s="99" t="s">
        <v>134</v>
      </c>
      <c r="F711" s="102"/>
      <c r="G711" s="102" t="s">
        <v>44</v>
      </c>
      <c r="H711" s="99" t="s">
        <v>19</v>
      </c>
      <c r="I711" s="102" t="s">
        <v>93</v>
      </c>
      <c r="J711" s="102" t="s">
        <v>46</v>
      </c>
      <c r="K711" s="103">
        <v>-20</v>
      </c>
      <c r="L711" s="104">
        <v>64700</v>
      </c>
      <c r="M711" s="104">
        <v>-1294000</v>
      </c>
      <c r="N711" s="39">
        <f t="shared" ref="N711:N712" si="158">20000*K711</f>
        <v>-400000</v>
      </c>
      <c r="O711" s="107">
        <f>+M711*$O$1</f>
        <v>-232920</v>
      </c>
      <c r="P711" s="108">
        <f>+N711+O711</f>
        <v>-632920</v>
      </c>
      <c r="Q711" s="39">
        <v>100</v>
      </c>
      <c r="R711" s="39">
        <f t="shared" si="156"/>
        <v>-1294000</v>
      </c>
      <c r="S711" s="42">
        <f t="shared" si="157"/>
        <v>0</v>
      </c>
    </row>
    <row r="712" spans="1:19">
      <c r="A712" s="99">
        <v>2026</v>
      </c>
      <c r="B712" s="100">
        <v>2</v>
      </c>
      <c r="C712" s="101">
        <v>46076</v>
      </c>
      <c r="D712" s="101" t="str">
        <f t="shared" si="155"/>
        <v>GB000000013Навоий_Мехриддин ака</v>
      </c>
      <c r="E712" s="99" t="s">
        <v>134</v>
      </c>
      <c r="F712" s="102"/>
      <c r="G712" s="102" t="s">
        <v>44</v>
      </c>
      <c r="H712" s="99" t="s">
        <v>19</v>
      </c>
      <c r="I712" s="102" t="s">
        <v>93</v>
      </c>
      <c r="J712" s="102" t="s">
        <v>46</v>
      </c>
      <c r="K712" s="103">
        <v>-20</v>
      </c>
      <c r="L712" s="104">
        <v>64700</v>
      </c>
      <c r="M712" s="104">
        <v>-1294000</v>
      </c>
      <c r="N712" s="39">
        <f t="shared" si="158"/>
        <v>-400000</v>
      </c>
      <c r="O712" s="107">
        <f>+M712*$O$1</f>
        <v>-232920</v>
      </c>
      <c r="P712" s="108">
        <f>+N712+O712</f>
        <v>-632920</v>
      </c>
      <c r="Q712" s="39">
        <v>100</v>
      </c>
      <c r="R712" s="39">
        <f t="shared" si="156"/>
        <v>-1294000</v>
      </c>
      <c r="S712" s="42">
        <f t="shared" si="157"/>
        <v>0</v>
      </c>
    </row>
    <row r="713" spans="1:19">
      <c r="A713" s="99">
        <v>2026</v>
      </c>
      <c r="B713" s="100">
        <v>2</v>
      </c>
      <c r="C713" s="101">
        <v>46076</v>
      </c>
      <c r="D713" s="101" t="str">
        <f t="shared" si="155"/>
        <v>GB000000567Ташкент_Дилнавоз опа</v>
      </c>
      <c r="E713" s="99" t="s">
        <v>135</v>
      </c>
      <c r="F713" s="102" t="s">
        <v>48</v>
      </c>
      <c r="G713" s="102" t="s">
        <v>36</v>
      </c>
      <c r="H713" s="99" t="s">
        <v>19</v>
      </c>
      <c r="I713" s="102" t="s">
        <v>85</v>
      </c>
      <c r="J713" s="102" t="s">
        <v>38</v>
      </c>
      <c r="K713" s="103">
        <v>20</v>
      </c>
      <c r="L713" s="104">
        <v>65000</v>
      </c>
      <c r="M713" s="104">
        <v>1300000</v>
      </c>
      <c r="N713" s="39">
        <f>+K713*20000</f>
        <v>400000</v>
      </c>
      <c r="O713" s="107">
        <f>+M713*$O$1</f>
        <v>234000</v>
      </c>
      <c r="P713" s="108">
        <f>+N713+O713</f>
        <v>634000</v>
      </c>
      <c r="Q713" s="39">
        <v>100</v>
      </c>
      <c r="R713" s="39">
        <f t="shared" si="156"/>
        <v>1300000</v>
      </c>
      <c r="S713" s="42">
        <f t="shared" si="157"/>
        <v>0</v>
      </c>
    </row>
    <row r="714" spans="1:19">
      <c r="A714" s="99">
        <v>2026</v>
      </c>
      <c r="B714" s="100">
        <v>2</v>
      </c>
      <c r="C714" s="101">
        <v>46076</v>
      </c>
      <c r="D714" s="101" t="str">
        <f t="shared" si="155"/>
        <v>GB000000573Ташкент_Дилнавоз опа</v>
      </c>
      <c r="E714" s="99" t="s">
        <v>136</v>
      </c>
      <c r="F714" s="102" t="s">
        <v>48</v>
      </c>
      <c r="G714" s="102" t="s">
        <v>36</v>
      </c>
      <c r="H714" s="99" t="s">
        <v>19</v>
      </c>
      <c r="I714" s="102" t="s">
        <v>103</v>
      </c>
      <c r="J714" s="102" t="s">
        <v>41</v>
      </c>
      <c r="K714" s="103">
        <v>50</v>
      </c>
      <c r="L714" s="104">
        <v>90000</v>
      </c>
      <c r="M714" s="104">
        <v>4500000</v>
      </c>
      <c r="N714" s="39">
        <f>+K714*25000</f>
        <v>1250000</v>
      </c>
      <c r="O714" s="107">
        <f>+M714*$O$1</f>
        <v>810000</v>
      </c>
      <c r="P714" s="108">
        <f>+N714+O714</f>
        <v>2060000</v>
      </c>
      <c r="Q714" s="39">
        <v>100</v>
      </c>
      <c r="R714" s="39">
        <f t="shared" si="156"/>
        <v>4500000</v>
      </c>
      <c r="S714" s="42">
        <f t="shared" si="157"/>
        <v>0</v>
      </c>
    </row>
    <row r="715" spans="1:19">
      <c r="A715" s="99">
        <v>2026</v>
      </c>
      <c r="B715" s="100">
        <v>2</v>
      </c>
      <c r="C715" s="101">
        <v>46076</v>
      </c>
      <c r="D715" s="101" t="str">
        <f t="shared" si="155"/>
        <v>GB000000576Навоий_Мехриддин ака</v>
      </c>
      <c r="E715" s="99" t="s">
        <v>137</v>
      </c>
      <c r="F715" s="102" t="s">
        <v>43</v>
      </c>
      <c r="G715" s="102" t="s">
        <v>44</v>
      </c>
      <c r="H715" s="99" t="s">
        <v>19</v>
      </c>
      <c r="I715" s="102" t="s">
        <v>83</v>
      </c>
      <c r="J715" s="102" t="s">
        <v>46</v>
      </c>
      <c r="K715" s="103">
        <v>13</v>
      </c>
      <c r="L715" s="104">
        <v>64700</v>
      </c>
      <c r="M715" s="104">
        <v>841100</v>
      </c>
      <c r="N715" s="39">
        <f>20000*K715</f>
        <v>260000</v>
      </c>
      <c r="O715" s="107">
        <f>+M715*$O$1</f>
        <v>151398</v>
      </c>
      <c r="P715" s="108">
        <f>+N715+O715</f>
        <v>411398</v>
      </c>
      <c r="Q715" s="39">
        <v>100</v>
      </c>
      <c r="R715" s="39">
        <f t="shared" si="156"/>
        <v>841100</v>
      </c>
      <c r="S715" s="42">
        <f t="shared" si="157"/>
        <v>0</v>
      </c>
    </row>
    <row r="716" spans="1:19">
      <c r="A716" s="99">
        <v>2026</v>
      </c>
      <c r="B716" s="100">
        <v>2</v>
      </c>
      <c r="C716" s="101">
        <v>46076</v>
      </c>
      <c r="D716" s="101" t="str">
        <f t="shared" si="155"/>
        <v>GB000000580Ташкент_Дилнавоз опа</v>
      </c>
      <c r="E716" s="99" t="s">
        <v>138</v>
      </c>
      <c r="F716" s="102" t="s">
        <v>35</v>
      </c>
      <c r="G716" s="102" t="s">
        <v>36</v>
      </c>
      <c r="H716" s="99" t="s">
        <v>19</v>
      </c>
      <c r="I716" s="102" t="s">
        <v>73</v>
      </c>
      <c r="J716" s="102" t="s">
        <v>38</v>
      </c>
      <c r="K716" s="103">
        <v>10</v>
      </c>
      <c r="L716" s="104">
        <v>65000</v>
      </c>
      <c r="M716" s="104">
        <v>650000</v>
      </c>
      <c r="N716" s="39">
        <f>+K716*20000</f>
        <v>200000</v>
      </c>
      <c r="O716" s="107">
        <f>+M716*$O$1</f>
        <v>117000</v>
      </c>
      <c r="P716" s="108">
        <f>+N716+O716</f>
        <v>317000</v>
      </c>
      <c r="Q716" s="39">
        <v>100</v>
      </c>
      <c r="R716" s="39">
        <f t="shared" si="156"/>
        <v>650000</v>
      </c>
      <c r="S716" s="42">
        <f t="shared" si="157"/>
        <v>0</v>
      </c>
    </row>
    <row r="717" spans="1:19">
      <c r="A717" s="99">
        <v>2026</v>
      </c>
      <c r="B717" s="100">
        <v>2</v>
      </c>
      <c r="C717" s="101">
        <v>46076</v>
      </c>
      <c r="D717" s="101" t="str">
        <f t="shared" si="155"/>
        <v>GB000000589Навоий_Мехриддин ака</v>
      </c>
      <c r="E717" s="99" t="s">
        <v>139</v>
      </c>
      <c r="F717" s="102" t="s">
        <v>43</v>
      </c>
      <c r="G717" s="102" t="s">
        <v>44</v>
      </c>
      <c r="H717" s="99" t="s">
        <v>19</v>
      </c>
      <c r="I717" s="102" t="s">
        <v>140</v>
      </c>
      <c r="J717" s="102" t="s">
        <v>46</v>
      </c>
      <c r="K717" s="103">
        <v>20</v>
      </c>
      <c r="L717" s="104">
        <v>64700</v>
      </c>
      <c r="M717" s="104">
        <v>1294000</v>
      </c>
      <c r="N717" s="39">
        <f t="shared" ref="N717:N718" si="159">20000*K717</f>
        <v>400000</v>
      </c>
      <c r="O717" s="107">
        <f>+M717*$O$1</f>
        <v>232920</v>
      </c>
      <c r="P717" s="108">
        <f>+N717+O717</f>
        <v>632920</v>
      </c>
      <c r="Q717" s="39">
        <v>0</v>
      </c>
      <c r="R717" s="39">
        <f t="shared" si="156"/>
        <v>0</v>
      </c>
      <c r="S717" s="42">
        <f t="shared" si="157"/>
        <v>1294000</v>
      </c>
    </row>
    <row r="718" spans="1:19">
      <c r="A718" s="99">
        <v>2026</v>
      </c>
      <c r="B718" s="100">
        <v>2</v>
      </c>
      <c r="C718" s="101">
        <v>46077</v>
      </c>
      <c r="D718" s="101" t="str">
        <f t="shared" si="155"/>
        <v>GB000000594Ташкент_Дилнавоз опа</v>
      </c>
      <c r="E718" s="99" t="s">
        <v>141</v>
      </c>
      <c r="F718" s="102" t="s">
        <v>35</v>
      </c>
      <c r="G718" s="102" t="s">
        <v>36</v>
      </c>
      <c r="H718" s="99" t="s">
        <v>19</v>
      </c>
      <c r="I718" s="102" t="s">
        <v>69</v>
      </c>
      <c r="J718" s="102" t="s">
        <v>46</v>
      </c>
      <c r="K718" s="103">
        <v>30</v>
      </c>
      <c r="L718" s="104">
        <v>64700</v>
      </c>
      <c r="M718" s="104">
        <v>1941000</v>
      </c>
      <c r="N718" s="39">
        <f t="shared" si="159"/>
        <v>600000</v>
      </c>
      <c r="O718" s="107">
        <f>+M718*$O$1</f>
        <v>349380</v>
      </c>
      <c r="P718" s="108">
        <f>+N718+O718</f>
        <v>949380</v>
      </c>
      <c r="Q718" s="39">
        <v>100</v>
      </c>
      <c r="R718" s="39">
        <f t="shared" si="156"/>
        <v>1941000</v>
      </c>
      <c r="S718" s="42">
        <f t="shared" si="157"/>
        <v>0</v>
      </c>
    </row>
    <row r="719" spans="1:19">
      <c r="A719" s="99">
        <v>2026</v>
      </c>
      <c r="B719" s="100">
        <v>2</v>
      </c>
      <c r="C719" s="101">
        <v>46077</v>
      </c>
      <c r="D719" s="101" t="str">
        <f t="shared" si="155"/>
        <v>GB000000594Ташкент_Дилнавоз опа</v>
      </c>
      <c r="E719" s="99" t="s">
        <v>141</v>
      </c>
      <c r="F719" s="102" t="s">
        <v>35</v>
      </c>
      <c r="G719" s="102" t="s">
        <v>36</v>
      </c>
      <c r="H719" s="99" t="s">
        <v>19</v>
      </c>
      <c r="I719" s="102" t="s">
        <v>69</v>
      </c>
      <c r="J719" s="102" t="s">
        <v>41</v>
      </c>
      <c r="K719" s="103">
        <v>30</v>
      </c>
      <c r="L719" s="104">
        <v>90000</v>
      </c>
      <c r="M719" s="104">
        <v>2700000</v>
      </c>
      <c r="N719" s="39">
        <f>+K719*25000</f>
        <v>750000</v>
      </c>
      <c r="O719" s="107">
        <f>+M719*$O$1</f>
        <v>486000</v>
      </c>
      <c r="P719" s="108">
        <f>+N719+O719</f>
        <v>1236000</v>
      </c>
      <c r="Q719" s="39">
        <v>100</v>
      </c>
      <c r="R719" s="39">
        <f t="shared" si="156"/>
        <v>2700000</v>
      </c>
      <c r="S719" s="42">
        <f t="shared" si="157"/>
        <v>0</v>
      </c>
    </row>
    <row r="720" spans="1:19">
      <c r="A720" s="99">
        <v>2026</v>
      </c>
      <c r="B720" s="100">
        <v>2</v>
      </c>
      <c r="C720" s="101">
        <v>46077</v>
      </c>
      <c r="D720" s="101" t="str">
        <f t="shared" si="155"/>
        <v>GB000000594Ташкент_Дилнавоз опа</v>
      </c>
      <c r="E720" s="99" t="s">
        <v>141</v>
      </c>
      <c r="F720" s="102" t="s">
        <v>35</v>
      </c>
      <c r="G720" s="102" t="s">
        <v>36</v>
      </c>
      <c r="H720" s="99" t="s">
        <v>19</v>
      </c>
      <c r="I720" s="102" t="s">
        <v>69</v>
      </c>
      <c r="J720" s="102" t="s">
        <v>38</v>
      </c>
      <c r="K720" s="103">
        <v>30</v>
      </c>
      <c r="L720" s="104">
        <v>65000</v>
      </c>
      <c r="M720" s="104">
        <v>1950000</v>
      </c>
      <c r="N720" s="39">
        <f>+K720*20000</f>
        <v>600000</v>
      </c>
      <c r="O720" s="107">
        <f>+M720*$O$1</f>
        <v>351000</v>
      </c>
      <c r="P720" s="108">
        <f>+N720+O720</f>
        <v>951000</v>
      </c>
      <c r="Q720" s="39">
        <v>100</v>
      </c>
      <c r="R720" s="39">
        <f t="shared" si="156"/>
        <v>1950000</v>
      </c>
      <c r="S720" s="42">
        <f t="shared" si="157"/>
        <v>0</v>
      </c>
    </row>
    <row r="721" spans="1:19">
      <c r="A721" s="99">
        <v>2026</v>
      </c>
      <c r="B721" s="100">
        <v>2</v>
      </c>
      <c r="C721" s="101">
        <v>46078</v>
      </c>
      <c r="D721" s="101" t="str">
        <f t="shared" si="155"/>
        <v>GB000000609Ташкент_Дилнавоз опа</v>
      </c>
      <c r="E721" s="99" t="s">
        <v>142</v>
      </c>
      <c r="F721" s="102" t="s">
        <v>48</v>
      </c>
      <c r="G721" s="102" t="s">
        <v>36</v>
      </c>
      <c r="H721" s="99" t="s">
        <v>19</v>
      </c>
      <c r="I721" s="102" t="s">
        <v>143</v>
      </c>
      <c r="J721" s="102" t="s">
        <v>41</v>
      </c>
      <c r="K721" s="103">
        <v>10</v>
      </c>
      <c r="L721" s="104">
        <v>90000</v>
      </c>
      <c r="M721" s="104">
        <v>900000</v>
      </c>
      <c r="N721" s="39">
        <f t="shared" ref="N721:N723" si="160">+K721*25000</f>
        <v>250000</v>
      </c>
      <c r="O721" s="107">
        <f>+M721*$O$1</f>
        <v>162000</v>
      </c>
      <c r="P721" s="108">
        <f>+N721+O721</f>
        <v>412000</v>
      </c>
      <c r="Q721" s="39">
        <v>100</v>
      </c>
      <c r="R721" s="39">
        <f t="shared" si="156"/>
        <v>900000</v>
      </c>
      <c r="S721" s="42">
        <f t="shared" si="157"/>
        <v>0</v>
      </c>
    </row>
    <row r="722" spans="1:19">
      <c r="A722" s="99">
        <v>2026</v>
      </c>
      <c r="B722" s="100">
        <v>2</v>
      </c>
      <c r="C722" s="101">
        <v>46078</v>
      </c>
      <c r="D722" s="101" t="str">
        <f t="shared" si="155"/>
        <v>GB000000614Ташкент_Дилнавоз опа</v>
      </c>
      <c r="E722" s="99" t="s">
        <v>144</v>
      </c>
      <c r="F722" s="102" t="s">
        <v>48</v>
      </c>
      <c r="G722" s="102" t="s">
        <v>36</v>
      </c>
      <c r="H722" s="99" t="s">
        <v>19</v>
      </c>
      <c r="I722" s="102" t="s">
        <v>145</v>
      </c>
      <c r="J722" s="102" t="s">
        <v>41</v>
      </c>
      <c r="K722" s="103">
        <v>10</v>
      </c>
      <c r="L722" s="104">
        <v>90000</v>
      </c>
      <c r="M722" s="104">
        <v>900000</v>
      </c>
      <c r="N722" s="39">
        <f t="shared" si="160"/>
        <v>250000</v>
      </c>
      <c r="O722" s="107">
        <f>+M722*$O$1</f>
        <v>162000</v>
      </c>
      <c r="P722" s="108">
        <f>+N722+O722</f>
        <v>412000</v>
      </c>
      <c r="Q722" s="39">
        <v>100</v>
      </c>
      <c r="R722" s="39">
        <f t="shared" si="156"/>
        <v>900000</v>
      </c>
      <c r="S722" s="42">
        <f t="shared" si="157"/>
        <v>0</v>
      </c>
    </row>
    <row r="723" spans="1:19">
      <c r="A723" s="99">
        <v>2026</v>
      </c>
      <c r="B723" s="100">
        <v>2</v>
      </c>
      <c r="C723" s="101">
        <v>46078</v>
      </c>
      <c r="D723" s="101" t="str">
        <f t="shared" si="155"/>
        <v>GB000000616Ташкент_Дилнавоз опа</v>
      </c>
      <c r="E723" s="99" t="s">
        <v>146</v>
      </c>
      <c r="F723" s="102" t="s">
        <v>48</v>
      </c>
      <c r="G723" s="102" t="s">
        <v>36</v>
      </c>
      <c r="H723" s="99" t="s">
        <v>19</v>
      </c>
      <c r="I723" s="102" t="s">
        <v>120</v>
      </c>
      <c r="J723" s="102" t="s">
        <v>41</v>
      </c>
      <c r="K723" s="103">
        <v>17</v>
      </c>
      <c r="L723" s="104">
        <v>90000</v>
      </c>
      <c r="M723" s="104">
        <v>1530000</v>
      </c>
      <c r="N723" s="39">
        <f t="shared" si="160"/>
        <v>425000</v>
      </c>
      <c r="O723" s="107">
        <f>+M723*$O$1</f>
        <v>275400</v>
      </c>
      <c r="P723" s="108">
        <f>+N723+O723</f>
        <v>700400</v>
      </c>
      <c r="Q723" s="39">
        <v>100</v>
      </c>
      <c r="R723" s="39">
        <f t="shared" si="156"/>
        <v>1530000</v>
      </c>
      <c r="S723" s="42">
        <f t="shared" si="157"/>
        <v>0</v>
      </c>
    </row>
    <row r="724" spans="1:19">
      <c r="A724" s="99">
        <v>2026</v>
      </c>
      <c r="B724" s="100">
        <v>2</v>
      </c>
      <c r="C724" s="101">
        <v>46078</v>
      </c>
      <c r="D724" s="101" t="str">
        <f t="shared" si="155"/>
        <v>GB000000616Ташкент_Дилнавоз опа</v>
      </c>
      <c r="E724" s="99" t="s">
        <v>146</v>
      </c>
      <c r="F724" s="102" t="s">
        <v>48</v>
      </c>
      <c r="G724" s="102" t="s">
        <v>36</v>
      </c>
      <c r="H724" s="99" t="s">
        <v>19</v>
      </c>
      <c r="I724" s="102" t="s">
        <v>120</v>
      </c>
      <c r="J724" s="102" t="s">
        <v>38</v>
      </c>
      <c r="K724" s="103">
        <v>13</v>
      </c>
      <c r="L724" s="104">
        <v>65000</v>
      </c>
      <c r="M724" s="104">
        <v>845000</v>
      </c>
      <c r="N724" s="39">
        <f>+K724*20000</f>
        <v>260000</v>
      </c>
      <c r="O724" s="107">
        <f>+M724*$O$1</f>
        <v>152100</v>
      </c>
      <c r="P724" s="108">
        <f>+N724+O724</f>
        <v>412100</v>
      </c>
      <c r="Q724" s="39">
        <v>100</v>
      </c>
      <c r="R724" s="39">
        <f t="shared" si="156"/>
        <v>845000</v>
      </c>
      <c r="S724" s="42">
        <f t="shared" si="157"/>
        <v>0</v>
      </c>
    </row>
    <row r="725" spans="1:19">
      <c r="A725" s="99">
        <v>2026</v>
      </c>
      <c r="B725" s="100">
        <v>2</v>
      </c>
      <c r="C725" s="101">
        <v>46078</v>
      </c>
      <c r="D725" s="101" t="str">
        <f t="shared" si="155"/>
        <v>GB000000619Ташкент_Дилнавоз опа</v>
      </c>
      <c r="E725" s="99" t="s">
        <v>147</v>
      </c>
      <c r="F725" s="102" t="s">
        <v>35</v>
      </c>
      <c r="G725" s="102" t="s">
        <v>36</v>
      </c>
      <c r="H725" s="99" t="s">
        <v>19</v>
      </c>
      <c r="I725" s="102" t="s">
        <v>148</v>
      </c>
      <c r="J725" s="102" t="s">
        <v>41</v>
      </c>
      <c r="K725" s="103">
        <v>40</v>
      </c>
      <c r="L725" s="104">
        <v>90000</v>
      </c>
      <c r="M725" s="104">
        <v>3600000</v>
      </c>
      <c r="N725" s="39">
        <f>+K725*25000</f>
        <v>1000000</v>
      </c>
      <c r="O725" s="107">
        <f>+M725*$O$1</f>
        <v>648000</v>
      </c>
      <c r="P725" s="108">
        <f>+N725+O725</f>
        <v>1648000</v>
      </c>
      <c r="Q725" s="39">
        <v>100</v>
      </c>
      <c r="R725" s="39">
        <f t="shared" si="156"/>
        <v>3600000</v>
      </c>
      <c r="S725" s="42">
        <f t="shared" si="157"/>
        <v>0</v>
      </c>
    </row>
    <row r="726" spans="1:19">
      <c r="A726" s="99">
        <v>2026</v>
      </c>
      <c r="B726" s="100">
        <v>2</v>
      </c>
      <c r="C726" s="101">
        <v>46078</v>
      </c>
      <c r="D726" s="101" t="str">
        <f t="shared" si="155"/>
        <v>GB000000619Ташкент_Дилнавоз опа</v>
      </c>
      <c r="E726" s="99" t="s">
        <v>147</v>
      </c>
      <c r="F726" s="102" t="s">
        <v>35</v>
      </c>
      <c r="G726" s="102" t="s">
        <v>36</v>
      </c>
      <c r="H726" s="99" t="s">
        <v>19</v>
      </c>
      <c r="I726" s="102" t="s">
        <v>148</v>
      </c>
      <c r="J726" s="102" t="s">
        <v>46</v>
      </c>
      <c r="K726" s="103">
        <v>10</v>
      </c>
      <c r="L726" s="104">
        <v>64700</v>
      </c>
      <c r="M726" s="104">
        <v>647000</v>
      </c>
      <c r="N726" s="39">
        <f>20000*K726</f>
        <v>200000</v>
      </c>
      <c r="O726" s="107">
        <f>+M726*$O$1</f>
        <v>116460</v>
      </c>
      <c r="P726" s="108">
        <f>+N726+O726</f>
        <v>316460</v>
      </c>
      <c r="Q726" s="39">
        <v>100</v>
      </c>
      <c r="R726" s="39">
        <f t="shared" si="156"/>
        <v>647000</v>
      </c>
      <c r="S726" s="42">
        <f t="shared" si="157"/>
        <v>0</v>
      </c>
    </row>
    <row r="727" spans="1:19">
      <c r="A727" s="99">
        <v>2026</v>
      </c>
      <c r="B727" s="100">
        <v>2</v>
      </c>
      <c r="C727" s="101">
        <v>46078</v>
      </c>
      <c r="D727" s="101" t="str">
        <f t="shared" si="155"/>
        <v>GB000000619Ташкент_Дилнавоз опа</v>
      </c>
      <c r="E727" s="99" t="s">
        <v>147</v>
      </c>
      <c r="F727" s="102" t="s">
        <v>35</v>
      </c>
      <c r="G727" s="102" t="s">
        <v>36</v>
      </c>
      <c r="H727" s="99" t="s">
        <v>19</v>
      </c>
      <c r="I727" s="102" t="s">
        <v>148</v>
      </c>
      <c r="J727" s="102" t="s">
        <v>38</v>
      </c>
      <c r="K727" s="103">
        <v>10</v>
      </c>
      <c r="L727" s="104">
        <v>65000</v>
      </c>
      <c r="M727" s="104">
        <v>650000</v>
      </c>
      <c r="N727" s="39">
        <f>+K727*20000</f>
        <v>200000</v>
      </c>
      <c r="O727" s="107">
        <f>+M727*$O$1</f>
        <v>117000</v>
      </c>
      <c r="P727" s="108">
        <f>+N727+O727</f>
        <v>317000</v>
      </c>
      <c r="Q727" s="39">
        <v>100</v>
      </c>
      <c r="R727" s="39">
        <f t="shared" si="156"/>
        <v>650000</v>
      </c>
      <c r="S727" s="42">
        <f t="shared" si="157"/>
        <v>0</v>
      </c>
    </row>
    <row r="728" spans="1:19">
      <c r="A728" s="99">
        <v>2026</v>
      </c>
      <c r="B728" s="100">
        <v>2</v>
      </c>
      <c r="C728" s="101">
        <v>46080</v>
      </c>
      <c r="D728" s="101" t="str">
        <f t="shared" si="155"/>
        <v>GB000000640Ташкент_Дилнавоз опа</v>
      </c>
      <c r="E728" s="99" t="s">
        <v>149</v>
      </c>
      <c r="F728" s="102" t="s">
        <v>68</v>
      </c>
      <c r="G728" s="102" t="s">
        <v>36</v>
      </c>
      <c r="H728" s="99" t="s">
        <v>19</v>
      </c>
      <c r="I728" s="102" t="s">
        <v>129</v>
      </c>
      <c r="J728" s="102" t="s">
        <v>46</v>
      </c>
      <c r="K728" s="103">
        <v>50</v>
      </c>
      <c r="L728" s="104">
        <v>64700</v>
      </c>
      <c r="M728" s="104">
        <v>3235000</v>
      </c>
      <c r="N728" s="39">
        <f>20000*K728</f>
        <v>1000000</v>
      </c>
      <c r="O728" s="107">
        <f>+M728*$O$1</f>
        <v>582300</v>
      </c>
      <c r="P728" s="108">
        <f>+N728+O728</f>
        <v>1582300</v>
      </c>
      <c r="Q728" s="39">
        <v>100</v>
      </c>
      <c r="R728" s="39">
        <f t="shared" si="156"/>
        <v>3235000</v>
      </c>
      <c r="S728" s="42">
        <f t="shared" si="157"/>
        <v>0</v>
      </c>
    </row>
    <row r="729" spans="1:19">
      <c r="A729" s="99">
        <v>2026</v>
      </c>
      <c r="B729" s="100">
        <v>2</v>
      </c>
      <c r="C729" s="101">
        <v>46080</v>
      </c>
      <c r="D729" s="101" t="str">
        <f t="shared" si="155"/>
        <v>GB000000640Ташкент_Дилнавоз опа</v>
      </c>
      <c r="E729" s="99" t="s">
        <v>149</v>
      </c>
      <c r="F729" s="102" t="s">
        <v>68</v>
      </c>
      <c r="G729" s="102" t="s">
        <v>36</v>
      </c>
      <c r="H729" s="99" t="s">
        <v>19</v>
      </c>
      <c r="I729" s="102" t="s">
        <v>129</v>
      </c>
      <c r="J729" s="102" t="s">
        <v>41</v>
      </c>
      <c r="K729" s="103">
        <v>50</v>
      </c>
      <c r="L729" s="104">
        <v>90000</v>
      </c>
      <c r="M729" s="104">
        <v>4500000</v>
      </c>
      <c r="N729" s="39">
        <f t="shared" ref="N729:N730" si="161">+K729*25000</f>
        <v>1250000</v>
      </c>
      <c r="O729" s="107">
        <f>+M729*$O$1</f>
        <v>810000</v>
      </c>
      <c r="P729" s="108">
        <f>+N729+O729</f>
        <v>2060000</v>
      </c>
      <c r="Q729" s="39">
        <v>100</v>
      </c>
      <c r="R729" s="39">
        <f t="shared" si="156"/>
        <v>4500000</v>
      </c>
      <c r="S729" s="42">
        <f t="shared" si="157"/>
        <v>0</v>
      </c>
    </row>
    <row r="730" spans="1:19">
      <c r="A730" s="99">
        <v>2026</v>
      </c>
      <c r="B730" s="100">
        <v>3</v>
      </c>
      <c r="C730" s="101">
        <v>46085</v>
      </c>
      <c r="D730" s="101" t="str">
        <f t="shared" si="155"/>
        <v>GB000000671Ташкент_Дилнавоз опа</v>
      </c>
      <c r="E730" s="99" t="s">
        <v>150</v>
      </c>
      <c r="F730" s="102" t="s">
        <v>48</v>
      </c>
      <c r="G730" s="102" t="s">
        <v>36</v>
      </c>
      <c r="H730" s="99" t="s">
        <v>19</v>
      </c>
      <c r="I730" s="102" t="s">
        <v>53</v>
      </c>
      <c r="J730" s="102" t="s">
        <v>41</v>
      </c>
      <c r="K730" s="103">
        <v>5</v>
      </c>
      <c r="L730" s="104">
        <v>90000</v>
      </c>
      <c r="M730" s="104">
        <v>450000</v>
      </c>
      <c r="N730" s="39">
        <f t="shared" si="161"/>
        <v>125000</v>
      </c>
      <c r="O730" s="107">
        <f>+M730*$O$1</f>
        <v>81000</v>
      </c>
      <c r="P730" s="108">
        <f>+N730+O730</f>
        <v>206000</v>
      </c>
      <c r="Q730" s="39">
        <v>100</v>
      </c>
      <c r="R730" s="39">
        <f t="shared" si="156"/>
        <v>450000</v>
      </c>
      <c r="S730" s="42">
        <f t="shared" si="157"/>
        <v>0</v>
      </c>
    </row>
    <row r="731" spans="1:19">
      <c r="A731" s="99">
        <v>2026</v>
      </c>
      <c r="B731" s="100">
        <v>3</v>
      </c>
      <c r="C731" s="101">
        <v>46085</v>
      </c>
      <c r="D731" s="101" t="str">
        <f t="shared" si="155"/>
        <v>GB000000679Ташкент_Дилнавоз опа</v>
      </c>
      <c r="E731" s="99" t="s">
        <v>151</v>
      </c>
      <c r="F731" s="102" t="s">
        <v>68</v>
      </c>
      <c r="G731" s="102" t="s">
        <v>36</v>
      </c>
      <c r="H731" s="99" t="s">
        <v>19</v>
      </c>
      <c r="I731" s="102" t="s">
        <v>69</v>
      </c>
      <c r="J731" s="102" t="s">
        <v>38</v>
      </c>
      <c r="K731" s="103">
        <v>35</v>
      </c>
      <c r="L731" s="104">
        <v>65000</v>
      </c>
      <c r="M731" s="104">
        <v>2275000</v>
      </c>
      <c r="N731" s="39">
        <f>+K731*20000</f>
        <v>700000</v>
      </c>
      <c r="O731" s="107">
        <f>+M731*$O$1</f>
        <v>409500</v>
      </c>
      <c r="P731" s="108">
        <f>+N731+O731</f>
        <v>1109500</v>
      </c>
      <c r="Q731" s="39">
        <v>100</v>
      </c>
      <c r="R731" s="39">
        <f t="shared" si="156"/>
        <v>2275000</v>
      </c>
      <c r="S731" s="42">
        <f t="shared" si="157"/>
        <v>0</v>
      </c>
    </row>
    <row r="732" spans="1:19">
      <c r="A732" s="99">
        <v>2026</v>
      </c>
      <c r="B732" s="100">
        <v>3</v>
      </c>
      <c r="C732" s="101">
        <v>46085</v>
      </c>
      <c r="D732" s="101" t="str">
        <f t="shared" si="155"/>
        <v>GB000000679Ташкент_Дилнавоз опа</v>
      </c>
      <c r="E732" s="99" t="s">
        <v>151</v>
      </c>
      <c r="F732" s="102" t="s">
        <v>68</v>
      </c>
      <c r="G732" s="102" t="s">
        <v>36</v>
      </c>
      <c r="H732" s="99" t="s">
        <v>19</v>
      </c>
      <c r="I732" s="102" t="s">
        <v>69</v>
      </c>
      <c r="J732" s="102" t="s">
        <v>41</v>
      </c>
      <c r="K732" s="103">
        <v>40</v>
      </c>
      <c r="L732" s="104">
        <v>90000</v>
      </c>
      <c r="M732" s="104">
        <v>3600000</v>
      </c>
      <c r="N732" s="39">
        <f>+K732*25000</f>
        <v>1000000</v>
      </c>
      <c r="O732" s="107">
        <f>+M732*$O$1</f>
        <v>648000</v>
      </c>
      <c r="P732" s="108">
        <f>+N732+O732</f>
        <v>1648000</v>
      </c>
      <c r="Q732" s="39">
        <v>100</v>
      </c>
      <c r="R732" s="39">
        <f t="shared" si="156"/>
        <v>3600000</v>
      </c>
      <c r="S732" s="42">
        <f t="shared" si="157"/>
        <v>0</v>
      </c>
    </row>
    <row r="733" spans="1:19">
      <c r="A733" s="99">
        <v>2026</v>
      </c>
      <c r="B733" s="100">
        <v>3</v>
      </c>
      <c r="C733" s="101">
        <v>46085</v>
      </c>
      <c r="D733" s="101" t="str">
        <f t="shared" si="155"/>
        <v>GB000000679Ташкент_Дилнавоз опа</v>
      </c>
      <c r="E733" s="99" t="s">
        <v>151</v>
      </c>
      <c r="F733" s="102" t="s">
        <v>68</v>
      </c>
      <c r="G733" s="102" t="s">
        <v>36</v>
      </c>
      <c r="H733" s="99" t="s">
        <v>19</v>
      </c>
      <c r="I733" s="102" t="s">
        <v>69</v>
      </c>
      <c r="J733" s="102" t="s">
        <v>46</v>
      </c>
      <c r="K733" s="103">
        <v>40</v>
      </c>
      <c r="L733" s="104">
        <v>64700</v>
      </c>
      <c r="M733" s="104">
        <v>2588000</v>
      </c>
      <c r="N733" s="39">
        <f>20000*K733</f>
        <v>800000</v>
      </c>
      <c r="O733" s="107">
        <f>+M733*$O$1</f>
        <v>465840</v>
      </c>
      <c r="P733" s="108">
        <f>+N733+O733</f>
        <v>1265840</v>
      </c>
      <c r="Q733" s="39">
        <v>100</v>
      </c>
      <c r="R733" s="39">
        <f t="shared" si="156"/>
        <v>2588000</v>
      </c>
      <c r="S733" s="42">
        <f t="shared" si="157"/>
        <v>0</v>
      </c>
    </row>
    <row r="734" spans="1:19">
      <c r="A734" s="99">
        <v>2026</v>
      </c>
      <c r="B734" s="100">
        <v>3</v>
      </c>
      <c r="C734" s="101">
        <v>46085</v>
      </c>
      <c r="D734" s="101" t="str">
        <f t="shared" si="155"/>
        <v>GB000000681Ташкент_Дилнавоз опа</v>
      </c>
      <c r="E734" s="99" t="s">
        <v>152</v>
      </c>
      <c r="F734" s="102" t="s">
        <v>48</v>
      </c>
      <c r="G734" s="102" t="s">
        <v>36</v>
      </c>
      <c r="H734" s="99" t="s">
        <v>19</v>
      </c>
      <c r="I734" s="102" t="s">
        <v>103</v>
      </c>
      <c r="J734" s="102" t="s">
        <v>41</v>
      </c>
      <c r="K734" s="103">
        <v>50</v>
      </c>
      <c r="L734" s="104">
        <v>90000</v>
      </c>
      <c r="M734" s="104">
        <v>4500000</v>
      </c>
      <c r="N734" s="39">
        <f t="shared" ref="N734:N735" si="162">+K734*25000</f>
        <v>1250000</v>
      </c>
      <c r="O734" s="107">
        <f>+M734*$O$1</f>
        <v>810000</v>
      </c>
      <c r="P734" s="108">
        <f>+N734+O734</f>
        <v>2060000</v>
      </c>
      <c r="Q734" s="39">
        <v>100</v>
      </c>
      <c r="R734" s="39">
        <f t="shared" si="156"/>
        <v>4500000</v>
      </c>
      <c r="S734" s="42">
        <f t="shared" si="157"/>
        <v>0</v>
      </c>
    </row>
    <row r="735" spans="1:19">
      <c r="A735" s="99">
        <v>2026</v>
      </c>
      <c r="B735" s="100">
        <v>3</v>
      </c>
      <c r="C735" s="101">
        <v>46086</v>
      </c>
      <c r="D735" s="101" t="str">
        <f t="shared" si="155"/>
        <v>GB000000694Ташкент_Дилнавоз опа</v>
      </c>
      <c r="E735" s="99" t="s">
        <v>153</v>
      </c>
      <c r="F735" s="102" t="s">
        <v>59</v>
      </c>
      <c r="G735" s="102" t="s">
        <v>36</v>
      </c>
      <c r="H735" s="99" t="s">
        <v>19</v>
      </c>
      <c r="I735" s="102" t="s">
        <v>60</v>
      </c>
      <c r="J735" s="102" t="s">
        <v>41</v>
      </c>
      <c r="K735" s="103">
        <v>30</v>
      </c>
      <c r="L735" s="104">
        <v>90000</v>
      </c>
      <c r="M735" s="104">
        <v>2700000</v>
      </c>
      <c r="N735" s="39">
        <f t="shared" si="162"/>
        <v>750000</v>
      </c>
      <c r="O735" s="107">
        <f>+M735*$O$1</f>
        <v>486000</v>
      </c>
      <c r="P735" s="108">
        <f>+N735+O735</f>
        <v>1236000</v>
      </c>
      <c r="Q735" s="39">
        <v>30</v>
      </c>
      <c r="R735" s="39">
        <f t="shared" si="156"/>
        <v>810000</v>
      </c>
      <c r="S735" s="42">
        <f t="shared" si="157"/>
        <v>1890000</v>
      </c>
    </row>
    <row r="736" spans="1:19">
      <c r="A736" s="99">
        <v>2026</v>
      </c>
      <c r="B736" s="100">
        <v>3</v>
      </c>
      <c r="C736" s="101">
        <v>46086</v>
      </c>
      <c r="D736" s="101" t="str">
        <f t="shared" si="155"/>
        <v>GB000000694Ташкент_Дилнавоз опа</v>
      </c>
      <c r="E736" s="99" t="s">
        <v>153</v>
      </c>
      <c r="F736" s="102" t="s">
        <v>59</v>
      </c>
      <c r="G736" s="102" t="s">
        <v>36</v>
      </c>
      <c r="H736" s="99" t="s">
        <v>19</v>
      </c>
      <c r="I736" s="102" t="s">
        <v>60</v>
      </c>
      <c r="J736" s="102" t="s">
        <v>38</v>
      </c>
      <c r="K736" s="103">
        <v>10</v>
      </c>
      <c r="L736" s="104">
        <v>65000</v>
      </c>
      <c r="M736" s="104">
        <v>650000</v>
      </c>
      <c r="N736" s="39">
        <f>+K736*20000</f>
        <v>200000</v>
      </c>
      <c r="O736" s="107">
        <f>+M736*$O$1</f>
        <v>117000</v>
      </c>
      <c r="P736" s="108">
        <f>+N736+O736</f>
        <v>317000</v>
      </c>
      <c r="Q736" s="39">
        <v>30</v>
      </c>
      <c r="R736" s="39">
        <f t="shared" si="156"/>
        <v>195000</v>
      </c>
      <c r="S736" s="42">
        <f t="shared" si="157"/>
        <v>455000</v>
      </c>
    </row>
    <row r="737" spans="1:19">
      <c r="A737" s="99">
        <v>2026</v>
      </c>
      <c r="B737" s="100">
        <v>3</v>
      </c>
      <c r="C737" s="101">
        <v>46086</v>
      </c>
      <c r="D737" s="101" t="str">
        <f t="shared" si="155"/>
        <v>GB000000698Навоий_Мехриддин ака</v>
      </c>
      <c r="E737" s="99" t="s">
        <v>154</v>
      </c>
      <c r="F737" s="102" t="s">
        <v>43</v>
      </c>
      <c r="G737" s="102" t="s">
        <v>44</v>
      </c>
      <c r="H737" s="99" t="s">
        <v>19</v>
      </c>
      <c r="I737" s="102" t="s">
        <v>64</v>
      </c>
      <c r="J737" s="102" t="s">
        <v>46</v>
      </c>
      <c r="K737" s="103">
        <v>20</v>
      </c>
      <c r="L737" s="104">
        <v>64700</v>
      </c>
      <c r="M737" s="104">
        <v>1294000</v>
      </c>
      <c r="N737" s="39">
        <f>20000*K737</f>
        <v>400000</v>
      </c>
      <c r="O737" s="107">
        <f>+M737*$O$1</f>
        <v>232920</v>
      </c>
      <c r="P737" s="108">
        <f>+N737+O737</f>
        <v>632920</v>
      </c>
      <c r="Q737" s="39">
        <v>100</v>
      </c>
      <c r="R737" s="39">
        <f t="shared" si="156"/>
        <v>1294000</v>
      </c>
      <c r="S737" s="42">
        <f t="shared" si="157"/>
        <v>0</v>
      </c>
    </row>
    <row r="738" spans="1:19">
      <c r="A738" s="99">
        <v>2026</v>
      </c>
      <c r="B738" s="100">
        <v>3</v>
      </c>
      <c r="C738" s="101">
        <v>46091</v>
      </c>
      <c r="D738" s="101" t="str">
        <f t="shared" si="155"/>
        <v>GB000000714Ташкент_Дилнавоз опа</v>
      </c>
      <c r="E738" s="99" t="s">
        <v>155</v>
      </c>
      <c r="F738" s="102" t="s">
        <v>59</v>
      </c>
      <c r="G738" s="102" t="s">
        <v>36</v>
      </c>
      <c r="H738" s="99" t="s">
        <v>19</v>
      </c>
      <c r="I738" s="102" t="s">
        <v>37</v>
      </c>
      <c r="J738" s="102" t="s">
        <v>41</v>
      </c>
      <c r="K738" s="103">
        <v>30</v>
      </c>
      <c r="L738" s="104">
        <v>90000</v>
      </c>
      <c r="M738" s="104">
        <v>2700000</v>
      </c>
      <c r="N738" s="39">
        <f>+K738*25000</f>
        <v>750000</v>
      </c>
      <c r="O738" s="107">
        <f>+M738*$O$1</f>
        <v>486000</v>
      </c>
      <c r="P738" s="108">
        <f>+N738+O738</f>
        <v>1236000</v>
      </c>
      <c r="Q738" s="39">
        <v>100</v>
      </c>
      <c r="R738" s="39">
        <f t="shared" si="156"/>
        <v>2700000</v>
      </c>
      <c r="S738" s="42">
        <f t="shared" si="157"/>
        <v>0</v>
      </c>
    </row>
    <row r="739" spans="1:19">
      <c r="A739" s="99">
        <v>2026</v>
      </c>
      <c r="B739" s="100">
        <v>3</v>
      </c>
      <c r="C739" s="101">
        <v>46091</v>
      </c>
      <c r="D739" s="101" t="str">
        <f t="shared" si="155"/>
        <v>GB000000714Ташкент_Дилнавоз опа</v>
      </c>
      <c r="E739" s="99" t="s">
        <v>155</v>
      </c>
      <c r="F739" s="102" t="s">
        <v>59</v>
      </c>
      <c r="G739" s="102" t="s">
        <v>36</v>
      </c>
      <c r="H739" s="99" t="s">
        <v>19</v>
      </c>
      <c r="I739" s="102" t="s">
        <v>37</v>
      </c>
      <c r="J739" s="102" t="s">
        <v>38</v>
      </c>
      <c r="K739" s="103">
        <v>50</v>
      </c>
      <c r="L739" s="104">
        <v>65000</v>
      </c>
      <c r="M739" s="104">
        <v>3250000</v>
      </c>
      <c r="N739" s="39">
        <f>+K739*20000</f>
        <v>1000000</v>
      </c>
      <c r="O739" s="107">
        <f>+M739*$O$1</f>
        <v>585000</v>
      </c>
      <c r="P739" s="108">
        <f>+N739+O739</f>
        <v>1585000</v>
      </c>
      <c r="Q739" s="39">
        <v>100</v>
      </c>
      <c r="R739" s="39">
        <f t="shared" si="156"/>
        <v>3250000</v>
      </c>
      <c r="S739" s="42">
        <f t="shared" si="157"/>
        <v>0</v>
      </c>
    </row>
    <row r="740" spans="1:19">
      <c r="A740" s="99">
        <v>2026</v>
      </c>
      <c r="B740" s="100">
        <v>3</v>
      </c>
      <c r="C740" s="101">
        <v>46092</v>
      </c>
      <c r="D740" s="101" t="str">
        <f t="shared" si="155"/>
        <v>GB000000729Ташкент_Дилнавоз опа</v>
      </c>
      <c r="E740" s="99" t="s">
        <v>156</v>
      </c>
      <c r="F740" s="102" t="s">
        <v>48</v>
      </c>
      <c r="G740" s="102" t="s">
        <v>36</v>
      </c>
      <c r="H740" s="99" t="s">
        <v>19</v>
      </c>
      <c r="I740" s="102" t="s">
        <v>103</v>
      </c>
      <c r="J740" s="102" t="s">
        <v>41</v>
      </c>
      <c r="K740" s="103">
        <v>50</v>
      </c>
      <c r="L740" s="104">
        <v>90000</v>
      </c>
      <c r="M740" s="104">
        <v>4500000</v>
      </c>
      <c r="N740" s="39">
        <f>+K740*25000</f>
        <v>1250000</v>
      </c>
      <c r="O740" s="107">
        <f>+M740*$O$1</f>
        <v>810000</v>
      </c>
      <c r="P740" s="108">
        <f>+N740+O740</f>
        <v>2060000</v>
      </c>
      <c r="Q740" s="39">
        <v>100</v>
      </c>
      <c r="R740" s="39">
        <f t="shared" si="156"/>
        <v>4500000</v>
      </c>
      <c r="S740" s="42">
        <f t="shared" si="157"/>
        <v>0</v>
      </c>
    </row>
    <row r="741" spans="1:19">
      <c r="A741" s="99">
        <v>2026</v>
      </c>
      <c r="B741" s="100">
        <v>3</v>
      </c>
      <c r="C741" s="101">
        <v>46092</v>
      </c>
      <c r="D741" s="101" t="str">
        <f t="shared" si="155"/>
        <v>GB000000730Ташкент_Дилнавоз опа</v>
      </c>
      <c r="E741" s="99" t="s">
        <v>157</v>
      </c>
      <c r="F741" s="102" t="s">
        <v>35</v>
      </c>
      <c r="G741" s="102" t="s">
        <v>36</v>
      </c>
      <c r="H741" s="99" t="s">
        <v>19</v>
      </c>
      <c r="I741" s="102" t="s">
        <v>158</v>
      </c>
      <c r="J741" s="102" t="s">
        <v>46</v>
      </c>
      <c r="K741" s="103">
        <v>15</v>
      </c>
      <c r="L741" s="104">
        <v>64700</v>
      </c>
      <c r="M741" s="104">
        <v>970500</v>
      </c>
      <c r="N741" s="39">
        <f>20000*K741</f>
        <v>300000</v>
      </c>
      <c r="O741" s="107">
        <f>+M741*$O$1</f>
        <v>174690</v>
      </c>
      <c r="P741" s="108">
        <f>+N741+O741</f>
        <v>474690</v>
      </c>
      <c r="Q741" s="39">
        <v>100</v>
      </c>
      <c r="R741" s="39">
        <f t="shared" si="156"/>
        <v>970500</v>
      </c>
      <c r="S741" s="42">
        <f t="shared" si="157"/>
        <v>0</v>
      </c>
    </row>
    <row r="742" spans="1:19">
      <c r="A742" s="99">
        <v>2026</v>
      </c>
      <c r="B742" s="100">
        <v>3</v>
      </c>
      <c r="C742" s="101">
        <v>46092</v>
      </c>
      <c r="D742" s="101" t="str">
        <f t="shared" si="155"/>
        <v>GB000000730Ташкент_Дилнавоз опа</v>
      </c>
      <c r="E742" s="99" t="s">
        <v>157</v>
      </c>
      <c r="F742" s="102" t="s">
        <v>35</v>
      </c>
      <c r="G742" s="102" t="s">
        <v>36</v>
      </c>
      <c r="H742" s="99" t="s">
        <v>19</v>
      </c>
      <c r="I742" s="102" t="s">
        <v>158</v>
      </c>
      <c r="J742" s="102" t="s">
        <v>41</v>
      </c>
      <c r="K742" s="103">
        <v>15</v>
      </c>
      <c r="L742" s="104">
        <v>90000</v>
      </c>
      <c r="M742" s="104">
        <v>1350000</v>
      </c>
      <c r="N742" s="39">
        <f>+K742*25000</f>
        <v>375000</v>
      </c>
      <c r="O742" s="107">
        <f>+M742*$O$1</f>
        <v>243000</v>
      </c>
      <c r="P742" s="108">
        <f>+N742+O742</f>
        <v>618000</v>
      </c>
      <c r="Q742" s="39">
        <v>100</v>
      </c>
      <c r="R742" s="39">
        <f t="shared" si="156"/>
        <v>1350000</v>
      </c>
      <c r="S742" s="42">
        <f t="shared" si="157"/>
        <v>0</v>
      </c>
    </row>
    <row r="743" spans="1:19">
      <c r="A743" s="99">
        <v>2026</v>
      </c>
      <c r="B743" s="100">
        <v>3</v>
      </c>
      <c r="C743" s="101">
        <v>46092</v>
      </c>
      <c r="D743" s="101" t="str">
        <f t="shared" si="155"/>
        <v>GB000000730Ташкент_Дилнавоз опа</v>
      </c>
      <c r="E743" s="99" t="s">
        <v>157</v>
      </c>
      <c r="F743" s="102" t="s">
        <v>35</v>
      </c>
      <c r="G743" s="102" t="s">
        <v>36</v>
      </c>
      <c r="H743" s="99" t="s">
        <v>19</v>
      </c>
      <c r="I743" s="102" t="s">
        <v>158</v>
      </c>
      <c r="J743" s="102" t="s">
        <v>38</v>
      </c>
      <c r="K743" s="103">
        <v>15</v>
      </c>
      <c r="L743" s="104">
        <v>65000</v>
      </c>
      <c r="M743" s="104">
        <v>975000</v>
      </c>
      <c r="N743" s="39">
        <f>+K743*20000</f>
        <v>300000</v>
      </c>
      <c r="O743" s="107">
        <f>+M743*$O$1</f>
        <v>175500</v>
      </c>
      <c r="P743" s="108">
        <f>+N743+O743</f>
        <v>475500</v>
      </c>
      <c r="Q743" s="39">
        <v>100</v>
      </c>
      <c r="R743" s="39">
        <f t="shared" si="156"/>
        <v>975000</v>
      </c>
      <c r="S743" s="42">
        <f t="shared" si="157"/>
        <v>0</v>
      </c>
    </row>
    <row r="744" spans="1:19">
      <c r="A744" s="99">
        <v>2026</v>
      </c>
      <c r="B744" s="100">
        <v>3</v>
      </c>
      <c r="C744" s="101">
        <v>46092</v>
      </c>
      <c r="D744" s="101" t="str">
        <f t="shared" si="155"/>
        <v>GB000000737Ташкент_Дилнавоз опа</v>
      </c>
      <c r="E744" s="99" t="s">
        <v>159</v>
      </c>
      <c r="F744" s="102" t="s">
        <v>59</v>
      </c>
      <c r="G744" s="102" t="s">
        <v>36</v>
      </c>
      <c r="H744" s="99" t="s">
        <v>19</v>
      </c>
      <c r="I744" s="102" t="s">
        <v>97</v>
      </c>
      <c r="J744" s="102" t="s">
        <v>41</v>
      </c>
      <c r="K744" s="103">
        <v>10</v>
      </c>
      <c r="L744" s="104">
        <v>90000</v>
      </c>
      <c r="M744" s="104">
        <v>900000</v>
      </c>
      <c r="N744" s="39">
        <f>+K744*25000</f>
        <v>250000</v>
      </c>
      <c r="O744" s="107">
        <f>+M744*$O$1</f>
        <v>162000</v>
      </c>
      <c r="P744" s="108">
        <f>+N744+O744</f>
        <v>412000</v>
      </c>
      <c r="Q744" s="39">
        <v>100</v>
      </c>
      <c r="R744" s="39">
        <f t="shared" si="156"/>
        <v>900000</v>
      </c>
      <c r="S744" s="42">
        <f t="shared" si="157"/>
        <v>0</v>
      </c>
    </row>
    <row r="745" spans="1:19">
      <c r="A745" s="99">
        <v>2026</v>
      </c>
      <c r="B745" s="100">
        <v>3</v>
      </c>
      <c r="C745" s="101">
        <v>46092</v>
      </c>
      <c r="D745" s="101" t="str">
        <f t="shared" si="155"/>
        <v>GB000000737Ташкент_Дилнавоз опа</v>
      </c>
      <c r="E745" s="99" t="s">
        <v>159</v>
      </c>
      <c r="F745" s="102" t="s">
        <v>59</v>
      </c>
      <c r="G745" s="102" t="s">
        <v>36</v>
      </c>
      <c r="H745" s="99" t="s">
        <v>19</v>
      </c>
      <c r="I745" s="102" t="s">
        <v>97</v>
      </c>
      <c r="J745" s="102" t="s">
        <v>38</v>
      </c>
      <c r="K745" s="103">
        <v>30</v>
      </c>
      <c r="L745" s="104">
        <v>65000</v>
      </c>
      <c r="M745" s="104">
        <v>1950000</v>
      </c>
      <c r="N745" s="39">
        <f>+K745*20000</f>
        <v>600000</v>
      </c>
      <c r="O745" s="107">
        <f>+M745*$O$1</f>
        <v>351000</v>
      </c>
      <c r="P745" s="108">
        <f>+N745+O745</f>
        <v>951000</v>
      </c>
      <c r="Q745" s="39">
        <v>100</v>
      </c>
      <c r="R745" s="39">
        <f t="shared" si="156"/>
        <v>1950000</v>
      </c>
      <c r="S745" s="42">
        <f t="shared" si="157"/>
        <v>0</v>
      </c>
    </row>
    <row r="746" spans="1:19">
      <c r="A746" s="99">
        <v>2026</v>
      </c>
      <c r="B746" s="100">
        <v>3</v>
      </c>
      <c r="C746" s="101">
        <v>46093</v>
      </c>
      <c r="D746" s="101" t="str">
        <f t="shared" si="155"/>
        <v>GB000000739Ташкент_Дилнавоз опа</v>
      </c>
      <c r="E746" s="99" t="s">
        <v>160</v>
      </c>
      <c r="F746" s="102" t="s">
        <v>59</v>
      </c>
      <c r="G746" s="102" t="s">
        <v>36</v>
      </c>
      <c r="H746" s="99" t="s">
        <v>19</v>
      </c>
      <c r="I746" s="102" t="s">
        <v>161</v>
      </c>
      <c r="J746" s="102" t="s">
        <v>41</v>
      </c>
      <c r="K746" s="103">
        <v>8</v>
      </c>
      <c r="L746" s="104">
        <v>90000</v>
      </c>
      <c r="M746" s="104">
        <v>720000</v>
      </c>
      <c r="N746" s="39">
        <f t="shared" ref="N746:N747" si="163">+K746*25000</f>
        <v>200000</v>
      </c>
      <c r="O746" s="107">
        <f>+M746*$O$1</f>
        <v>129600</v>
      </c>
      <c r="P746" s="108">
        <f>+N746+O746</f>
        <v>329600</v>
      </c>
      <c r="Q746" s="39">
        <v>100</v>
      </c>
      <c r="R746" s="39">
        <f t="shared" si="156"/>
        <v>720000</v>
      </c>
      <c r="S746" s="42">
        <f t="shared" si="157"/>
        <v>0</v>
      </c>
    </row>
    <row r="747" spans="1:19">
      <c r="A747" s="99">
        <v>2026</v>
      </c>
      <c r="B747" s="100">
        <v>3</v>
      </c>
      <c r="C747" s="101">
        <v>46093</v>
      </c>
      <c r="D747" s="101" t="str">
        <f t="shared" si="155"/>
        <v>GB000000739Ташкент_Дилнавоз опа</v>
      </c>
      <c r="E747" s="99" t="s">
        <v>160</v>
      </c>
      <c r="F747" s="102" t="s">
        <v>59</v>
      </c>
      <c r="G747" s="102" t="s">
        <v>36</v>
      </c>
      <c r="H747" s="99" t="s">
        <v>19</v>
      </c>
      <c r="I747" s="102" t="s">
        <v>161</v>
      </c>
      <c r="J747" s="102" t="s">
        <v>41</v>
      </c>
      <c r="K747" s="103">
        <v>22</v>
      </c>
      <c r="L747" s="104">
        <v>90000</v>
      </c>
      <c r="M747" s="104">
        <v>1980000</v>
      </c>
      <c r="N747" s="39">
        <f t="shared" si="163"/>
        <v>550000</v>
      </c>
      <c r="O747" s="107">
        <f>+M747*$O$1</f>
        <v>356400</v>
      </c>
      <c r="P747" s="108">
        <f>+N747+O747</f>
        <v>906400</v>
      </c>
      <c r="Q747" s="39">
        <v>100</v>
      </c>
      <c r="R747" s="39">
        <f t="shared" si="156"/>
        <v>1980000</v>
      </c>
      <c r="S747" s="42">
        <f t="shared" si="157"/>
        <v>0</v>
      </c>
    </row>
    <row r="748" spans="1:19">
      <c r="A748" s="99">
        <v>2026</v>
      </c>
      <c r="B748" s="100">
        <v>3</v>
      </c>
      <c r="C748" s="101">
        <v>46097</v>
      </c>
      <c r="D748" s="101" t="str">
        <f t="shared" si="155"/>
        <v>GB000000769Ташкент_Дилнавоз опа</v>
      </c>
      <c r="E748" s="99" t="s">
        <v>162</v>
      </c>
      <c r="F748" s="102" t="s">
        <v>48</v>
      </c>
      <c r="G748" s="102" t="s">
        <v>36</v>
      </c>
      <c r="H748" s="99" t="s">
        <v>19</v>
      </c>
      <c r="I748" s="102" t="s">
        <v>120</v>
      </c>
      <c r="J748" s="102" t="s">
        <v>38</v>
      </c>
      <c r="K748" s="103">
        <v>20</v>
      </c>
      <c r="L748" s="104">
        <v>65000</v>
      </c>
      <c r="M748" s="104">
        <v>1300000</v>
      </c>
      <c r="N748" s="39">
        <f>+K748*20000</f>
        <v>400000</v>
      </c>
      <c r="O748" s="107">
        <f>+M748*$O$1</f>
        <v>234000</v>
      </c>
      <c r="P748" s="108">
        <f>+N748+O748</f>
        <v>634000</v>
      </c>
      <c r="Q748" s="39">
        <v>100</v>
      </c>
      <c r="R748" s="39">
        <f t="shared" si="156"/>
        <v>1300000</v>
      </c>
      <c r="S748" s="42">
        <f t="shared" si="157"/>
        <v>0</v>
      </c>
    </row>
    <row r="749" spans="1:19">
      <c r="A749" s="99">
        <v>2026</v>
      </c>
      <c r="B749" s="100">
        <v>3</v>
      </c>
      <c r="C749" s="101">
        <v>46097</v>
      </c>
      <c r="D749" s="101" t="str">
        <f t="shared" si="155"/>
        <v>GB000000776Ташкент_Дилнавоз опа</v>
      </c>
      <c r="E749" s="99" t="s">
        <v>26</v>
      </c>
      <c r="F749" s="102" t="s">
        <v>48</v>
      </c>
      <c r="G749" s="102" t="s">
        <v>36</v>
      </c>
      <c r="H749" s="99" t="s">
        <v>19</v>
      </c>
      <c r="I749" s="102" t="s">
        <v>120</v>
      </c>
      <c r="J749" s="102" t="s">
        <v>41</v>
      </c>
      <c r="K749" s="103">
        <v>10</v>
      </c>
      <c r="L749" s="104">
        <v>90000</v>
      </c>
      <c r="M749" s="104">
        <v>900000</v>
      </c>
      <c r="N749" s="39">
        <f t="shared" ref="N749:N750" si="164">+K749*25000</f>
        <v>250000</v>
      </c>
      <c r="O749" s="107">
        <f>+M749*$O$1</f>
        <v>162000</v>
      </c>
      <c r="P749" s="108">
        <f>+N749+O749</f>
        <v>412000</v>
      </c>
      <c r="Q749" s="39">
        <v>100</v>
      </c>
      <c r="R749" s="39">
        <f t="shared" si="156"/>
        <v>900000</v>
      </c>
      <c r="S749" s="42">
        <f t="shared" si="157"/>
        <v>0</v>
      </c>
    </row>
    <row r="750" spans="1:19">
      <c r="A750" s="99">
        <v>2026</v>
      </c>
      <c r="B750" s="100">
        <v>3</v>
      </c>
      <c r="C750" s="101">
        <v>46097</v>
      </c>
      <c r="D750" s="101" t="str">
        <f t="shared" si="155"/>
        <v>GB000000784Ташкент_Дилнавоз опа</v>
      </c>
      <c r="E750" s="99" t="s">
        <v>163</v>
      </c>
      <c r="F750" s="102" t="s">
        <v>68</v>
      </c>
      <c r="G750" s="102" t="s">
        <v>36</v>
      </c>
      <c r="H750" s="99" t="s">
        <v>19</v>
      </c>
      <c r="I750" s="102" t="s">
        <v>69</v>
      </c>
      <c r="J750" s="102" t="s">
        <v>41</v>
      </c>
      <c r="K750" s="103">
        <v>40</v>
      </c>
      <c r="L750" s="104">
        <v>90000</v>
      </c>
      <c r="M750" s="104">
        <v>3600000</v>
      </c>
      <c r="N750" s="39">
        <f t="shared" si="164"/>
        <v>1000000</v>
      </c>
      <c r="O750" s="107">
        <f>+M750*$O$1</f>
        <v>648000</v>
      </c>
      <c r="P750" s="108">
        <f>+N750+O750</f>
        <v>1648000</v>
      </c>
      <c r="Q750" s="39">
        <v>100</v>
      </c>
      <c r="R750" s="39">
        <f t="shared" si="156"/>
        <v>3600000</v>
      </c>
      <c r="S750" s="42">
        <f t="shared" si="157"/>
        <v>0</v>
      </c>
    </row>
    <row r="751" spans="1:19">
      <c r="A751" s="99">
        <v>2026</v>
      </c>
      <c r="B751" s="100">
        <v>3</v>
      </c>
      <c r="C751" s="101">
        <v>46097</v>
      </c>
      <c r="D751" s="101" t="str">
        <f t="shared" si="155"/>
        <v>GB000000784Ташкент_Дилнавоз опа</v>
      </c>
      <c r="E751" s="99" t="s">
        <v>163</v>
      </c>
      <c r="F751" s="102" t="s">
        <v>68</v>
      </c>
      <c r="G751" s="102" t="s">
        <v>36</v>
      </c>
      <c r="H751" s="99" t="s">
        <v>19</v>
      </c>
      <c r="I751" s="102" t="s">
        <v>69</v>
      </c>
      <c r="J751" s="102" t="s">
        <v>46</v>
      </c>
      <c r="K751" s="103">
        <v>40</v>
      </c>
      <c r="L751" s="104">
        <v>64700</v>
      </c>
      <c r="M751" s="104">
        <v>2588000</v>
      </c>
      <c r="N751" s="39">
        <f t="shared" ref="N751:N754" si="165">20000*K751</f>
        <v>800000</v>
      </c>
      <c r="O751" s="107">
        <f>+M751*$O$1</f>
        <v>465840</v>
      </c>
      <c r="P751" s="108">
        <f>+N751+O751</f>
        <v>1265840</v>
      </c>
      <c r="Q751" s="39">
        <v>100</v>
      </c>
      <c r="R751" s="39">
        <f t="shared" si="156"/>
        <v>2588000</v>
      </c>
      <c r="S751" s="42">
        <f t="shared" si="157"/>
        <v>0</v>
      </c>
    </row>
    <row r="752" spans="1:19">
      <c r="A752" s="99">
        <v>2026</v>
      </c>
      <c r="B752" s="100">
        <v>3</v>
      </c>
      <c r="C752" s="101">
        <v>46097</v>
      </c>
      <c r="D752" s="101" t="str">
        <f t="shared" si="155"/>
        <v>GB000000787Ташкент_Дилнавоз опа</v>
      </c>
      <c r="E752" s="99" t="s">
        <v>164</v>
      </c>
      <c r="F752" s="102" t="s">
        <v>68</v>
      </c>
      <c r="G752" s="102" t="s">
        <v>36</v>
      </c>
      <c r="H752" s="99" t="s">
        <v>19</v>
      </c>
      <c r="I752" s="102" t="s">
        <v>129</v>
      </c>
      <c r="J752" s="102" t="s">
        <v>46</v>
      </c>
      <c r="K752" s="103">
        <v>45</v>
      </c>
      <c r="L752" s="104">
        <v>64700</v>
      </c>
      <c r="M752" s="104">
        <v>2911500</v>
      </c>
      <c r="N752" s="39">
        <f t="shared" si="165"/>
        <v>900000</v>
      </c>
      <c r="O752" s="107">
        <f>+M752*$O$1</f>
        <v>524070</v>
      </c>
      <c r="P752" s="108">
        <f>+N752+O752</f>
        <v>1424070</v>
      </c>
      <c r="Q752" s="39">
        <v>100</v>
      </c>
      <c r="R752" s="39">
        <f t="shared" si="156"/>
        <v>2911500</v>
      </c>
      <c r="S752" s="42">
        <f t="shared" si="157"/>
        <v>0</v>
      </c>
    </row>
    <row r="753" spans="1:19">
      <c r="A753" s="99">
        <v>2026</v>
      </c>
      <c r="B753" s="100">
        <v>3</v>
      </c>
      <c r="C753" s="101">
        <v>46097</v>
      </c>
      <c r="D753" s="101" t="str">
        <f t="shared" si="155"/>
        <v>GB000000787Ташкент_Дилнавоз опа</v>
      </c>
      <c r="E753" s="99" t="s">
        <v>164</v>
      </c>
      <c r="F753" s="102" t="s">
        <v>68</v>
      </c>
      <c r="G753" s="102" t="s">
        <v>36</v>
      </c>
      <c r="H753" s="99" t="s">
        <v>19</v>
      </c>
      <c r="I753" s="102" t="s">
        <v>129</v>
      </c>
      <c r="J753" s="102" t="s">
        <v>46</v>
      </c>
      <c r="K753" s="103">
        <v>5</v>
      </c>
      <c r="L753" s="104">
        <v>64700</v>
      </c>
      <c r="M753" s="104">
        <v>323500</v>
      </c>
      <c r="N753" s="39">
        <f t="shared" si="165"/>
        <v>100000</v>
      </c>
      <c r="O753" s="107">
        <f>+M753*$O$1</f>
        <v>58230</v>
      </c>
      <c r="P753" s="108">
        <f>+N753+O753</f>
        <v>158230</v>
      </c>
      <c r="Q753" s="39">
        <v>100</v>
      </c>
      <c r="R753" s="39">
        <f t="shared" si="156"/>
        <v>323500</v>
      </c>
      <c r="S753" s="42">
        <f t="shared" si="157"/>
        <v>0</v>
      </c>
    </row>
    <row r="754" spans="1:19">
      <c r="A754" s="99">
        <v>2026</v>
      </c>
      <c r="B754" s="100">
        <v>3</v>
      </c>
      <c r="C754" s="101">
        <v>46097</v>
      </c>
      <c r="D754" s="101" t="str">
        <f t="shared" si="155"/>
        <v>GB000000794Ташкент_Дилнавоз опа</v>
      </c>
      <c r="E754" s="99" t="s">
        <v>165</v>
      </c>
      <c r="F754" s="102" t="s">
        <v>48</v>
      </c>
      <c r="G754" s="102" t="s">
        <v>36</v>
      </c>
      <c r="H754" s="99" t="s">
        <v>19</v>
      </c>
      <c r="I754" s="102" t="s">
        <v>89</v>
      </c>
      <c r="J754" s="102" t="s">
        <v>46</v>
      </c>
      <c r="K754" s="103">
        <v>30</v>
      </c>
      <c r="L754" s="104">
        <v>64700</v>
      </c>
      <c r="M754" s="104">
        <v>1941000</v>
      </c>
      <c r="N754" s="39">
        <f t="shared" si="165"/>
        <v>600000</v>
      </c>
      <c r="O754" s="107">
        <f>+M754*$O$1</f>
        <v>349380</v>
      </c>
      <c r="P754" s="108">
        <f>+N754+O754</f>
        <v>949380</v>
      </c>
      <c r="Q754" s="39">
        <v>100</v>
      </c>
      <c r="R754" s="39">
        <f t="shared" si="156"/>
        <v>1941000</v>
      </c>
      <c r="S754" s="42">
        <f t="shared" si="157"/>
        <v>0</v>
      </c>
    </row>
    <row r="755" spans="1:19">
      <c r="A755" s="99">
        <v>2026</v>
      </c>
      <c r="B755" s="100">
        <v>3</v>
      </c>
      <c r="C755" s="101">
        <v>46099</v>
      </c>
      <c r="D755" s="101" t="str">
        <f t="shared" si="155"/>
        <v>GB000000809Ташкент_Дилнавоз опа</v>
      </c>
      <c r="E755" s="99" t="s">
        <v>166</v>
      </c>
      <c r="F755" s="102" t="s">
        <v>48</v>
      </c>
      <c r="G755" s="102" t="s">
        <v>36</v>
      </c>
      <c r="H755" s="99" t="s">
        <v>19</v>
      </c>
      <c r="I755" s="102" t="s">
        <v>103</v>
      </c>
      <c r="J755" s="102" t="s">
        <v>38</v>
      </c>
      <c r="K755" s="103">
        <v>15</v>
      </c>
      <c r="L755" s="104">
        <v>65000</v>
      </c>
      <c r="M755" s="104">
        <v>975000</v>
      </c>
      <c r="N755" s="39">
        <f t="shared" ref="N755:N756" si="166">+K755*20000</f>
        <v>300000</v>
      </c>
      <c r="O755" s="107">
        <f>+M755*$O$1</f>
        <v>175500</v>
      </c>
      <c r="P755" s="108">
        <f>+N755+O755</f>
        <v>475500</v>
      </c>
      <c r="Q755" s="39">
        <v>100</v>
      </c>
      <c r="R755" s="39">
        <f t="shared" si="156"/>
        <v>975000</v>
      </c>
      <c r="S755" s="42">
        <f t="shared" si="157"/>
        <v>0</v>
      </c>
    </row>
    <row r="756" spans="1:19">
      <c r="A756" s="99">
        <v>2026</v>
      </c>
      <c r="B756" s="100">
        <v>3</v>
      </c>
      <c r="C756" s="101">
        <v>46105</v>
      </c>
      <c r="D756" s="101" t="str">
        <f t="shared" si="155"/>
        <v>GB000000825Ташкент_Дилнавоз опа</v>
      </c>
      <c r="E756" s="99" t="s">
        <v>167</v>
      </c>
      <c r="F756" s="102" t="s">
        <v>48</v>
      </c>
      <c r="G756" s="102" t="s">
        <v>36</v>
      </c>
      <c r="H756" s="99" t="s">
        <v>19</v>
      </c>
      <c r="I756" s="102" t="s">
        <v>55</v>
      </c>
      <c r="J756" s="102" t="s">
        <v>38</v>
      </c>
      <c r="K756" s="103">
        <v>50</v>
      </c>
      <c r="L756" s="104">
        <v>65000</v>
      </c>
      <c r="M756" s="104">
        <v>3250000</v>
      </c>
      <c r="N756" s="39">
        <f t="shared" si="166"/>
        <v>1000000</v>
      </c>
      <c r="O756" s="107">
        <f>+M756*$O$1</f>
        <v>585000</v>
      </c>
      <c r="P756" s="108">
        <f>+N756+O756</f>
        <v>1585000</v>
      </c>
      <c r="Q756" s="39">
        <v>100</v>
      </c>
      <c r="R756" s="39">
        <f t="shared" si="156"/>
        <v>3250000</v>
      </c>
      <c r="S756" s="42">
        <f t="shared" si="157"/>
        <v>0</v>
      </c>
    </row>
    <row r="757" spans="1:19">
      <c r="A757" s="99">
        <v>2026</v>
      </c>
      <c r="B757" s="100">
        <v>3</v>
      </c>
      <c r="C757" s="101">
        <v>46105</v>
      </c>
      <c r="D757" s="101" t="str">
        <f t="shared" si="155"/>
        <v>GB000000825Ташкент_Дилнавоз опа</v>
      </c>
      <c r="E757" s="99" t="s">
        <v>167</v>
      </c>
      <c r="F757" s="102" t="s">
        <v>48</v>
      </c>
      <c r="G757" s="102" t="s">
        <v>36</v>
      </c>
      <c r="H757" s="99" t="s">
        <v>19</v>
      </c>
      <c r="I757" s="102" t="s">
        <v>55</v>
      </c>
      <c r="J757" s="102" t="s">
        <v>41</v>
      </c>
      <c r="K757" s="103">
        <v>10</v>
      </c>
      <c r="L757" s="104">
        <v>90000</v>
      </c>
      <c r="M757" s="104">
        <v>900000</v>
      </c>
      <c r="N757" s="39">
        <f t="shared" ref="N757:N760" si="167">+K757*25000</f>
        <v>250000</v>
      </c>
      <c r="O757" s="107">
        <f>+M757*$O$1</f>
        <v>162000</v>
      </c>
      <c r="P757" s="108">
        <f>+N757+O757</f>
        <v>412000</v>
      </c>
      <c r="Q757" s="39">
        <v>100</v>
      </c>
      <c r="R757" s="39">
        <f t="shared" si="156"/>
        <v>900000</v>
      </c>
      <c r="S757" s="42">
        <f t="shared" si="157"/>
        <v>0</v>
      </c>
    </row>
    <row r="758" spans="1:19">
      <c r="A758" s="99">
        <v>2026</v>
      </c>
      <c r="B758" s="100">
        <v>3</v>
      </c>
      <c r="C758" s="101">
        <v>46106</v>
      </c>
      <c r="D758" s="101" t="str">
        <f t="shared" si="155"/>
        <v>GB000000841Ташкент_Дилнавоз опа</v>
      </c>
      <c r="E758" s="99" t="s">
        <v>168</v>
      </c>
      <c r="F758" s="102" t="s">
        <v>48</v>
      </c>
      <c r="G758" s="102" t="s">
        <v>36</v>
      </c>
      <c r="H758" s="99" t="s">
        <v>19</v>
      </c>
      <c r="I758" s="102" t="s">
        <v>103</v>
      </c>
      <c r="J758" s="102" t="s">
        <v>41</v>
      </c>
      <c r="K758" s="103">
        <v>40</v>
      </c>
      <c r="L758" s="104">
        <v>90000</v>
      </c>
      <c r="M758" s="104">
        <v>3600000</v>
      </c>
      <c r="N758" s="39">
        <f t="shared" si="167"/>
        <v>1000000</v>
      </c>
      <c r="O758" s="107">
        <f>+M758*$O$1</f>
        <v>648000</v>
      </c>
      <c r="P758" s="108">
        <f>+N758+O758</f>
        <v>1648000</v>
      </c>
      <c r="Q758" s="39">
        <v>100</v>
      </c>
      <c r="R758" s="39">
        <f t="shared" si="156"/>
        <v>3600000</v>
      </c>
      <c r="S758" s="42">
        <f t="shared" si="157"/>
        <v>0</v>
      </c>
    </row>
    <row r="759" spans="1:19">
      <c r="A759" s="99">
        <v>2026</v>
      </c>
      <c r="B759" s="100">
        <v>3</v>
      </c>
      <c r="C759" s="101">
        <v>46106</v>
      </c>
      <c r="D759" s="101" t="str">
        <f t="shared" si="155"/>
        <v>GB000000844Ташкент_Дилнавоз опа</v>
      </c>
      <c r="E759" s="99" t="s">
        <v>169</v>
      </c>
      <c r="F759" s="102" t="s">
        <v>170</v>
      </c>
      <c r="G759" s="102" t="s">
        <v>36</v>
      </c>
      <c r="H759" s="99" t="s">
        <v>19</v>
      </c>
      <c r="I759" s="102" t="s">
        <v>148</v>
      </c>
      <c r="J759" s="102" t="s">
        <v>41</v>
      </c>
      <c r="K759" s="103">
        <v>30</v>
      </c>
      <c r="L759" s="104">
        <v>90000</v>
      </c>
      <c r="M759" s="104">
        <v>2700000</v>
      </c>
      <c r="N759" s="39">
        <f t="shared" si="167"/>
        <v>750000</v>
      </c>
      <c r="O759" s="107">
        <f>+M759*$O$1</f>
        <v>486000</v>
      </c>
      <c r="P759" s="108">
        <f>+N759+O759</f>
        <v>1236000</v>
      </c>
      <c r="Q759" s="39">
        <v>100</v>
      </c>
      <c r="R759" s="39">
        <f t="shared" si="156"/>
        <v>2700000</v>
      </c>
      <c r="S759" s="42">
        <f t="shared" si="157"/>
        <v>0</v>
      </c>
    </row>
    <row r="760" spans="1:19">
      <c r="A760" s="99">
        <v>2026</v>
      </c>
      <c r="B760" s="100">
        <v>3</v>
      </c>
      <c r="C760" s="101">
        <v>46108</v>
      </c>
      <c r="D760" s="101" t="str">
        <f t="shared" si="155"/>
        <v>GB000000861Ташкент_Дилнавоз опа</v>
      </c>
      <c r="E760" s="99" t="s">
        <v>171</v>
      </c>
      <c r="F760" s="102" t="s">
        <v>35</v>
      </c>
      <c r="G760" s="102" t="s">
        <v>36</v>
      </c>
      <c r="H760" s="99" t="s">
        <v>19</v>
      </c>
      <c r="I760" s="102" t="s">
        <v>75</v>
      </c>
      <c r="J760" s="102" t="s">
        <v>41</v>
      </c>
      <c r="K760" s="103">
        <v>30</v>
      </c>
      <c r="L760" s="104">
        <v>90000</v>
      </c>
      <c r="M760" s="104">
        <v>2700000</v>
      </c>
      <c r="N760" s="39">
        <f t="shared" si="167"/>
        <v>750000</v>
      </c>
      <c r="O760" s="107">
        <f>+M760*$O$1</f>
        <v>486000</v>
      </c>
      <c r="P760" s="108">
        <f>+N760+O760</f>
        <v>1236000</v>
      </c>
      <c r="Q760" s="39">
        <v>100</v>
      </c>
      <c r="R760" s="39">
        <f t="shared" si="156"/>
        <v>2700000</v>
      </c>
      <c r="S760" s="42">
        <f t="shared" si="157"/>
        <v>0</v>
      </c>
    </row>
    <row r="761" spans="1:19">
      <c r="A761" s="99">
        <v>2026</v>
      </c>
      <c r="B761" s="100">
        <v>3</v>
      </c>
      <c r="C761" s="101">
        <v>46108</v>
      </c>
      <c r="D761" s="101" t="str">
        <f t="shared" si="155"/>
        <v>GB000000861Ташкент_Дилнавоз опа</v>
      </c>
      <c r="E761" s="99" t="s">
        <v>171</v>
      </c>
      <c r="F761" s="102" t="s">
        <v>35</v>
      </c>
      <c r="G761" s="102" t="s">
        <v>36</v>
      </c>
      <c r="H761" s="99" t="s">
        <v>19</v>
      </c>
      <c r="I761" s="102" t="s">
        <v>75</v>
      </c>
      <c r="J761" s="102" t="s">
        <v>46</v>
      </c>
      <c r="K761" s="103">
        <v>20</v>
      </c>
      <c r="L761" s="104">
        <v>64700</v>
      </c>
      <c r="M761" s="104">
        <v>1294000</v>
      </c>
      <c r="N761" s="39">
        <f>20000*K761</f>
        <v>400000</v>
      </c>
      <c r="O761" s="107">
        <f>+M761*$O$1</f>
        <v>232920</v>
      </c>
      <c r="P761" s="108">
        <f>+N761+O761</f>
        <v>632920</v>
      </c>
      <c r="Q761" s="39">
        <v>100</v>
      </c>
      <c r="R761" s="39">
        <f t="shared" si="156"/>
        <v>1294000</v>
      </c>
      <c r="S761" s="42">
        <f t="shared" si="157"/>
        <v>0</v>
      </c>
    </row>
    <row r="762" spans="1:19">
      <c r="A762" s="99">
        <v>2026</v>
      </c>
      <c r="B762" s="100">
        <v>3</v>
      </c>
      <c r="C762" s="101">
        <v>46108</v>
      </c>
      <c r="D762" s="101" t="str">
        <f t="shared" si="155"/>
        <v>GB000000861Ташкент_Дилнавоз опа</v>
      </c>
      <c r="E762" s="99" t="s">
        <v>171</v>
      </c>
      <c r="F762" s="102" t="s">
        <v>35</v>
      </c>
      <c r="G762" s="102" t="s">
        <v>36</v>
      </c>
      <c r="H762" s="99" t="s">
        <v>19</v>
      </c>
      <c r="I762" s="102" t="s">
        <v>75</v>
      </c>
      <c r="J762" s="102" t="s">
        <v>38</v>
      </c>
      <c r="K762" s="103">
        <v>40</v>
      </c>
      <c r="L762" s="104">
        <v>65000</v>
      </c>
      <c r="M762" s="104">
        <v>2600000</v>
      </c>
      <c r="N762" s="39">
        <f>+K762*20000</f>
        <v>800000</v>
      </c>
      <c r="O762" s="107">
        <f>+M762*$O$1</f>
        <v>468000</v>
      </c>
      <c r="P762" s="108">
        <f>+N762+O762</f>
        <v>1268000</v>
      </c>
      <c r="Q762" s="39">
        <v>100</v>
      </c>
      <c r="R762" s="39">
        <f t="shared" si="156"/>
        <v>2600000</v>
      </c>
      <c r="S762" s="42">
        <f t="shared" si="157"/>
        <v>0</v>
      </c>
    </row>
    <row r="763" spans="1:19">
      <c r="A763" s="99">
        <v>2026</v>
      </c>
      <c r="B763" s="100">
        <v>3</v>
      </c>
      <c r="C763" s="101">
        <v>46108</v>
      </c>
      <c r="D763" s="101" t="str">
        <f t="shared" si="155"/>
        <v>GB000000863Ташкент_Дилнавоз опа</v>
      </c>
      <c r="E763" s="99" t="s">
        <v>172</v>
      </c>
      <c r="F763" s="102" t="s">
        <v>68</v>
      </c>
      <c r="G763" s="102" t="s">
        <v>36</v>
      </c>
      <c r="H763" s="99" t="s">
        <v>19</v>
      </c>
      <c r="I763" s="102" t="s">
        <v>173</v>
      </c>
      <c r="J763" s="102" t="s">
        <v>41</v>
      </c>
      <c r="K763" s="103">
        <v>10</v>
      </c>
      <c r="L763" s="104">
        <v>90000</v>
      </c>
      <c r="M763" s="104">
        <v>900000</v>
      </c>
      <c r="N763" s="39">
        <f>+K763*25000</f>
        <v>250000</v>
      </c>
      <c r="O763" s="107">
        <f>+M763*$O$1</f>
        <v>162000</v>
      </c>
      <c r="P763" s="108">
        <f>+N763+O763</f>
        <v>412000</v>
      </c>
      <c r="Q763" s="39">
        <v>100</v>
      </c>
      <c r="R763" s="39">
        <f t="shared" si="156"/>
        <v>900000</v>
      </c>
      <c r="S763" s="42">
        <f t="shared" si="157"/>
        <v>0</v>
      </c>
    </row>
    <row r="764" spans="1:19">
      <c r="A764" s="99">
        <v>2026</v>
      </c>
      <c r="B764" s="100">
        <v>3</v>
      </c>
      <c r="C764" s="101">
        <v>46111</v>
      </c>
      <c r="D764" s="101" t="str">
        <f t="shared" si="155"/>
        <v>GB000000891Ташкент_Дилнавоз опа</v>
      </c>
      <c r="E764" s="99" t="s">
        <v>174</v>
      </c>
      <c r="F764" s="102" t="s">
        <v>48</v>
      </c>
      <c r="G764" s="102" t="s">
        <v>36</v>
      </c>
      <c r="H764" s="99" t="s">
        <v>19</v>
      </c>
      <c r="I764" s="102" t="s">
        <v>120</v>
      </c>
      <c r="J764" s="102" t="s">
        <v>38</v>
      </c>
      <c r="K764" s="103">
        <v>25</v>
      </c>
      <c r="L764" s="104">
        <v>65000</v>
      </c>
      <c r="M764" s="104">
        <v>1625000</v>
      </c>
      <c r="N764" s="39">
        <f t="shared" ref="N764:N765" si="168">+K764*20000</f>
        <v>500000</v>
      </c>
      <c r="O764" s="107">
        <f>+M764*$O$1</f>
        <v>292500</v>
      </c>
      <c r="P764" s="108">
        <f>+N764+O764</f>
        <v>792500</v>
      </c>
      <c r="Q764" s="39">
        <v>100</v>
      </c>
      <c r="R764" s="39">
        <f t="shared" si="156"/>
        <v>1625000</v>
      </c>
      <c r="S764" s="42">
        <f t="shared" si="157"/>
        <v>0</v>
      </c>
    </row>
    <row r="765" spans="1:19">
      <c r="A765" s="99">
        <v>2026</v>
      </c>
      <c r="B765" s="100">
        <v>3</v>
      </c>
      <c r="C765" s="101">
        <v>46111</v>
      </c>
      <c r="D765" s="101" t="str">
        <f t="shared" si="155"/>
        <v>GB000000892Ташкент_Дилнавоз опа</v>
      </c>
      <c r="E765" s="99" t="s">
        <v>175</v>
      </c>
      <c r="F765" s="102" t="s">
        <v>48</v>
      </c>
      <c r="G765" s="102" t="s">
        <v>36</v>
      </c>
      <c r="H765" s="99" t="s">
        <v>19</v>
      </c>
      <c r="I765" s="102" t="s">
        <v>49</v>
      </c>
      <c r="J765" s="102" t="s">
        <v>38</v>
      </c>
      <c r="K765" s="103">
        <v>15</v>
      </c>
      <c r="L765" s="104">
        <v>65000</v>
      </c>
      <c r="M765" s="104">
        <v>975000</v>
      </c>
      <c r="N765" s="39">
        <f t="shared" si="168"/>
        <v>300000</v>
      </c>
      <c r="O765" s="107">
        <f>+M765*$O$1</f>
        <v>175500</v>
      </c>
      <c r="P765" s="108">
        <f>+N765+O765</f>
        <v>475500</v>
      </c>
      <c r="Q765" s="39">
        <v>100</v>
      </c>
      <c r="R765" s="39">
        <f t="shared" si="156"/>
        <v>975000</v>
      </c>
      <c r="S765" s="42">
        <f t="shared" si="157"/>
        <v>0</v>
      </c>
    </row>
    <row r="766" spans="1:19">
      <c r="A766" s="99">
        <v>2026</v>
      </c>
      <c r="B766" s="100">
        <v>3</v>
      </c>
      <c r="C766" s="101">
        <v>46112</v>
      </c>
      <c r="D766" s="101" t="str">
        <f t="shared" si="155"/>
        <v>GB000000899Ташкент_Дилнавоз опа</v>
      </c>
      <c r="E766" s="99" t="s">
        <v>177</v>
      </c>
      <c r="F766" s="102" t="s">
        <v>68</v>
      </c>
      <c r="G766" s="102" t="s">
        <v>36</v>
      </c>
      <c r="H766" s="99" t="s">
        <v>19</v>
      </c>
      <c r="I766" s="102" t="s">
        <v>69</v>
      </c>
      <c r="J766" s="102" t="s">
        <v>41</v>
      </c>
      <c r="K766" s="103">
        <v>40</v>
      </c>
      <c r="L766" s="104">
        <v>90000</v>
      </c>
      <c r="M766" s="104">
        <v>3600000</v>
      </c>
      <c r="N766" s="39">
        <f>+K766*25000</f>
        <v>1000000</v>
      </c>
      <c r="O766" s="107">
        <f>+M766*$O$1</f>
        <v>648000</v>
      </c>
      <c r="P766" s="108">
        <f>+N766+O766</f>
        <v>1648000</v>
      </c>
      <c r="Q766" s="39">
        <v>100</v>
      </c>
      <c r="R766" s="39">
        <f t="shared" si="156"/>
        <v>3600000</v>
      </c>
      <c r="S766" s="42">
        <f t="shared" si="157"/>
        <v>0</v>
      </c>
    </row>
    <row r="767" spans="1:19">
      <c r="A767" s="99">
        <v>2026</v>
      </c>
      <c r="B767" s="100">
        <v>3</v>
      </c>
      <c r="C767" s="101">
        <v>46112</v>
      </c>
      <c r="D767" s="101" t="str">
        <f t="shared" si="155"/>
        <v>GB000000900Ташкент_Дилнавоз опа</v>
      </c>
      <c r="E767" s="99" t="s">
        <v>178</v>
      </c>
      <c r="F767" s="102" t="s">
        <v>59</v>
      </c>
      <c r="G767" s="102" t="s">
        <v>36</v>
      </c>
      <c r="H767" s="99" t="s">
        <v>19</v>
      </c>
      <c r="I767" s="102" t="s">
        <v>179</v>
      </c>
      <c r="J767" s="102" t="s">
        <v>38</v>
      </c>
      <c r="K767" s="103">
        <v>10</v>
      </c>
      <c r="L767" s="104">
        <v>65000</v>
      </c>
      <c r="M767" s="104">
        <v>650000</v>
      </c>
      <c r="N767" s="39">
        <f>+K767*20000</f>
        <v>200000</v>
      </c>
      <c r="O767" s="107">
        <f>+M767*$O$1</f>
        <v>117000</v>
      </c>
      <c r="P767" s="108">
        <f>+N767+O767</f>
        <v>317000</v>
      </c>
      <c r="Q767" s="39">
        <v>52</v>
      </c>
      <c r="R767" s="39">
        <f t="shared" si="156"/>
        <v>338000</v>
      </c>
      <c r="S767" s="42">
        <f t="shared" si="157"/>
        <v>312000</v>
      </c>
    </row>
    <row r="768" spans="1:19">
      <c r="A768" s="99">
        <v>2026</v>
      </c>
      <c r="B768" s="100">
        <v>3</v>
      </c>
      <c r="C768" s="101">
        <v>46112</v>
      </c>
      <c r="D768" s="101" t="str">
        <f t="shared" si="155"/>
        <v>GB000000900Ташкент_Дилнавоз опа</v>
      </c>
      <c r="E768" s="99" t="s">
        <v>178</v>
      </c>
      <c r="F768" s="102" t="s">
        <v>59</v>
      </c>
      <c r="G768" s="102" t="s">
        <v>36</v>
      </c>
      <c r="H768" s="99" t="s">
        <v>19</v>
      </c>
      <c r="I768" s="102" t="s">
        <v>179</v>
      </c>
      <c r="J768" s="102" t="s">
        <v>41</v>
      </c>
      <c r="K768" s="103">
        <v>2</v>
      </c>
      <c r="L768" s="104">
        <v>90000</v>
      </c>
      <c r="M768" s="104">
        <v>180000</v>
      </c>
      <c r="N768" s="39">
        <f t="shared" ref="N768:N773" si="169">+K768*25000</f>
        <v>50000</v>
      </c>
      <c r="O768" s="107">
        <f>+M768*$O$1</f>
        <v>32400</v>
      </c>
      <c r="P768" s="108">
        <f>+N768+O768</f>
        <v>82400</v>
      </c>
      <c r="Q768" s="39">
        <v>52</v>
      </c>
      <c r="R768" s="39">
        <f t="shared" si="156"/>
        <v>93600</v>
      </c>
      <c r="S768" s="42">
        <f t="shared" si="157"/>
        <v>86400</v>
      </c>
    </row>
    <row r="769" spans="1:19">
      <c r="A769" s="99">
        <v>2026</v>
      </c>
      <c r="B769" s="100">
        <v>3</v>
      </c>
      <c r="C769" s="101">
        <v>46112</v>
      </c>
      <c r="D769" s="101" t="str">
        <f t="shared" si="155"/>
        <v>GB000000900Ташкент_Дилнавоз опа</v>
      </c>
      <c r="E769" s="99" t="s">
        <v>178</v>
      </c>
      <c r="F769" s="102" t="s">
        <v>59</v>
      </c>
      <c r="G769" s="102" t="s">
        <v>36</v>
      </c>
      <c r="H769" s="99" t="s">
        <v>19</v>
      </c>
      <c r="I769" s="102" t="s">
        <v>179</v>
      </c>
      <c r="J769" s="102" t="s">
        <v>41</v>
      </c>
      <c r="K769" s="103">
        <v>8</v>
      </c>
      <c r="L769" s="104">
        <v>90000</v>
      </c>
      <c r="M769" s="104">
        <v>720000</v>
      </c>
      <c r="N769" s="39">
        <f t="shared" si="169"/>
        <v>200000</v>
      </c>
      <c r="O769" s="107">
        <f>+M769*$O$1</f>
        <v>129600</v>
      </c>
      <c r="P769" s="108">
        <f>+N769+O769</f>
        <v>329600</v>
      </c>
      <c r="Q769" s="39">
        <v>52</v>
      </c>
      <c r="R769" s="39">
        <f t="shared" si="156"/>
        <v>374400</v>
      </c>
      <c r="S769" s="42">
        <f t="shared" si="157"/>
        <v>345600</v>
      </c>
    </row>
    <row r="770" spans="1:19">
      <c r="A770" s="99">
        <v>2026</v>
      </c>
      <c r="B770" s="100">
        <v>4</v>
      </c>
      <c r="C770" s="101">
        <v>46113</v>
      </c>
      <c r="D770" s="101" t="str">
        <f t="shared" si="155"/>
        <v>GB000000920Ташкент_Дилнавоз опа</v>
      </c>
      <c r="E770" s="99" t="s">
        <v>180</v>
      </c>
      <c r="F770" s="102" t="s">
        <v>59</v>
      </c>
      <c r="G770" s="102" t="s">
        <v>36</v>
      </c>
      <c r="H770" s="99" t="s">
        <v>19</v>
      </c>
      <c r="I770" s="102" t="s">
        <v>161</v>
      </c>
      <c r="J770" s="102" t="s">
        <v>41</v>
      </c>
      <c r="K770" s="103">
        <v>3</v>
      </c>
      <c r="L770" s="104">
        <v>90000</v>
      </c>
      <c r="M770" s="104">
        <v>270000</v>
      </c>
      <c r="N770" s="39">
        <f t="shared" si="169"/>
        <v>75000</v>
      </c>
      <c r="O770" s="107">
        <f>+M770*$O$1</f>
        <v>48600</v>
      </c>
      <c r="P770" s="108">
        <f>+N770+O770</f>
        <v>123600</v>
      </c>
      <c r="Q770" s="39">
        <v>100</v>
      </c>
      <c r="R770" s="39">
        <f t="shared" si="156"/>
        <v>270000</v>
      </c>
      <c r="S770" s="42">
        <f t="shared" si="157"/>
        <v>0</v>
      </c>
    </row>
    <row r="771" spans="1:19">
      <c r="A771" s="99">
        <v>2026</v>
      </c>
      <c r="B771" s="100">
        <v>4</v>
      </c>
      <c r="C771" s="101">
        <v>46113</v>
      </c>
      <c r="D771" s="101" t="str">
        <f t="shared" si="155"/>
        <v>GB000000920Ташкент_Дилнавоз опа</v>
      </c>
      <c r="E771" s="99" t="s">
        <v>180</v>
      </c>
      <c r="F771" s="102" t="s">
        <v>59</v>
      </c>
      <c r="G771" s="102" t="s">
        <v>36</v>
      </c>
      <c r="H771" s="99" t="s">
        <v>19</v>
      </c>
      <c r="I771" s="102" t="s">
        <v>161</v>
      </c>
      <c r="J771" s="102" t="s">
        <v>41</v>
      </c>
      <c r="K771" s="103">
        <v>27</v>
      </c>
      <c r="L771" s="104">
        <v>90000</v>
      </c>
      <c r="M771" s="104">
        <v>2430000</v>
      </c>
      <c r="N771" s="39">
        <f t="shared" si="169"/>
        <v>675000</v>
      </c>
      <c r="O771" s="107">
        <f>+M771*$O$1</f>
        <v>437400</v>
      </c>
      <c r="P771" s="108">
        <f>+N771+O771</f>
        <v>1112400</v>
      </c>
      <c r="Q771" s="39">
        <v>100</v>
      </c>
      <c r="R771" s="39">
        <f t="shared" si="156"/>
        <v>2430000</v>
      </c>
      <c r="S771" s="42">
        <f t="shared" si="157"/>
        <v>0</v>
      </c>
    </row>
    <row r="772" spans="1:19">
      <c r="A772" s="99">
        <v>2026</v>
      </c>
      <c r="B772" s="100">
        <v>4</v>
      </c>
      <c r="C772" s="101">
        <v>46114</v>
      </c>
      <c r="D772" s="101" t="str">
        <f t="shared" ref="D772:D835" si="170">+E772&amp;G772</f>
        <v>GB000000930Ташкент_Дилнавоз опа</v>
      </c>
      <c r="E772" s="99" t="s">
        <v>181</v>
      </c>
      <c r="F772" s="102" t="s">
        <v>35</v>
      </c>
      <c r="G772" s="102" t="s">
        <v>36</v>
      </c>
      <c r="H772" s="99" t="s">
        <v>19</v>
      </c>
      <c r="I772" s="102" t="s">
        <v>75</v>
      </c>
      <c r="J772" s="102" t="s">
        <v>41</v>
      </c>
      <c r="K772" s="103">
        <v>40</v>
      </c>
      <c r="L772" s="104">
        <v>90000</v>
      </c>
      <c r="M772" s="104">
        <v>3600000</v>
      </c>
      <c r="N772" s="39">
        <f t="shared" si="169"/>
        <v>1000000</v>
      </c>
      <c r="O772" s="107">
        <f>+M772*$O$1</f>
        <v>648000</v>
      </c>
      <c r="P772" s="108">
        <f>+N772+O772</f>
        <v>1648000</v>
      </c>
      <c r="Q772" s="39">
        <v>100</v>
      </c>
      <c r="R772" s="39">
        <f t="shared" ref="R772:R835" si="171">+M772*Q772%</f>
        <v>3600000</v>
      </c>
      <c r="S772" s="42">
        <f t="shared" ref="S772:S835" si="172">M772-R772</f>
        <v>0</v>
      </c>
    </row>
    <row r="773" spans="1:19">
      <c r="A773" s="99">
        <v>2026</v>
      </c>
      <c r="B773" s="100">
        <v>4</v>
      </c>
      <c r="C773" s="101">
        <v>46114</v>
      </c>
      <c r="D773" s="101" t="str">
        <f t="shared" si="170"/>
        <v>GB000000930Ташкент_Дилнавоз опа</v>
      </c>
      <c r="E773" s="99" t="s">
        <v>181</v>
      </c>
      <c r="F773" s="102" t="s">
        <v>35</v>
      </c>
      <c r="G773" s="102" t="s">
        <v>36</v>
      </c>
      <c r="H773" s="99" t="s">
        <v>19</v>
      </c>
      <c r="I773" s="102" t="s">
        <v>75</v>
      </c>
      <c r="J773" s="102" t="s">
        <v>41</v>
      </c>
      <c r="K773" s="103">
        <v>10</v>
      </c>
      <c r="L773" s="104">
        <v>90000</v>
      </c>
      <c r="M773" s="104">
        <v>900000</v>
      </c>
      <c r="N773" s="39">
        <f t="shared" si="169"/>
        <v>250000</v>
      </c>
      <c r="O773" s="107">
        <f>+M773*$O$1</f>
        <v>162000</v>
      </c>
      <c r="P773" s="108">
        <f>+N773+O773</f>
        <v>412000</v>
      </c>
      <c r="Q773" s="39">
        <v>100</v>
      </c>
      <c r="R773" s="39">
        <f t="shared" si="171"/>
        <v>900000</v>
      </c>
      <c r="S773" s="42">
        <f t="shared" si="172"/>
        <v>0</v>
      </c>
    </row>
    <row r="774" spans="1:19">
      <c r="A774" s="99">
        <v>2026</v>
      </c>
      <c r="B774" s="100">
        <v>4</v>
      </c>
      <c r="C774" s="101">
        <v>46115</v>
      </c>
      <c r="D774" s="101" t="str">
        <f t="shared" si="170"/>
        <v>GB000000941Ташкент_Дилнавоз опа</v>
      </c>
      <c r="E774" s="99" t="s">
        <v>182</v>
      </c>
      <c r="F774" s="102" t="s">
        <v>59</v>
      </c>
      <c r="G774" s="102" t="s">
        <v>36</v>
      </c>
      <c r="H774" s="99" t="s">
        <v>19</v>
      </c>
      <c r="I774" s="102" t="s">
        <v>37</v>
      </c>
      <c r="J774" s="102" t="s">
        <v>38</v>
      </c>
      <c r="K774" s="103">
        <v>50</v>
      </c>
      <c r="L774" s="104">
        <v>65000</v>
      </c>
      <c r="M774" s="104">
        <v>3250000</v>
      </c>
      <c r="N774" s="39">
        <f t="shared" ref="N774:N775" si="173">+K774*20000</f>
        <v>1000000</v>
      </c>
      <c r="O774" s="107">
        <f>+M774*$O$1</f>
        <v>585000</v>
      </c>
      <c r="P774" s="108">
        <f>+N774+O774</f>
        <v>1585000</v>
      </c>
      <c r="Q774" s="39">
        <v>100</v>
      </c>
      <c r="R774" s="39">
        <f t="shared" si="171"/>
        <v>3250000</v>
      </c>
      <c r="S774" s="42">
        <f t="shared" si="172"/>
        <v>0</v>
      </c>
    </row>
    <row r="775" spans="1:19">
      <c r="A775" s="99">
        <v>2026</v>
      </c>
      <c r="B775" s="100">
        <v>4</v>
      </c>
      <c r="C775" s="101">
        <v>46115</v>
      </c>
      <c r="D775" s="101" t="str">
        <f t="shared" si="170"/>
        <v>GB000000943Ташкент_Дилнавоз опа</v>
      </c>
      <c r="E775" s="99" t="s">
        <v>183</v>
      </c>
      <c r="F775" s="102" t="s">
        <v>59</v>
      </c>
      <c r="G775" s="102" t="s">
        <v>36</v>
      </c>
      <c r="H775" s="99" t="s">
        <v>19</v>
      </c>
      <c r="I775" s="102" t="s">
        <v>69</v>
      </c>
      <c r="J775" s="102" t="s">
        <v>38</v>
      </c>
      <c r="K775" s="103">
        <v>20</v>
      </c>
      <c r="L775" s="104">
        <v>65000</v>
      </c>
      <c r="M775" s="104">
        <v>1300000</v>
      </c>
      <c r="N775" s="39">
        <f t="shared" si="173"/>
        <v>400000</v>
      </c>
      <c r="O775" s="107">
        <f>+M775*$O$1</f>
        <v>234000</v>
      </c>
      <c r="P775" s="108">
        <f>+N775+O775</f>
        <v>634000</v>
      </c>
      <c r="Q775" s="39">
        <v>100</v>
      </c>
      <c r="R775" s="39">
        <f t="shared" si="171"/>
        <v>1300000</v>
      </c>
      <c r="S775" s="42">
        <f t="shared" si="172"/>
        <v>0</v>
      </c>
    </row>
    <row r="776" spans="1:19">
      <c r="A776" s="99">
        <v>2026</v>
      </c>
      <c r="B776" s="100">
        <v>4</v>
      </c>
      <c r="C776" s="101">
        <v>46115</v>
      </c>
      <c r="D776" s="101" t="str">
        <f t="shared" si="170"/>
        <v>GB000000943Ташкент_Дилнавоз опа</v>
      </c>
      <c r="E776" s="99" t="s">
        <v>183</v>
      </c>
      <c r="F776" s="102" t="s">
        <v>59</v>
      </c>
      <c r="G776" s="102" t="s">
        <v>36</v>
      </c>
      <c r="H776" s="99" t="s">
        <v>19</v>
      </c>
      <c r="I776" s="102" t="s">
        <v>69</v>
      </c>
      <c r="J776" s="102" t="s">
        <v>41</v>
      </c>
      <c r="K776" s="103">
        <v>20</v>
      </c>
      <c r="L776" s="104">
        <v>90000</v>
      </c>
      <c r="M776" s="104">
        <v>1800000</v>
      </c>
      <c r="N776" s="39">
        <f>+K776*25000</f>
        <v>500000</v>
      </c>
      <c r="O776" s="107">
        <f>+M776*$O$1</f>
        <v>324000</v>
      </c>
      <c r="P776" s="108">
        <f>+N776+O776</f>
        <v>824000</v>
      </c>
      <c r="Q776" s="39">
        <v>100</v>
      </c>
      <c r="R776" s="39">
        <f t="shared" si="171"/>
        <v>1800000</v>
      </c>
      <c r="S776" s="42">
        <f t="shared" si="172"/>
        <v>0</v>
      </c>
    </row>
    <row r="777" spans="1:19">
      <c r="A777" s="99">
        <v>2026</v>
      </c>
      <c r="B777" s="100">
        <v>4</v>
      </c>
      <c r="C777" s="101">
        <v>46115</v>
      </c>
      <c r="D777" s="101" t="str">
        <f t="shared" si="170"/>
        <v>GB000000945Ташкент_Дилнавоз опа</v>
      </c>
      <c r="E777" s="99" t="s">
        <v>184</v>
      </c>
      <c r="F777" s="102" t="s">
        <v>170</v>
      </c>
      <c r="G777" s="102" t="s">
        <v>36</v>
      </c>
      <c r="H777" s="99" t="s">
        <v>19</v>
      </c>
      <c r="I777" s="102" t="s">
        <v>111</v>
      </c>
      <c r="J777" s="102" t="s">
        <v>38</v>
      </c>
      <c r="K777" s="103">
        <v>20</v>
      </c>
      <c r="L777" s="104">
        <v>65000</v>
      </c>
      <c r="M777" s="104">
        <v>1300000</v>
      </c>
      <c r="N777" s="39">
        <f>+K777*20000</f>
        <v>400000</v>
      </c>
      <c r="O777" s="107">
        <f>+M777*$O$1</f>
        <v>234000</v>
      </c>
      <c r="P777" s="108">
        <f>+N777+O777</f>
        <v>634000</v>
      </c>
      <c r="Q777" s="39">
        <v>100</v>
      </c>
      <c r="R777" s="39">
        <f t="shared" si="171"/>
        <v>1300000</v>
      </c>
      <c r="S777" s="42">
        <f t="shared" si="172"/>
        <v>0</v>
      </c>
    </row>
    <row r="778" spans="1:19">
      <c r="A778" s="99">
        <v>2026</v>
      </c>
      <c r="B778" s="100">
        <v>4</v>
      </c>
      <c r="C778" s="101">
        <v>46115</v>
      </c>
      <c r="D778" s="101" t="str">
        <f t="shared" si="170"/>
        <v>GB000000945Ташкент_Дилнавоз опа</v>
      </c>
      <c r="E778" s="99" t="s">
        <v>184</v>
      </c>
      <c r="F778" s="102" t="s">
        <v>170</v>
      </c>
      <c r="G778" s="102" t="s">
        <v>36</v>
      </c>
      <c r="H778" s="99" t="s">
        <v>19</v>
      </c>
      <c r="I778" s="102" t="s">
        <v>111</v>
      </c>
      <c r="J778" s="102" t="s">
        <v>41</v>
      </c>
      <c r="K778" s="103">
        <v>20</v>
      </c>
      <c r="L778" s="104">
        <v>90000</v>
      </c>
      <c r="M778" s="104">
        <v>1800000</v>
      </c>
      <c r="N778" s="39">
        <f t="shared" ref="N778:N779" si="174">+K778*25000</f>
        <v>500000</v>
      </c>
      <c r="O778" s="107">
        <f>+M778*$O$1</f>
        <v>324000</v>
      </c>
      <c r="P778" s="108">
        <f>+N778+O778</f>
        <v>824000</v>
      </c>
      <c r="Q778" s="39">
        <v>100</v>
      </c>
      <c r="R778" s="39">
        <f t="shared" si="171"/>
        <v>1800000</v>
      </c>
      <c r="S778" s="42">
        <f t="shared" si="172"/>
        <v>0</v>
      </c>
    </row>
    <row r="779" spans="1:19">
      <c r="A779" s="99">
        <v>2026</v>
      </c>
      <c r="B779" s="100">
        <v>4</v>
      </c>
      <c r="C779" s="101">
        <v>46115</v>
      </c>
      <c r="D779" s="101" t="str">
        <f t="shared" si="170"/>
        <v>GB000000947Ташкент_Дилнавоз опа</v>
      </c>
      <c r="E779" s="99" t="s">
        <v>185</v>
      </c>
      <c r="F779" s="102" t="s">
        <v>68</v>
      </c>
      <c r="G779" s="102" t="s">
        <v>36</v>
      </c>
      <c r="H779" s="99" t="s">
        <v>19</v>
      </c>
      <c r="I779" s="102" t="s">
        <v>129</v>
      </c>
      <c r="J779" s="102" t="s">
        <v>41</v>
      </c>
      <c r="K779" s="103">
        <v>50</v>
      </c>
      <c r="L779" s="104">
        <v>90000</v>
      </c>
      <c r="M779" s="104">
        <v>4500000</v>
      </c>
      <c r="N779" s="39">
        <f t="shared" si="174"/>
        <v>1250000</v>
      </c>
      <c r="O779" s="107">
        <f>+M779*$O$1</f>
        <v>810000</v>
      </c>
      <c r="P779" s="108">
        <f>+N779+O779</f>
        <v>2060000</v>
      </c>
      <c r="Q779" s="39">
        <v>25</v>
      </c>
      <c r="R779" s="39">
        <f t="shared" si="171"/>
        <v>1125000</v>
      </c>
      <c r="S779" s="42">
        <f t="shared" si="172"/>
        <v>3375000</v>
      </c>
    </row>
    <row r="780" spans="1:19">
      <c r="A780" s="99">
        <v>2026</v>
      </c>
      <c r="B780" s="100">
        <v>4</v>
      </c>
      <c r="C780" s="101">
        <v>46115</v>
      </c>
      <c r="D780" s="101" t="str">
        <f t="shared" si="170"/>
        <v>GB000000947Ташкент_Дилнавоз опа</v>
      </c>
      <c r="E780" s="99" t="s">
        <v>185</v>
      </c>
      <c r="F780" s="102" t="s">
        <v>68</v>
      </c>
      <c r="G780" s="102" t="s">
        <v>36</v>
      </c>
      <c r="H780" s="99" t="s">
        <v>19</v>
      </c>
      <c r="I780" s="102" t="s">
        <v>129</v>
      </c>
      <c r="J780" s="102" t="s">
        <v>46</v>
      </c>
      <c r="K780" s="103">
        <v>50</v>
      </c>
      <c r="L780" s="104">
        <v>64700</v>
      </c>
      <c r="M780" s="104">
        <v>3235000</v>
      </c>
      <c r="N780" s="39">
        <f>20000*K780</f>
        <v>1000000</v>
      </c>
      <c r="O780" s="107">
        <f>+M780*$O$1</f>
        <v>582300</v>
      </c>
      <c r="P780" s="108">
        <f>+N780+O780</f>
        <v>1582300</v>
      </c>
      <c r="Q780" s="39">
        <v>25</v>
      </c>
      <c r="R780" s="39">
        <f t="shared" si="171"/>
        <v>808750</v>
      </c>
      <c r="S780" s="42">
        <f t="shared" si="172"/>
        <v>2426250</v>
      </c>
    </row>
    <row r="781" spans="1:19">
      <c r="A781" s="99">
        <v>2026</v>
      </c>
      <c r="B781" s="100">
        <v>4</v>
      </c>
      <c r="C781" s="101">
        <v>46118</v>
      </c>
      <c r="D781" s="101" t="str">
        <f t="shared" si="170"/>
        <v>GB000000948Ташкент_Дилнавоз опа</v>
      </c>
      <c r="E781" s="99" t="s">
        <v>186</v>
      </c>
      <c r="F781" s="102" t="s">
        <v>59</v>
      </c>
      <c r="G781" s="102" t="s">
        <v>36</v>
      </c>
      <c r="H781" s="99" t="s">
        <v>19</v>
      </c>
      <c r="I781" s="102" t="s">
        <v>187</v>
      </c>
      <c r="J781" s="102" t="s">
        <v>41</v>
      </c>
      <c r="K781" s="103">
        <v>50</v>
      </c>
      <c r="L781" s="104">
        <v>90000</v>
      </c>
      <c r="M781" s="104">
        <v>4500000</v>
      </c>
      <c r="N781" s="39">
        <f>+K781*25000</f>
        <v>1250000</v>
      </c>
      <c r="O781" s="107">
        <f>+M781*$O$1</f>
        <v>810000</v>
      </c>
      <c r="P781" s="108">
        <f>+N781+O781</f>
        <v>2060000</v>
      </c>
      <c r="Q781" s="39">
        <v>100</v>
      </c>
      <c r="R781" s="39">
        <f t="shared" si="171"/>
        <v>4500000</v>
      </c>
      <c r="S781" s="42">
        <f t="shared" si="172"/>
        <v>0</v>
      </c>
    </row>
    <row r="782" spans="1:19">
      <c r="A782" s="99">
        <v>2026</v>
      </c>
      <c r="B782" s="100">
        <v>4</v>
      </c>
      <c r="C782" s="101">
        <v>46118</v>
      </c>
      <c r="D782" s="101" t="str">
        <f t="shared" si="170"/>
        <v>GB000000948Ташкент_Дилнавоз опа</v>
      </c>
      <c r="E782" s="99" t="s">
        <v>186</v>
      </c>
      <c r="F782" s="102" t="s">
        <v>59</v>
      </c>
      <c r="G782" s="102" t="s">
        <v>36</v>
      </c>
      <c r="H782" s="99" t="s">
        <v>19</v>
      </c>
      <c r="I782" s="102" t="s">
        <v>187</v>
      </c>
      <c r="J782" s="102" t="s">
        <v>38</v>
      </c>
      <c r="K782" s="103">
        <v>50</v>
      </c>
      <c r="L782" s="104">
        <v>65000</v>
      </c>
      <c r="M782" s="104">
        <v>3250000</v>
      </c>
      <c r="N782" s="39">
        <f>+K782*20000</f>
        <v>1000000</v>
      </c>
      <c r="O782" s="107">
        <f>+M782*$O$1</f>
        <v>585000</v>
      </c>
      <c r="P782" s="108">
        <f>+N782+O782</f>
        <v>1585000</v>
      </c>
      <c r="Q782" s="39">
        <v>100</v>
      </c>
      <c r="R782" s="39">
        <f t="shared" si="171"/>
        <v>3250000</v>
      </c>
      <c r="S782" s="42">
        <f t="shared" si="172"/>
        <v>0</v>
      </c>
    </row>
    <row r="783" spans="1:19">
      <c r="A783" s="99">
        <v>2026</v>
      </c>
      <c r="B783" s="100">
        <v>4</v>
      </c>
      <c r="C783" s="101">
        <v>46118</v>
      </c>
      <c r="D783" s="101" t="str">
        <f t="shared" si="170"/>
        <v>GB000000949Ташкент_Дилнавоз опа</v>
      </c>
      <c r="E783" s="99" t="s">
        <v>188</v>
      </c>
      <c r="F783" s="102" t="s">
        <v>35</v>
      </c>
      <c r="G783" s="102" t="s">
        <v>36</v>
      </c>
      <c r="H783" s="99" t="s">
        <v>19</v>
      </c>
      <c r="I783" s="102" t="s">
        <v>75</v>
      </c>
      <c r="J783" s="102" t="s">
        <v>46</v>
      </c>
      <c r="K783" s="103">
        <v>20</v>
      </c>
      <c r="L783" s="104">
        <v>64700</v>
      </c>
      <c r="M783" s="104">
        <v>1294000</v>
      </c>
      <c r="N783" s="39">
        <f>20000*K783</f>
        <v>400000</v>
      </c>
      <c r="O783" s="107">
        <f>+M783*$O$1</f>
        <v>232920</v>
      </c>
      <c r="P783" s="108">
        <f>+N783+O783</f>
        <v>632920</v>
      </c>
      <c r="Q783" s="39">
        <v>100</v>
      </c>
      <c r="R783" s="39">
        <f t="shared" si="171"/>
        <v>1294000</v>
      </c>
      <c r="S783" s="42">
        <f t="shared" si="172"/>
        <v>0</v>
      </c>
    </row>
    <row r="784" spans="1:19">
      <c r="A784" s="99">
        <v>2026</v>
      </c>
      <c r="B784" s="100">
        <v>4</v>
      </c>
      <c r="C784" s="101">
        <v>46118</v>
      </c>
      <c r="D784" s="101" t="str">
        <f t="shared" si="170"/>
        <v>GB000000958Ташкент_Дилнавоз опа</v>
      </c>
      <c r="E784" s="99" t="s">
        <v>189</v>
      </c>
      <c r="F784" s="102" t="s">
        <v>48</v>
      </c>
      <c r="G784" s="102" t="s">
        <v>36</v>
      </c>
      <c r="H784" s="99" t="s">
        <v>19</v>
      </c>
      <c r="I784" s="102" t="s">
        <v>120</v>
      </c>
      <c r="J784" s="102" t="s">
        <v>38</v>
      </c>
      <c r="K784" s="103">
        <v>30</v>
      </c>
      <c r="L784" s="104">
        <v>65000</v>
      </c>
      <c r="M784" s="104">
        <v>1950000</v>
      </c>
      <c r="N784" s="39">
        <f t="shared" ref="N784:N785" si="175">+K784*20000</f>
        <v>600000</v>
      </c>
      <c r="O784" s="107">
        <f>+M784*$O$1</f>
        <v>351000</v>
      </c>
      <c r="P784" s="108">
        <f>+N784+O784</f>
        <v>951000</v>
      </c>
      <c r="Q784" s="39">
        <v>100</v>
      </c>
      <c r="R784" s="39">
        <f t="shared" si="171"/>
        <v>1950000</v>
      </c>
      <c r="S784" s="42">
        <f t="shared" si="172"/>
        <v>0</v>
      </c>
    </row>
    <row r="785" spans="1:19">
      <c r="A785" s="99">
        <v>2026</v>
      </c>
      <c r="B785" s="100">
        <v>4</v>
      </c>
      <c r="C785" s="101">
        <v>46119</v>
      </c>
      <c r="D785" s="101" t="str">
        <f t="shared" si="170"/>
        <v>GB000000964Ташкент_Дилнавоз опа</v>
      </c>
      <c r="E785" s="99" t="s">
        <v>190</v>
      </c>
      <c r="F785" s="102" t="s">
        <v>68</v>
      </c>
      <c r="G785" s="102" t="s">
        <v>36</v>
      </c>
      <c r="H785" s="99" t="s">
        <v>19</v>
      </c>
      <c r="I785" s="102" t="s">
        <v>69</v>
      </c>
      <c r="J785" s="102" t="s">
        <v>38</v>
      </c>
      <c r="K785" s="103">
        <v>20</v>
      </c>
      <c r="L785" s="104">
        <v>65000</v>
      </c>
      <c r="M785" s="104">
        <v>1300000</v>
      </c>
      <c r="N785" s="39">
        <f t="shared" si="175"/>
        <v>400000</v>
      </c>
      <c r="O785" s="107">
        <f>+M785*$O$1</f>
        <v>234000</v>
      </c>
      <c r="P785" s="108">
        <f>+N785+O785</f>
        <v>634000</v>
      </c>
      <c r="Q785" s="39">
        <v>100</v>
      </c>
      <c r="R785" s="39">
        <f t="shared" si="171"/>
        <v>1300000</v>
      </c>
      <c r="S785" s="42">
        <f t="shared" si="172"/>
        <v>0</v>
      </c>
    </row>
    <row r="786" spans="1:19">
      <c r="A786" s="99">
        <v>2026</v>
      </c>
      <c r="B786" s="100">
        <v>4</v>
      </c>
      <c r="C786" s="101">
        <v>46119</v>
      </c>
      <c r="D786" s="101" t="str">
        <f t="shared" si="170"/>
        <v>GB000000964Ташкент_Дилнавоз опа</v>
      </c>
      <c r="E786" s="99" t="s">
        <v>190</v>
      </c>
      <c r="F786" s="102" t="s">
        <v>68</v>
      </c>
      <c r="G786" s="102" t="s">
        <v>36</v>
      </c>
      <c r="H786" s="99" t="s">
        <v>19</v>
      </c>
      <c r="I786" s="102" t="s">
        <v>69</v>
      </c>
      <c r="J786" s="102" t="s">
        <v>46</v>
      </c>
      <c r="K786" s="103">
        <v>40</v>
      </c>
      <c r="L786" s="104">
        <v>64700</v>
      </c>
      <c r="M786" s="104">
        <v>2588000</v>
      </c>
      <c r="N786" s="39">
        <f t="shared" ref="N786:N788" si="176">20000*K786</f>
        <v>800000</v>
      </c>
      <c r="O786" s="107">
        <f>+M786*$O$1</f>
        <v>465840</v>
      </c>
      <c r="P786" s="108">
        <f>+N786+O786</f>
        <v>1265840</v>
      </c>
      <c r="Q786" s="39">
        <v>100</v>
      </c>
      <c r="R786" s="39">
        <f t="shared" si="171"/>
        <v>2588000</v>
      </c>
      <c r="S786" s="42">
        <f t="shared" si="172"/>
        <v>0</v>
      </c>
    </row>
    <row r="787" spans="1:19">
      <c r="A787" s="99">
        <v>2026</v>
      </c>
      <c r="B787" s="100">
        <v>4</v>
      </c>
      <c r="C787" s="101">
        <v>46119</v>
      </c>
      <c r="D787" s="101" t="str">
        <f t="shared" si="170"/>
        <v>GB000000974Ташкент_Дилнавоз опа</v>
      </c>
      <c r="E787" s="99" t="s">
        <v>191</v>
      </c>
      <c r="F787" s="102" t="s">
        <v>170</v>
      </c>
      <c r="G787" s="102" t="s">
        <v>36</v>
      </c>
      <c r="H787" s="99" t="s">
        <v>19</v>
      </c>
      <c r="I787" s="102" t="s">
        <v>73</v>
      </c>
      <c r="J787" s="102" t="s">
        <v>46</v>
      </c>
      <c r="K787" s="103">
        <v>7</v>
      </c>
      <c r="L787" s="104">
        <v>64700</v>
      </c>
      <c r="M787" s="104">
        <v>452900</v>
      </c>
      <c r="N787" s="39">
        <f t="shared" si="176"/>
        <v>140000</v>
      </c>
      <c r="O787" s="107">
        <f>+M787*$O$1</f>
        <v>81522</v>
      </c>
      <c r="P787" s="108">
        <f>+N787+O787</f>
        <v>221522</v>
      </c>
      <c r="Q787" s="39">
        <v>100</v>
      </c>
      <c r="R787" s="39">
        <f t="shared" si="171"/>
        <v>452900</v>
      </c>
      <c r="S787" s="42">
        <f t="shared" si="172"/>
        <v>0</v>
      </c>
    </row>
    <row r="788" spans="1:19">
      <c r="A788" s="99">
        <v>2026</v>
      </c>
      <c r="B788" s="100">
        <v>4</v>
      </c>
      <c r="C788" s="101">
        <v>46119</v>
      </c>
      <c r="D788" s="101" t="str">
        <f t="shared" si="170"/>
        <v>GB000000974Ташкент_Дилнавоз опа</v>
      </c>
      <c r="E788" s="99" t="s">
        <v>191</v>
      </c>
      <c r="F788" s="102" t="s">
        <v>170</v>
      </c>
      <c r="G788" s="102" t="s">
        <v>36</v>
      </c>
      <c r="H788" s="99" t="s">
        <v>19</v>
      </c>
      <c r="I788" s="102" t="s">
        <v>73</v>
      </c>
      <c r="J788" s="102" t="s">
        <v>46</v>
      </c>
      <c r="K788" s="103">
        <v>3</v>
      </c>
      <c r="L788" s="104">
        <v>64700</v>
      </c>
      <c r="M788" s="104">
        <v>194100</v>
      </c>
      <c r="N788" s="39">
        <f t="shared" si="176"/>
        <v>60000</v>
      </c>
      <c r="O788" s="107">
        <f>+M788*$O$1</f>
        <v>34938</v>
      </c>
      <c r="P788" s="108">
        <f>+N788+O788</f>
        <v>94938</v>
      </c>
      <c r="Q788" s="39">
        <v>100</v>
      </c>
      <c r="R788" s="39">
        <f t="shared" si="171"/>
        <v>194100</v>
      </c>
      <c r="S788" s="42">
        <f t="shared" si="172"/>
        <v>0</v>
      </c>
    </row>
    <row r="789" spans="1:19">
      <c r="A789" s="99">
        <v>2026</v>
      </c>
      <c r="B789" s="100">
        <v>4</v>
      </c>
      <c r="C789" s="101">
        <v>46119</v>
      </c>
      <c r="D789" s="101" t="str">
        <f t="shared" si="170"/>
        <v>GB000000974Ташкент_Дилнавоз опа</v>
      </c>
      <c r="E789" s="99" t="s">
        <v>191</v>
      </c>
      <c r="F789" s="102" t="s">
        <v>170</v>
      </c>
      <c r="G789" s="102" t="s">
        <v>36</v>
      </c>
      <c r="H789" s="99" t="s">
        <v>19</v>
      </c>
      <c r="I789" s="102" t="s">
        <v>73</v>
      </c>
      <c r="J789" s="102" t="s">
        <v>38</v>
      </c>
      <c r="K789" s="103">
        <v>10</v>
      </c>
      <c r="L789" s="104">
        <v>65000</v>
      </c>
      <c r="M789" s="104">
        <v>650000</v>
      </c>
      <c r="N789" s="39">
        <f>+K789*20000</f>
        <v>200000</v>
      </c>
      <c r="O789" s="107">
        <f>+M789*$O$1</f>
        <v>117000</v>
      </c>
      <c r="P789" s="108">
        <f>+N789+O789</f>
        <v>317000</v>
      </c>
      <c r="Q789" s="39">
        <v>100</v>
      </c>
      <c r="R789" s="39">
        <f t="shared" si="171"/>
        <v>650000</v>
      </c>
      <c r="S789" s="42">
        <f t="shared" si="172"/>
        <v>0</v>
      </c>
    </row>
    <row r="790" spans="1:19">
      <c r="A790" s="99">
        <v>2026</v>
      </c>
      <c r="B790" s="100">
        <v>4</v>
      </c>
      <c r="C790" s="101">
        <v>46121</v>
      </c>
      <c r="D790" s="101" t="str">
        <f t="shared" si="170"/>
        <v>GB000000986Ташкент_Дилнавоз опа</v>
      </c>
      <c r="E790" s="99" t="s">
        <v>192</v>
      </c>
      <c r="F790" s="102" t="s">
        <v>170</v>
      </c>
      <c r="G790" s="102" t="s">
        <v>36</v>
      </c>
      <c r="H790" s="99" t="s">
        <v>19</v>
      </c>
      <c r="I790" s="102" t="s">
        <v>193</v>
      </c>
      <c r="J790" s="102" t="s">
        <v>46</v>
      </c>
      <c r="K790" s="103">
        <v>15</v>
      </c>
      <c r="L790" s="104">
        <v>64700</v>
      </c>
      <c r="M790" s="104">
        <v>970500</v>
      </c>
      <c r="N790" s="39">
        <f>20000*K790</f>
        <v>300000</v>
      </c>
      <c r="O790" s="107">
        <f>+M790*$O$1</f>
        <v>174690</v>
      </c>
      <c r="P790" s="108">
        <f>+N790+O790</f>
        <v>474690</v>
      </c>
      <c r="Q790" s="39">
        <v>31</v>
      </c>
      <c r="R790" s="39">
        <f t="shared" si="171"/>
        <v>300855</v>
      </c>
      <c r="S790" s="42">
        <f t="shared" si="172"/>
        <v>669645</v>
      </c>
    </row>
    <row r="791" spans="1:19">
      <c r="A791" s="99">
        <v>2026</v>
      </c>
      <c r="B791" s="100">
        <v>4</v>
      </c>
      <c r="C791" s="101">
        <v>46121</v>
      </c>
      <c r="D791" s="101" t="str">
        <f t="shared" si="170"/>
        <v>GB000000986Ташкент_Дилнавоз опа</v>
      </c>
      <c r="E791" s="99" t="s">
        <v>192</v>
      </c>
      <c r="F791" s="102" t="s">
        <v>170</v>
      </c>
      <c r="G791" s="102" t="s">
        <v>36</v>
      </c>
      <c r="H791" s="99" t="s">
        <v>19</v>
      </c>
      <c r="I791" s="102" t="s">
        <v>193</v>
      </c>
      <c r="J791" s="102" t="s">
        <v>38</v>
      </c>
      <c r="K791" s="103">
        <v>15</v>
      </c>
      <c r="L791" s="104">
        <v>65000</v>
      </c>
      <c r="M791" s="104">
        <v>975000</v>
      </c>
      <c r="N791" s="39">
        <f>+K791*20000</f>
        <v>300000</v>
      </c>
      <c r="O791" s="107">
        <f>+M791*$O$1</f>
        <v>175500</v>
      </c>
      <c r="P791" s="108">
        <f>+N791+O791</f>
        <v>475500</v>
      </c>
      <c r="Q791" s="39">
        <v>31</v>
      </c>
      <c r="R791" s="39">
        <f t="shared" si="171"/>
        <v>302250</v>
      </c>
      <c r="S791" s="42">
        <f t="shared" si="172"/>
        <v>672750</v>
      </c>
    </row>
    <row r="792" spans="1:19">
      <c r="A792" s="99">
        <v>2026</v>
      </c>
      <c r="B792" s="100">
        <v>4</v>
      </c>
      <c r="C792" s="101">
        <v>46121</v>
      </c>
      <c r="D792" s="101" t="str">
        <f t="shared" si="170"/>
        <v>GB000000986Ташкент_Дилнавоз опа</v>
      </c>
      <c r="E792" s="99" t="s">
        <v>192</v>
      </c>
      <c r="F792" s="102" t="s">
        <v>170</v>
      </c>
      <c r="G792" s="102" t="s">
        <v>36</v>
      </c>
      <c r="H792" s="99" t="s">
        <v>19</v>
      </c>
      <c r="I792" s="102" t="s">
        <v>193</v>
      </c>
      <c r="J792" s="102" t="s">
        <v>41</v>
      </c>
      <c r="K792" s="103">
        <v>10</v>
      </c>
      <c r="L792" s="104">
        <v>90000</v>
      </c>
      <c r="M792" s="104">
        <v>900000</v>
      </c>
      <c r="N792" s="39">
        <f t="shared" ref="N792:N794" si="177">+K792*25000</f>
        <v>250000</v>
      </c>
      <c r="O792" s="107">
        <f>+M792*$O$1</f>
        <v>162000</v>
      </c>
      <c r="P792" s="108">
        <f>+N792+O792</f>
        <v>412000</v>
      </c>
      <c r="Q792" s="39">
        <v>31</v>
      </c>
      <c r="R792" s="39">
        <f t="shared" si="171"/>
        <v>279000</v>
      </c>
      <c r="S792" s="42">
        <f t="shared" si="172"/>
        <v>621000</v>
      </c>
    </row>
    <row r="793" spans="1:19">
      <c r="A793" s="99">
        <v>2026</v>
      </c>
      <c r="B793" s="100">
        <v>4</v>
      </c>
      <c r="C793" s="101">
        <v>46121</v>
      </c>
      <c r="D793" s="101" t="str">
        <f t="shared" si="170"/>
        <v>GB000000986Ташкент_Дилнавоз опа</v>
      </c>
      <c r="E793" s="99" t="s">
        <v>192</v>
      </c>
      <c r="F793" s="102" t="s">
        <v>170</v>
      </c>
      <c r="G793" s="102" t="s">
        <v>36</v>
      </c>
      <c r="H793" s="99" t="s">
        <v>19</v>
      </c>
      <c r="I793" s="102" t="s">
        <v>193</v>
      </c>
      <c r="J793" s="102" t="s">
        <v>41</v>
      </c>
      <c r="K793" s="103">
        <v>5</v>
      </c>
      <c r="L793" s="104">
        <v>90000</v>
      </c>
      <c r="M793" s="104">
        <v>450000</v>
      </c>
      <c r="N793" s="39">
        <f t="shared" si="177"/>
        <v>125000</v>
      </c>
      <c r="O793" s="107">
        <f>+M793*$O$1</f>
        <v>81000</v>
      </c>
      <c r="P793" s="108">
        <f>+N793+O793</f>
        <v>206000</v>
      </c>
      <c r="Q793" s="39">
        <v>31</v>
      </c>
      <c r="R793" s="39">
        <f t="shared" si="171"/>
        <v>139500</v>
      </c>
      <c r="S793" s="42">
        <f t="shared" si="172"/>
        <v>310500</v>
      </c>
    </row>
    <row r="794" spans="1:19">
      <c r="A794" s="99">
        <v>2026</v>
      </c>
      <c r="B794" s="100">
        <v>4</v>
      </c>
      <c r="C794" s="101">
        <v>46121</v>
      </c>
      <c r="D794" s="101" t="str">
        <f t="shared" si="170"/>
        <v>GB000000992Ташкент_Дилнавоз опа</v>
      </c>
      <c r="E794" s="99" t="s">
        <v>194</v>
      </c>
      <c r="F794" s="102" t="s">
        <v>59</v>
      </c>
      <c r="G794" s="102" t="s">
        <v>36</v>
      </c>
      <c r="H794" s="99" t="s">
        <v>19</v>
      </c>
      <c r="I794" s="102" t="s">
        <v>97</v>
      </c>
      <c r="J794" s="102" t="s">
        <v>41</v>
      </c>
      <c r="K794" s="103">
        <v>20</v>
      </c>
      <c r="L794" s="104">
        <v>90000</v>
      </c>
      <c r="M794" s="104">
        <v>1800000</v>
      </c>
      <c r="N794" s="39">
        <f t="shared" si="177"/>
        <v>500000</v>
      </c>
      <c r="O794" s="107">
        <f>+M794*$O$1</f>
        <v>324000</v>
      </c>
      <c r="P794" s="108">
        <f>+N794+O794</f>
        <v>824000</v>
      </c>
      <c r="Q794" s="39">
        <v>100</v>
      </c>
      <c r="R794" s="39">
        <f t="shared" si="171"/>
        <v>1800000</v>
      </c>
      <c r="S794" s="42">
        <f t="shared" si="172"/>
        <v>0</v>
      </c>
    </row>
    <row r="795" spans="1:19">
      <c r="A795" s="99">
        <v>2026</v>
      </c>
      <c r="B795" s="100">
        <v>4</v>
      </c>
      <c r="C795" s="101">
        <v>46121</v>
      </c>
      <c r="D795" s="101" t="str">
        <f t="shared" si="170"/>
        <v>GB000000993Ташкент_Дилнавоз опа</v>
      </c>
      <c r="E795" s="99" t="s">
        <v>195</v>
      </c>
      <c r="F795" s="102" t="s">
        <v>68</v>
      </c>
      <c r="G795" s="102" t="s">
        <v>36</v>
      </c>
      <c r="H795" s="99" t="s">
        <v>19</v>
      </c>
      <c r="I795" s="102" t="s">
        <v>129</v>
      </c>
      <c r="J795" s="102" t="s">
        <v>46</v>
      </c>
      <c r="K795" s="103">
        <v>100</v>
      </c>
      <c r="L795" s="104">
        <v>64700</v>
      </c>
      <c r="M795" s="104">
        <v>6470000</v>
      </c>
      <c r="N795" s="39">
        <f>20000*K795</f>
        <v>2000000</v>
      </c>
      <c r="O795" s="107">
        <f>+M795*$O$1</f>
        <v>1164600</v>
      </c>
      <c r="P795" s="108">
        <f>+N795+O795</f>
        <v>3164600</v>
      </c>
      <c r="Q795" s="39">
        <v>26</v>
      </c>
      <c r="R795" s="39">
        <f t="shared" si="171"/>
        <v>1682200</v>
      </c>
      <c r="S795" s="42">
        <f t="shared" si="172"/>
        <v>4787800</v>
      </c>
    </row>
    <row r="796" spans="1:19">
      <c r="A796" s="99">
        <v>2026</v>
      </c>
      <c r="B796" s="100">
        <v>4</v>
      </c>
      <c r="C796" s="101">
        <v>46121</v>
      </c>
      <c r="D796" s="101" t="str">
        <f t="shared" si="170"/>
        <v>GB000000995Ташкент_Дилнавоз опа</v>
      </c>
      <c r="E796" s="99" t="s">
        <v>196</v>
      </c>
      <c r="F796" s="102" t="s">
        <v>48</v>
      </c>
      <c r="G796" s="102" t="s">
        <v>36</v>
      </c>
      <c r="H796" s="99" t="s">
        <v>19</v>
      </c>
      <c r="I796" s="102" t="s">
        <v>197</v>
      </c>
      <c r="J796" s="102" t="s">
        <v>41</v>
      </c>
      <c r="K796" s="103">
        <v>10</v>
      </c>
      <c r="L796" s="104">
        <v>90000</v>
      </c>
      <c r="M796" s="104">
        <v>900000</v>
      </c>
      <c r="N796" s="39">
        <f>+K796*25000</f>
        <v>250000</v>
      </c>
      <c r="O796" s="107">
        <f>+M796*$O$1</f>
        <v>162000</v>
      </c>
      <c r="P796" s="108">
        <f>+N796+O796</f>
        <v>412000</v>
      </c>
      <c r="Q796" s="39">
        <v>100</v>
      </c>
      <c r="R796" s="39">
        <f t="shared" si="171"/>
        <v>900000</v>
      </c>
      <c r="S796" s="42">
        <f t="shared" si="172"/>
        <v>0</v>
      </c>
    </row>
    <row r="797" spans="1:19">
      <c r="A797" s="99">
        <v>2026</v>
      </c>
      <c r="B797" s="100">
        <v>4</v>
      </c>
      <c r="C797" s="101">
        <v>46122</v>
      </c>
      <c r="D797" s="101" t="str">
        <f t="shared" si="170"/>
        <v>GB000001004Навоий_Мехриддин ака</v>
      </c>
      <c r="E797" s="99" t="s">
        <v>198</v>
      </c>
      <c r="F797" s="102" t="s">
        <v>43</v>
      </c>
      <c r="G797" s="102" t="s">
        <v>44</v>
      </c>
      <c r="H797" s="99" t="s">
        <v>19</v>
      </c>
      <c r="I797" s="102" t="s">
        <v>199</v>
      </c>
      <c r="J797" s="102" t="s">
        <v>46</v>
      </c>
      <c r="K797" s="103">
        <v>50</v>
      </c>
      <c r="L797" s="104">
        <v>64700</v>
      </c>
      <c r="M797" s="104">
        <v>3235000</v>
      </c>
      <c r="N797" s="39">
        <f>20000*K797</f>
        <v>1000000</v>
      </c>
      <c r="O797" s="107">
        <f>+M797*$O$1</f>
        <v>582300</v>
      </c>
      <c r="P797" s="108">
        <f>+N797+O797</f>
        <v>1582300</v>
      </c>
      <c r="Q797" s="39">
        <v>0</v>
      </c>
      <c r="R797" s="39">
        <f t="shared" si="171"/>
        <v>0</v>
      </c>
      <c r="S797" s="42">
        <f t="shared" si="172"/>
        <v>3235000</v>
      </c>
    </row>
    <row r="798" spans="1:19">
      <c r="A798" s="99">
        <v>2026</v>
      </c>
      <c r="B798" s="100">
        <v>4</v>
      </c>
      <c r="C798" s="101">
        <v>46122</v>
      </c>
      <c r="D798" s="101" t="str">
        <f t="shared" si="170"/>
        <v>GB000001012Ташкент_Дилнавоз опа</v>
      </c>
      <c r="E798" s="99" t="s">
        <v>200</v>
      </c>
      <c r="F798" s="102" t="s">
        <v>48</v>
      </c>
      <c r="G798" s="102" t="s">
        <v>36</v>
      </c>
      <c r="H798" s="99" t="s">
        <v>19</v>
      </c>
      <c r="I798" s="102" t="s">
        <v>103</v>
      </c>
      <c r="J798" s="102" t="s">
        <v>41</v>
      </c>
      <c r="K798" s="103">
        <v>50</v>
      </c>
      <c r="L798" s="104">
        <v>90000</v>
      </c>
      <c r="M798" s="104">
        <v>4500000</v>
      </c>
      <c r="N798" s="39">
        <f>+K798*25000</f>
        <v>1250000</v>
      </c>
      <c r="O798" s="107">
        <f>+M798*$O$1</f>
        <v>810000</v>
      </c>
      <c r="P798" s="108">
        <f>+N798+O798</f>
        <v>2060000</v>
      </c>
      <c r="Q798" s="39">
        <v>100</v>
      </c>
      <c r="R798" s="39">
        <f t="shared" si="171"/>
        <v>4500000</v>
      </c>
      <c r="S798" s="42">
        <f t="shared" si="172"/>
        <v>0</v>
      </c>
    </row>
    <row r="799" spans="1:19">
      <c r="A799" s="99">
        <v>2026</v>
      </c>
      <c r="B799" s="100">
        <v>4</v>
      </c>
      <c r="C799" s="101">
        <v>46122</v>
      </c>
      <c r="D799" s="101" t="str">
        <f t="shared" si="170"/>
        <v>GB000001014Ташкент_Дилнавоз опа</v>
      </c>
      <c r="E799" s="99" t="s">
        <v>201</v>
      </c>
      <c r="F799" s="102" t="s">
        <v>35</v>
      </c>
      <c r="G799" s="102" t="s">
        <v>36</v>
      </c>
      <c r="H799" s="99" t="s">
        <v>19</v>
      </c>
      <c r="I799" s="102" t="s">
        <v>75</v>
      </c>
      <c r="J799" s="102" t="s">
        <v>38</v>
      </c>
      <c r="K799" s="103">
        <v>5</v>
      </c>
      <c r="L799" s="104">
        <v>65000</v>
      </c>
      <c r="M799" s="104">
        <v>325000</v>
      </c>
      <c r="N799" s="39">
        <f>+K799*20000</f>
        <v>100000</v>
      </c>
      <c r="O799" s="107">
        <f>+M799*$O$1</f>
        <v>58500</v>
      </c>
      <c r="P799" s="108">
        <f>+N799+O799</f>
        <v>158500</v>
      </c>
      <c r="Q799" s="39">
        <v>50</v>
      </c>
      <c r="R799" s="39">
        <f t="shared" si="171"/>
        <v>162500</v>
      </c>
      <c r="S799" s="42">
        <f t="shared" si="172"/>
        <v>162500</v>
      </c>
    </row>
    <row r="800" spans="1:19">
      <c r="A800" s="99">
        <v>2026</v>
      </c>
      <c r="B800" s="100">
        <v>4</v>
      </c>
      <c r="C800" s="101">
        <v>46122</v>
      </c>
      <c r="D800" s="101" t="str">
        <f t="shared" si="170"/>
        <v>GB000001014Ташкент_Дилнавоз опа</v>
      </c>
      <c r="E800" s="99" t="s">
        <v>201</v>
      </c>
      <c r="F800" s="102" t="s">
        <v>35</v>
      </c>
      <c r="G800" s="102" t="s">
        <v>36</v>
      </c>
      <c r="H800" s="99" t="s">
        <v>19</v>
      </c>
      <c r="I800" s="102" t="s">
        <v>75</v>
      </c>
      <c r="J800" s="102" t="s">
        <v>46</v>
      </c>
      <c r="K800" s="103">
        <v>50</v>
      </c>
      <c r="L800" s="104">
        <v>64700</v>
      </c>
      <c r="M800" s="104">
        <v>3235000</v>
      </c>
      <c r="N800" s="39">
        <f>20000*K800</f>
        <v>1000000</v>
      </c>
      <c r="O800" s="107">
        <f>+M800*$O$1</f>
        <v>582300</v>
      </c>
      <c r="P800" s="108">
        <f>+N800+O800</f>
        <v>1582300</v>
      </c>
      <c r="Q800" s="39">
        <v>50</v>
      </c>
      <c r="R800" s="39">
        <f t="shared" si="171"/>
        <v>1617500</v>
      </c>
      <c r="S800" s="42">
        <f t="shared" si="172"/>
        <v>1617500</v>
      </c>
    </row>
    <row r="801" spans="1:19">
      <c r="A801" s="99">
        <v>2026</v>
      </c>
      <c r="B801" s="100">
        <v>4</v>
      </c>
      <c r="C801" s="101">
        <v>46122</v>
      </c>
      <c r="D801" s="101" t="str">
        <f t="shared" si="170"/>
        <v>GB000001014Ташкент_Дилнавоз опа</v>
      </c>
      <c r="E801" s="99" t="s">
        <v>201</v>
      </c>
      <c r="F801" s="102" t="s">
        <v>35</v>
      </c>
      <c r="G801" s="102" t="s">
        <v>36</v>
      </c>
      <c r="H801" s="99" t="s">
        <v>19</v>
      </c>
      <c r="I801" s="102" t="s">
        <v>75</v>
      </c>
      <c r="J801" s="102" t="s">
        <v>41</v>
      </c>
      <c r="K801" s="103">
        <v>30</v>
      </c>
      <c r="L801" s="104">
        <v>90000</v>
      </c>
      <c r="M801" s="104">
        <v>2700000</v>
      </c>
      <c r="N801" s="39">
        <f>+K801*25000</f>
        <v>750000</v>
      </c>
      <c r="O801" s="107">
        <f>+M801*$O$1</f>
        <v>486000</v>
      </c>
      <c r="P801" s="108">
        <f>+N801+O801</f>
        <v>1236000</v>
      </c>
      <c r="Q801" s="39">
        <v>50</v>
      </c>
      <c r="R801" s="39">
        <f t="shared" si="171"/>
        <v>1350000</v>
      </c>
      <c r="S801" s="42">
        <f t="shared" si="172"/>
        <v>1350000</v>
      </c>
    </row>
    <row r="802" spans="1:19">
      <c r="A802" s="99">
        <v>2026</v>
      </c>
      <c r="B802" s="100">
        <v>4</v>
      </c>
      <c r="C802" s="101">
        <v>46122</v>
      </c>
      <c r="D802" s="101" t="str">
        <f t="shared" si="170"/>
        <v>GB000001019Ташкент_Дилнавоз опа</v>
      </c>
      <c r="E802" s="99" t="s">
        <v>202</v>
      </c>
      <c r="F802" s="102" t="s">
        <v>35</v>
      </c>
      <c r="G802" s="102" t="s">
        <v>36</v>
      </c>
      <c r="H802" s="99" t="s">
        <v>19</v>
      </c>
      <c r="I802" s="102" t="s">
        <v>75</v>
      </c>
      <c r="J802" s="102" t="s">
        <v>38</v>
      </c>
      <c r="K802" s="103">
        <v>45</v>
      </c>
      <c r="L802" s="104">
        <v>65000</v>
      </c>
      <c r="M802" s="104">
        <v>2925000</v>
      </c>
      <c r="N802" s="39">
        <f>+K802*20000</f>
        <v>900000</v>
      </c>
      <c r="O802" s="107">
        <f>+M802*$O$1</f>
        <v>526500</v>
      </c>
      <c r="P802" s="108">
        <f>+N802+O802</f>
        <v>1426500</v>
      </c>
      <c r="Q802" s="39">
        <v>0</v>
      </c>
      <c r="R802" s="39">
        <f t="shared" si="171"/>
        <v>0</v>
      </c>
      <c r="S802" s="42">
        <f t="shared" si="172"/>
        <v>2925000</v>
      </c>
    </row>
    <row r="803" spans="1:19">
      <c r="A803" s="99">
        <v>2026</v>
      </c>
      <c r="B803" s="100">
        <v>4</v>
      </c>
      <c r="C803" s="101">
        <v>46122</v>
      </c>
      <c r="D803" s="101" t="str">
        <f t="shared" si="170"/>
        <v>GB000001021Ташкент_Дилнавоз опа</v>
      </c>
      <c r="E803" s="99" t="s">
        <v>203</v>
      </c>
      <c r="F803" s="102" t="s">
        <v>59</v>
      </c>
      <c r="G803" s="102" t="s">
        <v>36</v>
      </c>
      <c r="H803" s="99" t="s">
        <v>19</v>
      </c>
      <c r="I803" s="102" t="s">
        <v>37</v>
      </c>
      <c r="J803" s="102" t="s">
        <v>41</v>
      </c>
      <c r="K803" s="103">
        <v>50</v>
      </c>
      <c r="L803" s="104">
        <v>90000</v>
      </c>
      <c r="M803" s="104">
        <v>4500000</v>
      </c>
      <c r="N803" s="39">
        <f>+K803*25000</f>
        <v>1250000</v>
      </c>
      <c r="O803" s="107">
        <f>+M803*$O$1</f>
        <v>810000</v>
      </c>
      <c r="P803" s="108">
        <f>+N803+O803</f>
        <v>2060000</v>
      </c>
      <c r="Q803" s="39">
        <v>15</v>
      </c>
      <c r="R803" s="39">
        <f t="shared" si="171"/>
        <v>675000</v>
      </c>
      <c r="S803" s="42">
        <f t="shared" si="172"/>
        <v>3825000</v>
      </c>
    </row>
    <row r="804" spans="1:19">
      <c r="A804" s="99">
        <v>2026</v>
      </c>
      <c r="B804" s="100">
        <v>4</v>
      </c>
      <c r="C804" s="101">
        <v>46122</v>
      </c>
      <c r="D804" s="101" t="str">
        <f t="shared" si="170"/>
        <v>GB000001021Ташкент_Дилнавоз опа</v>
      </c>
      <c r="E804" s="99" t="s">
        <v>203</v>
      </c>
      <c r="F804" s="102" t="s">
        <v>59</v>
      </c>
      <c r="G804" s="102" t="s">
        <v>36</v>
      </c>
      <c r="H804" s="99" t="s">
        <v>19</v>
      </c>
      <c r="I804" s="102" t="s">
        <v>37</v>
      </c>
      <c r="J804" s="102" t="s">
        <v>46</v>
      </c>
      <c r="K804" s="103">
        <v>12</v>
      </c>
      <c r="L804" s="104">
        <v>64700</v>
      </c>
      <c r="M804" s="104">
        <v>776400</v>
      </c>
      <c r="N804" s="39">
        <f t="shared" ref="N804:N805" si="178">20000*K804</f>
        <v>240000</v>
      </c>
      <c r="O804" s="107">
        <f>+M804*$O$1</f>
        <v>139752</v>
      </c>
      <c r="P804" s="108">
        <f>+N804+O804</f>
        <v>379752</v>
      </c>
      <c r="Q804" s="39">
        <v>15</v>
      </c>
      <c r="R804" s="39">
        <f t="shared" si="171"/>
        <v>116460</v>
      </c>
      <c r="S804" s="42">
        <f t="shared" si="172"/>
        <v>659940</v>
      </c>
    </row>
    <row r="805" spans="1:19">
      <c r="A805" s="99">
        <v>2026</v>
      </c>
      <c r="B805" s="100">
        <v>4</v>
      </c>
      <c r="C805" s="101">
        <v>46122</v>
      </c>
      <c r="D805" s="101" t="str">
        <f t="shared" si="170"/>
        <v>GB000001021Ташкент_Дилнавоз опа</v>
      </c>
      <c r="E805" s="99" t="s">
        <v>203</v>
      </c>
      <c r="F805" s="102" t="s">
        <v>59</v>
      </c>
      <c r="G805" s="102" t="s">
        <v>36</v>
      </c>
      <c r="H805" s="99" t="s">
        <v>19</v>
      </c>
      <c r="I805" s="102" t="s">
        <v>37</v>
      </c>
      <c r="J805" s="102" t="s">
        <v>46</v>
      </c>
      <c r="K805" s="103">
        <v>38</v>
      </c>
      <c r="L805" s="104">
        <v>64700</v>
      </c>
      <c r="M805" s="104">
        <v>2458600</v>
      </c>
      <c r="N805" s="39">
        <f t="shared" si="178"/>
        <v>760000</v>
      </c>
      <c r="O805" s="107">
        <f>+M805*$O$1</f>
        <v>442548</v>
      </c>
      <c r="P805" s="108">
        <f>+N805+O805</f>
        <v>1202548</v>
      </c>
      <c r="Q805" s="39">
        <v>15</v>
      </c>
      <c r="R805" s="39">
        <f t="shared" si="171"/>
        <v>368790</v>
      </c>
      <c r="S805" s="42">
        <f t="shared" si="172"/>
        <v>2089810</v>
      </c>
    </row>
    <row r="806" spans="1:19">
      <c r="A806" s="99">
        <v>2026</v>
      </c>
      <c r="B806" s="100">
        <v>4</v>
      </c>
      <c r="C806" s="101">
        <v>46127</v>
      </c>
      <c r="D806" s="101" t="str">
        <f t="shared" si="170"/>
        <v>GB000001065Ташкент_Дилнавоз опа</v>
      </c>
      <c r="E806" s="99" t="s">
        <v>204</v>
      </c>
      <c r="F806" s="102" t="s">
        <v>48</v>
      </c>
      <c r="G806" s="102" t="s">
        <v>36</v>
      </c>
      <c r="H806" s="99" t="s">
        <v>19</v>
      </c>
      <c r="I806" s="102" t="s">
        <v>205</v>
      </c>
      <c r="J806" s="102" t="s">
        <v>38</v>
      </c>
      <c r="K806" s="103">
        <v>25</v>
      </c>
      <c r="L806" s="104">
        <v>65000</v>
      </c>
      <c r="M806" s="104">
        <v>1625000</v>
      </c>
      <c r="N806" s="39">
        <f>+K806*20000</f>
        <v>500000</v>
      </c>
      <c r="O806" s="107">
        <f>+M806*$O$1</f>
        <v>292500</v>
      </c>
      <c r="P806" s="108">
        <f>+N806+O806</f>
        <v>792500</v>
      </c>
      <c r="Q806" s="39">
        <v>68</v>
      </c>
      <c r="R806" s="39">
        <f t="shared" si="171"/>
        <v>1105000</v>
      </c>
      <c r="S806" s="42">
        <f t="shared" si="172"/>
        <v>520000</v>
      </c>
    </row>
    <row r="807" spans="1:19">
      <c r="A807" s="99">
        <v>2026</v>
      </c>
      <c r="B807" s="100">
        <v>4</v>
      </c>
      <c r="C807" s="101">
        <v>46127</v>
      </c>
      <c r="D807" s="101" t="str">
        <f t="shared" si="170"/>
        <v>GB000001065Ташкент_Дилнавоз опа</v>
      </c>
      <c r="E807" s="99" t="s">
        <v>204</v>
      </c>
      <c r="F807" s="102" t="s">
        <v>48</v>
      </c>
      <c r="G807" s="102" t="s">
        <v>36</v>
      </c>
      <c r="H807" s="99" t="s">
        <v>19</v>
      </c>
      <c r="I807" s="102" t="s">
        <v>205</v>
      </c>
      <c r="J807" s="102" t="s">
        <v>41</v>
      </c>
      <c r="K807" s="103">
        <v>25</v>
      </c>
      <c r="L807" s="104">
        <v>90000</v>
      </c>
      <c r="M807" s="104">
        <v>2250000</v>
      </c>
      <c r="N807" s="39">
        <f>+K807*25000</f>
        <v>625000</v>
      </c>
      <c r="O807" s="107">
        <f>+M807*$O$1</f>
        <v>405000</v>
      </c>
      <c r="P807" s="108">
        <f>+N807+O807</f>
        <v>1030000</v>
      </c>
      <c r="Q807" s="39">
        <v>68</v>
      </c>
      <c r="R807" s="39">
        <f t="shared" si="171"/>
        <v>1530000</v>
      </c>
      <c r="S807" s="42">
        <f t="shared" si="172"/>
        <v>720000</v>
      </c>
    </row>
    <row r="808" spans="1:19">
      <c r="A808" s="99">
        <v>2026</v>
      </c>
      <c r="B808" s="100">
        <v>4</v>
      </c>
      <c r="C808" s="101">
        <v>46127</v>
      </c>
      <c r="D808" s="101" t="str">
        <f t="shared" si="170"/>
        <v>GB000001067Ташкент_Дилнавоз опа</v>
      </c>
      <c r="E808" s="99" t="s">
        <v>206</v>
      </c>
      <c r="F808" s="102" t="s">
        <v>48</v>
      </c>
      <c r="G808" s="102" t="s">
        <v>36</v>
      </c>
      <c r="H808" s="99" t="s">
        <v>19</v>
      </c>
      <c r="I808" s="102" t="s">
        <v>120</v>
      </c>
      <c r="J808" s="102" t="s">
        <v>46</v>
      </c>
      <c r="K808" s="103">
        <v>20</v>
      </c>
      <c r="L808" s="104">
        <v>64700</v>
      </c>
      <c r="M808" s="104">
        <v>1294000</v>
      </c>
      <c r="N808" s="39">
        <f>20000*K808</f>
        <v>400000</v>
      </c>
      <c r="O808" s="107">
        <f>+M808*$O$1</f>
        <v>232920</v>
      </c>
      <c r="P808" s="108">
        <f>+N808+O808</f>
        <v>632920</v>
      </c>
      <c r="Q808" s="39">
        <v>100</v>
      </c>
      <c r="R808" s="39">
        <f t="shared" si="171"/>
        <v>1294000</v>
      </c>
      <c r="S808" s="42">
        <f t="shared" si="172"/>
        <v>0</v>
      </c>
    </row>
    <row r="809" spans="1:19">
      <c r="A809" s="99">
        <v>2026</v>
      </c>
      <c r="B809" s="100">
        <v>4</v>
      </c>
      <c r="C809" s="101">
        <v>46127</v>
      </c>
      <c r="D809" s="101" t="str">
        <f t="shared" si="170"/>
        <v>GB000001067Ташкент_Дилнавоз опа</v>
      </c>
      <c r="E809" s="99" t="s">
        <v>206</v>
      </c>
      <c r="F809" s="102" t="s">
        <v>48</v>
      </c>
      <c r="G809" s="102" t="s">
        <v>36</v>
      </c>
      <c r="H809" s="99" t="s">
        <v>19</v>
      </c>
      <c r="I809" s="102" t="s">
        <v>120</v>
      </c>
      <c r="J809" s="102" t="s">
        <v>41</v>
      </c>
      <c r="K809" s="103">
        <v>20</v>
      </c>
      <c r="L809" s="104">
        <v>90000</v>
      </c>
      <c r="M809" s="104">
        <v>1800000</v>
      </c>
      <c r="N809" s="39">
        <f t="shared" ref="N809:N810" si="179">+K809*25000</f>
        <v>500000</v>
      </c>
      <c r="O809" s="107">
        <f>+M809*$O$1</f>
        <v>324000</v>
      </c>
      <c r="P809" s="108">
        <f>+N809+O809</f>
        <v>824000</v>
      </c>
      <c r="Q809" s="39">
        <v>100</v>
      </c>
      <c r="R809" s="39">
        <f t="shared" si="171"/>
        <v>1800000</v>
      </c>
      <c r="S809" s="42">
        <f t="shared" si="172"/>
        <v>0</v>
      </c>
    </row>
    <row r="810" spans="1:19">
      <c r="A810" s="99">
        <v>2026</v>
      </c>
      <c r="B810" s="100">
        <v>4</v>
      </c>
      <c r="C810" s="101">
        <v>46127</v>
      </c>
      <c r="D810" s="101" t="str">
        <f t="shared" si="170"/>
        <v>GB000001073Ташкент_Дилнавоз опа</v>
      </c>
      <c r="E810" s="99" t="s">
        <v>207</v>
      </c>
      <c r="F810" s="102" t="s">
        <v>35</v>
      </c>
      <c r="G810" s="102" t="s">
        <v>36</v>
      </c>
      <c r="H810" s="99" t="s">
        <v>19</v>
      </c>
      <c r="I810" s="102" t="s">
        <v>208</v>
      </c>
      <c r="J810" s="102" t="s">
        <v>41</v>
      </c>
      <c r="K810" s="103">
        <v>20</v>
      </c>
      <c r="L810" s="104">
        <v>90000</v>
      </c>
      <c r="M810" s="104">
        <v>1800000</v>
      </c>
      <c r="N810" s="39">
        <f t="shared" si="179"/>
        <v>500000</v>
      </c>
      <c r="O810" s="107">
        <f>+M810*$O$1</f>
        <v>324000</v>
      </c>
      <c r="P810" s="108">
        <f>+N810+O810</f>
        <v>824000</v>
      </c>
      <c r="Q810" s="39">
        <v>24</v>
      </c>
      <c r="R810" s="39">
        <f t="shared" si="171"/>
        <v>432000</v>
      </c>
      <c r="S810" s="42">
        <f t="shared" si="172"/>
        <v>1368000</v>
      </c>
    </row>
    <row r="811" spans="1:19">
      <c r="A811" s="99">
        <v>2026</v>
      </c>
      <c r="B811" s="100">
        <v>4</v>
      </c>
      <c r="C811" s="101">
        <v>46127</v>
      </c>
      <c r="D811" s="101" t="str">
        <f t="shared" si="170"/>
        <v>GB000001077Ташкент_Дилнавоз опа</v>
      </c>
      <c r="E811" s="99" t="s">
        <v>209</v>
      </c>
      <c r="F811" s="102" t="s">
        <v>59</v>
      </c>
      <c r="G811" s="102" t="s">
        <v>36</v>
      </c>
      <c r="H811" s="99" t="s">
        <v>19</v>
      </c>
      <c r="I811" s="102" t="s">
        <v>210</v>
      </c>
      <c r="J811" s="102" t="s">
        <v>38</v>
      </c>
      <c r="K811" s="103">
        <v>30</v>
      </c>
      <c r="L811" s="104">
        <v>65000</v>
      </c>
      <c r="M811" s="104">
        <v>1950000</v>
      </c>
      <c r="N811" s="39">
        <f t="shared" ref="N811:N812" si="180">+K811*20000</f>
        <v>600000</v>
      </c>
      <c r="O811" s="107">
        <f>+M811*$O$1</f>
        <v>351000</v>
      </c>
      <c r="P811" s="108">
        <f>+N811+O811</f>
        <v>951000</v>
      </c>
      <c r="Q811" s="39">
        <v>100</v>
      </c>
      <c r="R811" s="39">
        <f t="shared" si="171"/>
        <v>1950000</v>
      </c>
      <c r="S811" s="42">
        <f t="shared" si="172"/>
        <v>0</v>
      </c>
    </row>
    <row r="812" spans="1:19">
      <c r="A812" s="99">
        <v>2026</v>
      </c>
      <c r="B812" s="100">
        <v>4</v>
      </c>
      <c r="C812" s="101">
        <v>46129</v>
      </c>
      <c r="D812" s="101" t="str">
        <f t="shared" si="170"/>
        <v>GB000001101Ташкент_Дилнавоз опа</v>
      </c>
      <c r="E812" s="99" t="s">
        <v>211</v>
      </c>
      <c r="F812" s="102" t="s">
        <v>170</v>
      </c>
      <c r="G812" s="102" t="s">
        <v>36</v>
      </c>
      <c r="H812" s="99" t="s">
        <v>19</v>
      </c>
      <c r="I812" s="102" t="s">
        <v>73</v>
      </c>
      <c r="J812" s="102" t="s">
        <v>38</v>
      </c>
      <c r="K812" s="103">
        <v>10</v>
      </c>
      <c r="L812" s="104">
        <v>65000</v>
      </c>
      <c r="M812" s="104">
        <v>650000</v>
      </c>
      <c r="N812" s="39">
        <f t="shared" si="180"/>
        <v>200000</v>
      </c>
      <c r="O812" s="107">
        <f>+M812*$O$1</f>
        <v>117000</v>
      </c>
      <c r="P812" s="108">
        <f>+N812+O812</f>
        <v>317000</v>
      </c>
      <c r="Q812" s="39">
        <v>100</v>
      </c>
      <c r="R812" s="39">
        <f t="shared" si="171"/>
        <v>650000</v>
      </c>
      <c r="S812" s="42">
        <f t="shared" si="172"/>
        <v>0</v>
      </c>
    </row>
    <row r="813" spans="1:19">
      <c r="A813" s="99">
        <v>2026</v>
      </c>
      <c r="B813" s="100">
        <v>4</v>
      </c>
      <c r="C813" s="101">
        <v>46129</v>
      </c>
      <c r="D813" s="101" t="str">
        <f t="shared" si="170"/>
        <v>GB000001101Ташкент_Дилнавоз опа</v>
      </c>
      <c r="E813" s="99" t="s">
        <v>211</v>
      </c>
      <c r="F813" s="102" t="s">
        <v>170</v>
      </c>
      <c r="G813" s="102" t="s">
        <v>36</v>
      </c>
      <c r="H813" s="99" t="s">
        <v>19</v>
      </c>
      <c r="I813" s="102" t="s">
        <v>73</v>
      </c>
      <c r="J813" s="102" t="s">
        <v>46</v>
      </c>
      <c r="K813" s="103">
        <v>10</v>
      </c>
      <c r="L813" s="104">
        <v>64700</v>
      </c>
      <c r="M813" s="104">
        <v>647000</v>
      </c>
      <c r="N813" s="39">
        <f>20000*K813</f>
        <v>200000</v>
      </c>
      <c r="O813" s="107">
        <f>+M813*$O$1</f>
        <v>116460</v>
      </c>
      <c r="P813" s="108">
        <f>+N813+O813</f>
        <v>316460</v>
      </c>
      <c r="Q813" s="39">
        <v>100</v>
      </c>
      <c r="R813" s="39">
        <f t="shared" si="171"/>
        <v>647000</v>
      </c>
      <c r="S813" s="42">
        <f t="shared" si="172"/>
        <v>0</v>
      </c>
    </row>
    <row r="814" spans="1:19">
      <c r="A814" s="99">
        <v>2026</v>
      </c>
      <c r="B814" s="100">
        <v>4</v>
      </c>
      <c r="C814" s="101">
        <v>46129</v>
      </c>
      <c r="D814" s="101" t="str">
        <f t="shared" si="170"/>
        <v>GB000001101Ташкент_Дилнавоз опа</v>
      </c>
      <c r="E814" s="99" t="s">
        <v>211</v>
      </c>
      <c r="F814" s="102" t="s">
        <v>170</v>
      </c>
      <c r="G814" s="102" t="s">
        <v>36</v>
      </c>
      <c r="H814" s="99" t="s">
        <v>19</v>
      </c>
      <c r="I814" s="102" t="s">
        <v>73</v>
      </c>
      <c r="J814" s="102" t="s">
        <v>41</v>
      </c>
      <c r="K814" s="103">
        <v>20</v>
      </c>
      <c r="L814" s="104">
        <v>90000</v>
      </c>
      <c r="M814" s="104">
        <v>1800000</v>
      </c>
      <c r="N814" s="39">
        <f t="shared" ref="N814:N815" si="181">+K814*25000</f>
        <v>500000</v>
      </c>
      <c r="O814" s="107">
        <f>+M814*$O$1</f>
        <v>324000</v>
      </c>
      <c r="P814" s="108">
        <f>+N814+O814</f>
        <v>824000</v>
      </c>
      <c r="Q814" s="39">
        <v>100</v>
      </c>
      <c r="R814" s="39">
        <f t="shared" si="171"/>
        <v>1800000</v>
      </c>
      <c r="S814" s="42">
        <f t="shared" si="172"/>
        <v>0</v>
      </c>
    </row>
    <row r="815" spans="1:19">
      <c r="A815" s="99">
        <v>2026</v>
      </c>
      <c r="B815" s="100">
        <v>4</v>
      </c>
      <c r="C815" s="101">
        <v>46132</v>
      </c>
      <c r="D815" s="101" t="str">
        <f t="shared" si="170"/>
        <v>GB000001109Ташкент_Дилнавоз опа</v>
      </c>
      <c r="E815" s="99" t="s">
        <v>212</v>
      </c>
      <c r="F815" s="102" t="s">
        <v>170</v>
      </c>
      <c r="G815" s="102" t="s">
        <v>36</v>
      </c>
      <c r="H815" s="99" t="s">
        <v>19</v>
      </c>
      <c r="I815" s="102" t="s">
        <v>158</v>
      </c>
      <c r="J815" s="102" t="s">
        <v>41</v>
      </c>
      <c r="K815" s="103">
        <v>18</v>
      </c>
      <c r="L815" s="104">
        <v>90000</v>
      </c>
      <c r="M815" s="104">
        <v>1620000</v>
      </c>
      <c r="N815" s="39">
        <f t="shared" si="181"/>
        <v>450000</v>
      </c>
      <c r="O815" s="107">
        <f>+M815*$O$1</f>
        <v>291600</v>
      </c>
      <c r="P815" s="108">
        <f>+N815+O815</f>
        <v>741600</v>
      </c>
      <c r="Q815" s="39">
        <v>56</v>
      </c>
      <c r="R815" s="39">
        <f t="shared" si="171"/>
        <v>907200.00000000012</v>
      </c>
      <c r="S815" s="42">
        <f t="shared" si="172"/>
        <v>712799.99999999988</v>
      </c>
    </row>
    <row r="816" spans="1:19">
      <c r="A816" s="99">
        <v>2026</v>
      </c>
      <c r="B816" s="100">
        <v>4</v>
      </c>
      <c r="C816" s="101">
        <v>46132</v>
      </c>
      <c r="D816" s="101" t="str">
        <f t="shared" si="170"/>
        <v>GB000001109Ташкент_Дилнавоз опа</v>
      </c>
      <c r="E816" s="99" t="s">
        <v>212</v>
      </c>
      <c r="F816" s="102" t="s">
        <v>170</v>
      </c>
      <c r="G816" s="102" t="s">
        <v>36</v>
      </c>
      <c r="H816" s="99" t="s">
        <v>19</v>
      </c>
      <c r="I816" s="102" t="s">
        <v>158</v>
      </c>
      <c r="J816" s="102" t="s">
        <v>46</v>
      </c>
      <c r="K816" s="103">
        <v>10</v>
      </c>
      <c r="L816" s="104">
        <v>64700</v>
      </c>
      <c r="M816" s="104">
        <v>647000</v>
      </c>
      <c r="N816" s="39">
        <f>20000*K816</f>
        <v>200000</v>
      </c>
      <c r="O816" s="107">
        <f>+M816*$O$1</f>
        <v>116460</v>
      </c>
      <c r="P816" s="108">
        <f>+N816+O816</f>
        <v>316460</v>
      </c>
      <c r="Q816" s="39">
        <v>56</v>
      </c>
      <c r="R816" s="39">
        <f t="shared" si="171"/>
        <v>362320.00000000006</v>
      </c>
      <c r="S816" s="42">
        <f t="shared" si="172"/>
        <v>284679.99999999994</v>
      </c>
    </row>
    <row r="817" spans="1:19">
      <c r="A817" s="99">
        <v>2026</v>
      </c>
      <c r="B817" s="100">
        <v>4</v>
      </c>
      <c r="C817" s="101">
        <v>46134</v>
      </c>
      <c r="D817" s="101" t="str">
        <f t="shared" si="170"/>
        <v>GB000001159Ташкент_Дилнавоз опа</v>
      </c>
      <c r="E817" s="99" t="s">
        <v>213</v>
      </c>
      <c r="F817" s="102" t="s">
        <v>48</v>
      </c>
      <c r="G817" s="102" t="s">
        <v>36</v>
      </c>
      <c r="H817" s="99" t="s">
        <v>19</v>
      </c>
      <c r="I817" s="102" t="s">
        <v>103</v>
      </c>
      <c r="J817" s="102" t="s">
        <v>41</v>
      </c>
      <c r="K817" s="103">
        <v>100</v>
      </c>
      <c r="L817" s="104">
        <v>90000</v>
      </c>
      <c r="M817" s="104">
        <v>9000000</v>
      </c>
      <c r="N817" s="39">
        <f t="shared" ref="N817:N818" si="182">+K817*25000</f>
        <v>2500000</v>
      </c>
      <c r="O817" s="107">
        <f>+M817*$O$1</f>
        <v>1620000</v>
      </c>
      <c r="P817" s="108">
        <f>+N817+O817</f>
        <v>4120000</v>
      </c>
      <c r="Q817" s="39">
        <v>50</v>
      </c>
      <c r="R817" s="39">
        <f t="shared" si="171"/>
        <v>4500000</v>
      </c>
      <c r="S817" s="42">
        <f t="shared" si="172"/>
        <v>4500000</v>
      </c>
    </row>
    <row r="818" spans="1:19">
      <c r="A818" s="99">
        <v>2026</v>
      </c>
      <c r="B818" s="100">
        <v>4</v>
      </c>
      <c r="C818" s="101">
        <v>46134</v>
      </c>
      <c r="D818" s="101" t="str">
        <f t="shared" si="170"/>
        <v>GB000001160Ташкент_Дилнавоз опа</v>
      </c>
      <c r="E818" s="99" t="s">
        <v>214</v>
      </c>
      <c r="F818" s="102" t="s">
        <v>68</v>
      </c>
      <c r="G818" s="102" t="s">
        <v>36</v>
      </c>
      <c r="H818" s="99" t="s">
        <v>19</v>
      </c>
      <c r="I818" s="102" t="s">
        <v>69</v>
      </c>
      <c r="J818" s="102" t="s">
        <v>41</v>
      </c>
      <c r="K818" s="103">
        <v>50</v>
      </c>
      <c r="L818" s="104">
        <v>90000</v>
      </c>
      <c r="M818" s="104">
        <v>4500000</v>
      </c>
      <c r="N818" s="39">
        <f t="shared" si="182"/>
        <v>1250000</v>
      </c>
      <c r="O818" s="107">
        <f>+M818*$O$1</f>
        <v>810000</v>
      </c>
      <c r="P818" s="108">
        <f>+N818+O818</f>
        <v>2060000</v>
      </c>
      <c r="Q818" s="39">
        <v>100</v>
      </c>
      <c r="R818" s="39">
        <f t="shared" si="171"/>
        <v>4500000</v>
      </c>
      <c r="S818" s="42">
        <f t="shared" si="172"/>
        <v>0</v>
      </c>
    </row>
    <row r="819" spans="1:19">
      <c r="A819" s="99">
        <v>2026</v>
      </c>
      <c r="B819" s="100">
        <v>4</v>
      </c>
      <c r="C819" s="101">
        <v>46134</v>
      </c>
      <c r="D819" s="101" t="str">
        <f t="shared" si="170"/>
        <v>GB000001160Ташкент_Дилнавоз опа</v>
      </c>
      <c r="E819" s="99" t="s">
        <v>214</v>
      </c>
      <c r="F819" s="102" t="s">
        <v>68</v>
      </c>
      <c r="G819" s="102" t="s">
        <v>36</v>
      </c>
      <c r="H819" s="99" t="s">
        <v>19</v>
      </c>
      <c r="I819" s="102" t="s">
        <v>69</v>
      </c>
      <c r="J819" s="102" t="s">
        <v>46</v>
      </c>
      <c r="K819" s="103">
        <v>50</v>
      </c>
      <c r="L819" s="104">
        <v>64700</v>
      </c>
      <c r="M819" s="104">
        <v>3235000</v>
      </c>
      <c r="N819" s="39">
        <f>20000*K819</f>
        <v>1000000</v>
      </c>
      <c r="O819" s="107">
        <f>+M819*$O$1</f>
        <v>582300</v>
      </c>
      <c r="P819" s="108">
        <f>+N819+O819</f>
        <v>1582300</v>
      </c>
      <c r="Q819" s="39">
        <v>100</v>
      </c>
      <c r="R819" s="39">
        <f t="shared" si="171"/>
        <v>3235000</v>
      </c>
      <c r="S819" s="42">
        <f t="shared" si="172"/>
        <v>0</v>
      </c>
    </row>
    <row r="820" spans="1:19">
      <c r="A820" s="99">
        <v>2026</v>
      </c>
      <c r="B820" s="100">
        <v>4</v>
      </c>
      <c r="C820" s="101">
        <v>46134</v>
      </c>
      <c r="D820" s="101" t="str">
        <f t="shared" si="170"/>
        <v>GB000001166Ташкент_Дилнавоз опа</v>
      </c>
      <c r="E820" s="99" t="s">
        <v>215</v>
      </c>
      <c r="F820" s="102" t="s">
        <v>35</v>
      </c>
      <c r="G820" s="102" t="s">
        <v>36</v>
      </c>
      <c r="H820" s="99" t="s">
        <v>19</v>
      </c>
      <c r="I820" s="102" t="s">
        <v>75</v>
      </c>
      <c r="J820" s="102" t="s">
        <v>41</v>
      </c>
      <c r="K820" s="103">
        <v>50</v>
      </c>
      <c r="L820" s="104">
        <v>90000</v>
      </c>
      <c r="M820" s="104">
        <v>4500000</v>
      </c>
      <c r="N820" s="39">
        <f t="shared" ref="N820:N823" si="183">+K820*25000</f>
        <v>1250000</v>
      </c>
      <c r="O820" s="107">
        <f>+M820*$O$1</f>
        <v>810000</v>
      </c>
      <c r="P820" s="108">
        <f>+N820+O820</f>
        <v>2060000</v>
      </c>
      <c r="Q820" s="39">
        <v>100</v>
      </c>
      <c r="R820" s="39">
        <f t="shared" si="171"/>
        <v>4500000</v>
      </c>
      <c r="S820" s="42">
        <f t="shared" si="172"/>
        <v>0</v>
      </c>
    </row>
    <row r="821" spans="1:19">
      <c r="A821" s="99">
        <v>2026</v>
      </c>
      <c r="B821" s="100">
        <v>4</v>
      </c>
      <c r="C821" s="101">
        <v>46136</v>
      </c>
      <c r="D821" s="101" t="str">
        <f t="shared" si="170"/>
        <v>GB000001200Ташкент_Дилнавоз опа</v>
      </c>
      <c r="E821" s="99" t="s">
        <v>216</v>
      </c>
      <c r="F821" s="102" t="s">
        <v>48</v>
      </c>
      <c r="G821" s="102" t="s">
        <v>36</v>
      </c>
      <c r="H821" s="99" t="s">
        <v>19</v>
      </c>
      <c r="I821" s="102" t="s">
        <v>217</v>
      </c>
      <c r="J821" s="102" t="s">
        <v>41</v>
      </c>
      <c r="K821" s="103">
        <v>5</v>
      </c>
      <c r="L821" s="104">
        <v>90000</v>
      </c>
      <c r="M821" s="104">
        <v>450000</v>
      </c>
      <c r="N821" s="39">
        <f t="shared" si="183"/>
        <v>125000</v>
      </c>
      <c r="O821" s="107">
        <f>+M821*$O$1</f>
        <v>81000</v>
      </c>
      <c r="P821" s="108">
        <f>+N821+O821</f>
        <v>206000</v>
      </c>
      <c r="Q821" s="39">
        <v>50</v>
      </c>
      <c r="R821" s="39">
        <f t="shared" si="171"/>
        <v>225000</v>
      </c>
      <c r="S821" s="42">
        <f t="shared" si="172"/>
        <v>225000</v>
      </c>
    </row>
    <row r="822" spans="1:19">
      <c r="A822" s="99">
        <v>2026</v>
      </c>
      <c r="B822" s="100">
        <v>4</v>
      </c>
      <c r="C822" s="101">
        <v>46136</v>
      </c>
      <c r="D822" s="101" t="str">
        <f t="shared" si="170"/>
        <v>GB000001200Ташкент_Дилнавоз опа</v>
      </c>
      <c r="E822" s="99" t="s">
        <v>216</v>
      </c>
      <c r="F822" s="102" t="s">
        <v>48</v>
      </c>
      <c r="G822" s="102" t="s">
        <v>36</v>
      </c>
      <c r="H822" s="99" t="s">
        <v>19</v>
      </c>
      <c r="I822" s="102" t="s">
        <v>217</v>
      </c>
      <c r="J822" s="102" t="s">
        <v>41</v>
      </c>
      <c r="K822" s="103">
        <v>5</v>
      </c>
      <c r="L822" s="104">
        <v>90000</v>
      </c>
      <c r="M822" s="104">
        <v>450000</v>
      </c>
      <c r="N822" s="39">
        <f t="shared" si="183"/>
        <v>125000</v>
      </c>
      <c r="O822" s="107">
        <f>+M822*$O$1</f>
        <v>81000</v>
      </c>
      <c r="P822" s="108">
        <f>+N822+O822</f>
        <v>206000</v>
      </c>
      <c r="Q822" s="39">
        <v>50</v>
      </c>
      <c r="R822" s="39">
        <f t="shared" si="171"/>
        <v>225000</v>
      </c>
      <c r="S822" s="42">
        <f t="shared" si="172"/>
        <v>225000</v>
      </c>
    </row>
    <row r="823" spans="1:19">
      <c r="A823" s="99">
        <v>2026</v>
      </c>
      <c r="B823" s="100">
        <v>4</v>
      </c>
      <c r="C823" s="101">
        <v>46136</v>
      </c>
      <c r="D823" s="101" t="str">
        <f t="shared" si="170"/>
        <v>GB000001201Ташкент_Дилнавоз опа</v>
      </c>
      <c r="E823" s="99" t="s">
        <v>218</v>
      </c>
      <c r="F823" s="102" t="s">
        <v>35</v>
      </c>
      <c r="G823" s="102" t="s">
        <v>36</v>
      </c>
      <c r="H823" s="99" t="s">
        <v>19</v>
      </c>
      <c r="I823" s="102" t="s">
        <v>219</v>
      </c>
      <c r="J823" s="102" t="s">
        <v>41</v>
      </c>
      <c r="K823" s="103">
        <v>25</v>
      </c>
      <c r="L823" s="104">
        <v>90000</v>
      </c>
      <c r="M823" s="104">
        <v>2250000</v>
      </c>
      <c r="N823" s="39">
        <f t="shared" si="183"/>
        <v>625000</v>
      </c>
      <c r="O823" s="107">
        <f>+M823*$O$1</f>
        <v>405000</v>
      </c>
      <c r="P823" s="108">
        <f>+N823+O823</f>
        <v>1030000</v>
      </c>
      <c r="Q823" s="39">
        <v>0</v>
      </c>
      <c r="R823" s="39">
        <f t="shared" si="171"/>
        <v>0</v>
      </c>
      <c r="S823" s="42">
        <f t="shared" si="172"/>
        <v>2250000</v>
      </c>
    </row>
    <row r="824" spans="1:19">
      <c r="A824" s="99">
        <v>2026</v>
      </c>
      <c r="B824" s="100">
        <v>4</v>
      </c>
      <c r="C824" s="101">
        <v>46136</v>
      </c>
      <c r="D824" s="101" t="str">
        <f t="shared" si="170"/>
        <v>GB000001201Ташкент_Дилнавоз опа</v>
      </c>
      <c r="E824" s="99" t="s">
        <v>218</v>
      </c>
      <c r="F824" s="102" t="s">
        <v>35</v>
      </c>
      <c r="G824" s="102" t="s">
        <v>36</v>
      </c>
      <c r="H824" s="99" t="s">
        <v>19</v>
      </c>
      <c r="I824" s="102" t="s">
        <v>219</v>
      </c>
      <c r="J824" s="102" t="s">
        <v>38</v>
      </c>
      <c r="K824" s="103">
        <v>40</v>
      </c>
      <c r="L824" s="104">
        <v>65000</v>
      </c>
      <c r="M824" s="104">
        <v>2600000</v>
      </c>
      <c r="N824" s="39">
        <f>+K824*20000</f>
        <v>800000</v>
      </c>
      <c r="O824" s="107">
        <f>+M824*$O$1</f>
        <v>468000</v>
      </c>
      <c r="P824" s="108">
        <f>+N824+O824</f>
        <v>1268000</v>
      </c>
      <c r="Q824" s="39">
        <v>0</v>
      </c>
      <c r="R824" s="39">
        <f t="shared" si="171"/>
        <v>0</v>
      </c>
      <c r="S824" s="42">
        <f t="shared" si="172"/>
        <v>2600000</v>
      </c>
    </row>
    <row r="825" spans="1:19">
      <c r="A825" s="99">
        <v>2026</v>
      </c>
      <c r="B825" s="100">
        <v>4</v>
      </c>
      <c r="C825" s="101">
        <v>46136</v>
      </c>
      <c r="D825" s="101" t="str">
        <f t="shared" si="170"/>
        <v>GB000001201Ташкент_Дилнавоз опа</v>
      </c>
      <c r="E825" s="99" t="s">
        <v>218</v>
      </c>
      <c r="F825" s="102" t="s">
        <v>35</v>
      </c>
      <c r="G825" s="102" t="s">
        <v>36</v>
      </c>
      <c r="H825" s="99" t="s">
        <v>19</v>
      </c>
      <c r="I825" s="102" t="s">
        <v>219</v>
      </c>
      <c r="J825" s="102" t="s">
        <v>46</v>
      </c>
      <c r="K825" s="103">
        <v>10</v>
      </c>
      <c r="L825" s="104">
        <v>64700</v>
      </c>
      <c r="M825" s="104">
        <v>647000</v>
      </c>
      <c r="N825" s="39">
        <f>20000*K825</f>
        <v>200000</v>
      </c>
      <c r="O825" s="107">
        <f>+M825*$O$1</f>
        <v>116460</v>
      </c>
      <c r="P825" s="108">
        <f>+N825+O825</f>
        <v>316460</v>
      </c>
      <c r="Q825" s="39">
        <v>0</v>
      </c>
      <c r="R825" s="39">
        <f t="shared" si="171"/>
        <v>0</v>
      </c>
      <c r="S825" s="42">
        <f t="shared" si="172"/>
        <v>647000</v>
      </c>
    </row>
    <row r="826" spans="1:19">
      <c r="A826" s="99">
        <v>2026</v>
      </c>
      <c r="B826" s="100">
        <v>4</v>
      </c>
      <c r="C826" s="101">
        <v>46136</v>
      </c>
      <c r="D826" s="101" t="str">
        <f t="shared" si="170"/>
        <v>GB000001201Ташкент_Дилнавоз опа</v>
      </c>
      <c r="E826" s="99" t="s">
        <v>218</v>
      </c>
      <c r="F826" s="102" t="s">
        <v>35</v>
      </c>
      <c r="G826" s="102" t="s">
        <v>36</v>
      </c>
      <c r="H826" s="99" t="s">
        <v>19</v>
      </c>
      <c r="I826" s="102" t="s">
        <v>219</v>
      </c>
      <c r="J826" s="102" t="s">
        <v>41</v>
      </c>
      <c r="K826" s="103">
        <v>20</v>
      </c>
      <c r="L826" s="104">
        <v>90000</v>
      </c>
      <c r="M826" s="104">
        <v>1800000</v>
      </c>
      <c r="N826" s="39">
        <f t="shared" ref="N826:N828" si="184">+K826*25000</f>
        <v>500000</v>
      </c>
      <c r="O826" s="107">
        <f>+M826*$O$1</f>
        <v>324000</v>
      </c>
      <c r="P826" s="108">
        <f>+N826+O826</f>
        <v>824000</v>
      </c>
      <c r="Q826" s="39">
        <v>0</v>
      </c>
      <c r="R826" s="39">
        <f t="shared" si="171"/>
        <v>0</v>
      </c>
      <c r="S826" s="42">
        <f t="shared" si="172"/>
        <v>1800000</v>
      </c>
    </row>
    <row r="827" spans="1:19">
      <c r="A827" s="99">
        <v>2026</v>
      </c>
      <c r="B827" s="100">
        <v>4</v>
      </c>
      <c r="C827" s="101">
        <v>46139</v>
      </c>
      <c r="D827" s="101" t="str">
        <f t="shared" si="170"/>
        <v>GB000001205Ташкент_Дилнавоз опа</v>
      </c>
      <c r="E827" s="99" t="s">
        <v>220</v>
      </c>
      <c r="F827" s="102" t="s">
        <v>170</v>
      </c>
      <c r="G827" s="102" t="s">
        <v>36</v>
      </c>
      <c r="H827" s="99" t="s">
        <v>19</v>
      </c>
      <c r="I827" s="102" t="s">
        <v>148</v>
      </c>
      <c r="J827" s="102" t="s">
        <v>41</v>
      </c>
      <c r="K827" s="103">
        <v>3</v>
      </c>
      <c r="L827" s="104">
        <v>90000</v>
      </c>
      <c r="M827" s="104">
        <v>270000</v>
      </c>
      <c r="N827" s="39">
        <f t="shared" si="184"/>
        <v>75000</v>
      </c>
      <c r="O827" s="107">
        <f>+M827*$O$1</f>
        <v>48600</v>
      </c>
      <c r="P827" s="108">
        <f>+N827+O827</f>
        <v>123600</v>
      </c>
      <c r="Q827" s="39">
        <v>27</v>
      </c>
      <c r="R827" s="39">
        <f t="shared" si="171"/>
        <v>72900</v>
      </c>
      <c r="S827" s="42">
        <f t="shared" si="172"/>
        <v>197100</v>
      </c>
    </row>
    <row r="828" spans="1:19">
      <c r="A828" s="99">
        <v>2026</v>
      </c>
      <c r="B828" s="100">
        <v>4</v>
      </c>
      <c r="C828" s="101">
        <v>46139</v>
      </c>
      <c r="D828" s="101" t="str">
        <f t="shared" si="170"/>
        <v>GB000001205Ташкент_Дилнавоз опа</v>
      </c>
      <c r="E828" s="99" t="s">
        <v>220</v>
      </c>
      <c r="F828" s="102" t="s">
        <v>170</v>
      </c>
      <c r="G828" s="102" t="s">
        <v>36</v>
      </c>
      <c r="H828" s="99" t="s">
        <v>19</v>
      </c>
      <c r="I828" s="102" t="s">
        <v>148</v>
      </c>
      <c r="J828" s="102" t="s">
        <v>41</v>
      </c>
      <c r="K828" s="103">
        <v>27</v>
      </c>
      <c r="L828" s="104">
        <v>90000</v>
      </c>
      <c r="M828" s="104">
        <v>2430000</v>
      </c>
      <c r="N828" s="39">
        <f t="shared" si="184"/>
        <v>675000</v>
      </c>
      <c r="O828" s="107">
        <f>+M828*$O$1</f>
        <v>437400</v>
      </c>
      <c r="P828" s="108">
        <f>+N828+O828</f>
        <v>1112400</v>
      </c>
      <c r="Q828" s="39">
        <v>27</v>
      </c>
      <c r="R828" s="39">
        <f t="shared" si="171"/>
        <v>656100</v>
      </c>
      <c r="S828" s="42">
        <f t="shared" si="172"/>
        <v>1773900</v>
      </c>
    </row>
    <row r="829" spans="1:19">
      <c r="A829" s="99">
        <v>2026</v>
      </c>
      <c r="B829" s="100">
        <v>4</v>
      </c>
      <c r="C829" s="101">
        <v>46139</v>
      </c>
      <c r="D829" s="101" t="str">
        <f t="shared" si="170"/>
        <v>GB000001205Ташкент_Дилнавоз опа</v>
      </c>
      <c r="E829" s="99" t="s">
        <v>220</v>
      </c>
      <c r="F829" s="102" t="s">
        <v>170</v>
      </c>
      <c r="G829" s="102" t="s">
        <v>36</v>
      </c>
      <c r="H829" s="99" t="s">
        <v>19</v>
      </c>
      <c r="I829" s="102" t="s">
        <v>148</v>
      </c>
      <c r="J829" s="102" t="s">
        <v>46</v>
      </c>
      <c r="K829" s="103">
        <v>20</v>
      </c>
      <c r="L829" s="104">
        <v>64700</v>
      </c>
      <c r="M829" s="104">
        <v>1294000</v>
      </c>
      <c r="N829" s="39">
        <f>20000*K829</f>
        <v>400000</v>
      </c>
      <c r="O829" s="107">
        <f>+M829*$O$1</f>
        <v>232920</v>
      </c>
      <c r="P829" s="108">
        <f>+N829+O829</f>
        <v>632920</v>
      </c>
      <c r="Q829" s="39">
        <v>27</v>
      </c>
      <c r="R829" s="39">
        <f t="shared" si="171"/>
        <v>349380</v>
      </c>
      <c r="S829" s="42">
        <f t="shared" si="172"/>
        <v>944620</v>
      </c>
    </row>
    <row r="830" spans="1:19">
      <c r="A830" s="99">
        <v>2026</v>
      </c>
      <c r="B830" s="100">
        <v>4</v>
      </c>
      <c r="C830" s="101">
        <v>46140</v>
      </c>
      <c r="D830" s="101" t="str">
        <f t="shared" si="170"/>
        <v>GB000001222Ташкент_Дилнавоз опа</v>
      </c>
      <c r="E830" s="99" t="s">
        <v>221</v>
      </c>
      <c r="F830" s="102" t="s">
        <v>59</v>
      </c>
      <c r="G830" s="102" t="s">
        <v>36</v>
      </c>
      <c r="H830" s="99" t="s">
        <v>19</v>
      </c>
      <c r="I830" s="102" t="s">
        <v>69</v>
      </c>
      <c r="J830" s="102" t="s">
        <v>41</v>
      </c>
      <c r="K830" s="103">
        <v>30</v>
      </c>
      <c r="L830" s="104">
        <v>90000</v>
      </c>
      <c r="M830" s="104">
        <v>2700000</v>
      </c>
      <c r="N830" s="39">
        <f>+K830*25000</f>
        <v>750000</v>
      </c>
      <c r="O830" s="107">
        <f>+M830*$O$1</f>
        <v>486000</v>
      </c>
      <c r="P830" s="108">
        <f>+N830+O830</f>
        <v>1236000</v>
      </c>
      <c r="Q830" s="39">
        <v>100</v>
      </c>
      <c r="R830" s="39">
        <f t="shared" si="171"/>
        <v>2700000</v>
      </c>
      <c r="S830" s="42">
        <f t="shared" si="172"/>
        <v>0</v>
      </c>
    </row>
    <row r="831" spans="1:19">
      <c r="A831" s="99">
        <v>2026</v>
      </c>
      <c r="B831" s="100">
        <v>4</v>
      </c>
      <c r="C831" s="101">
        <v>46141</v>
      </c>
      <c r="D831" s="101" t="str">
        <f t="shared" si="170"/>
        <v>GB000001237Ташкент_Дилнавоз опа</v>
      </c>
      <c r="E831" s="99" t="s">
        <v>222</v>
      </c>
      <c r="F831" s="102" t="s">
        <v>59</v>
      </c>
      <c r="G831" s="102" t="s">
        <v>36</v>
      </c>
      <c r="H831" s="99" t="s">
        <v>19</v>
      </c>
      <c r="I831" s="102" t="s">
        <v>187</v>
      </c>
      <c r="J831" s="102" t="s">
        <v>46</v>
      </c>
      <c r="K831" s="103">
        <v>40</v>
      </c>
      <c r="L831" s="104">
        <v>64700</v>
      </c>
      <c r="M831" s="104">
        <v>2588000</v>
      </c>
      <c r="N831" s="39">
        <f>20000*K831</f>
        <v>800000</v>
      </c>
      <c r="O831" s="107">
        <f>+M831*$O$1</f>
        <v>465840</v>
      </c>
      <c r="P831" s="108">
        <f>+N831+O831</f>
        <v>1265840</v>
      </c>
      <c r="Q831" s="39">
        <v>28</v>
      </c>
      <c r="R831" s="39">
        <f t="shared" si="171"/>
        <v>724640.00000000012</v>
      </c>
      <c r="S831" s="42">
        <f t="shared" si="172"/>
        <v>1863360</v>
      </c>
    </row>
    <row r="832" spans="1:19">
      <c r="A832" s="99">
        <v>2026</v>
      </c>
      <c r="B832" s="100">
        <v>4</v>
      </c>
      <c r="C832" s="101">
        <v>46141</v>
      </c>
      <c r="D832" s="101" t="str">
        <f t="shared" si="170"/>
        <v>GB000001237Ташкент_Дилнавоз опа</v>
      </c>
      <c r="E832" s="99" t="s">
        <v>222</v>
      </c>
      <c r="F832" s="102" t="s">
        <v>59</v>
      </c>
      <c r="G832" s="102" t="s">
        <v>36</v>
      </c>
      <c r="H832" s="99" t="s">
        <v>19</v>
      </c>
      <c r="I832" s="102" t="s">
        <v>187</v>
      </c>
      <c r="J832" s="102" t="s">
        <v>41</v>
      </c>
      <c r="K832" s="103">
        <v>50</v>
      </c>
      <c r="L832" s="104">
        <v>90000</v>
      </c>
      <c r="M832" s="104">
        <v>4500000</v>
      </c>
      <c r="N832" s="39">
        <f>+K832*25000</f>
        <v>1250000</v>
      </c>
      <c r="O832" s="107">
        <f>+M832*$O$1</f>
        <v>810000</v>
      </c>
      <c r="P832" s="108">
        <f>+N832+O832</f>
        <v>2060000</v>
      </c>
      <c r="Q832" s="39">
        <v>28</v>
      </c>
      <c r="R832" s="39">
        <f t="shared" si="171"/>
        <v>1260000.0000000002</v>
      </c>
      <c r="S832" s="42">
        <f t="shared" si="172"/>
        <v>3240000</v>
      </c>
    </row>
    <row r="833" spans="1:19">
      <c r="A833" s="99">
        <v>2026</v>
      </c>
      <c r="B833" s="100">
        <v>4</v>
      </c>
      <c r="C833" s="101">
        <v>46141</v>
      </c>
      <c r="D833" s="101" t="str">
        <f t="shared" si="170"/>
        <v>GB000001237Ташкент_Дилнавоз опа</v>
      </c>
      <c r="E833" s="99" t="s">
        <v>222</v>
      </c>
      <c r="F833" s="102" t="s">
        <v>59</v>
      </c>
      <c r="G833" s="102" t="s">
        <v>36</v>
      </c>
      <c r="H833" s="99" t="s">
        <v>19</v>
      </c>
      <c r="I833" s="102" t="s">
        <v>187</v>
      </c>
      <c r="J833" s="102" t="s">
        <v>38</v>
      </c>
      <c r="K833" s="103">
        <v>50</v>
      </c>
      <c r="L833" s="104">
        <v>65000</v>
      </c>
      <c r="M833" s="104">
        <v>3250000</v>
      </c>
      <c r="N833" s="39">
        <f>+K833*20000</f>
        <v>1000000</v>
      </c>
      <c r="O833" s="107">
        <f>+M833*$O$1</f>
        <v>585000</v>
      </c>
      <c r="P833" s="108">
        <f>+N833+O833</f>
        <v>1585000</v>
      </c>
      <c r="Q833" s="39">
        <v>28</v>
      </c>
      <c r="R833" s="39">
        <f t="shared" si="171"/>
        <v>910000.00000000012</v>
      </c>
      <c r="S833" s="42">
        <f t="shared" si="172"/>
        <v>2340000</v>
      </c>
    </row>
    <row r="834" spans="1:19">
      <c r="A834" s="99">
        <v>2026</v>
      </c>
      <c r="B834" s="100">
        <v>4</v>
      </c>
      <c r="C834" s="101">
        <v>46141</v>
      </c>
      <c r="D834" s="101" t="str">
        <f t="shared" si="170"/>
        <v>GB000001241Ташкент_Дилнавоз опа</v>
      </c>
      <c r="E834" s="99" t="s">
        <v>223</v>
      </c>
      <c r="F834" s="102" t="s">
        <v>170</v>
      </c>
      <c r="G834" s="102" t="s">
        <v>36</v>
      </c>
      <c r="H834" s="99" t="s">
        <v>19</v>
      </c>
      <c r="I834" s="102" t="s">
        <v>40</v>
      </c>
      <c r="J834" s="102" t="s">
        <v>46</v>
      </c>
      <c r="K834" s="103">
        <v>20</v>
      </c>
      <c r="L834" s="104">
        <v>64700</v>
      </c>
      <c r="M834" s="104">
        <v>1294000</v>
      </c>
      <c r="N834" s="39">
        <f>20000*K834</f>
        <v>400000</v>
      </c>
      <c r="O834" s="107">
        <f>+M834*$O$1</f>
        <v>232920</v>
      </c>
      <c r="P834" s="108">
        <f>+N834+O834</f>
        <v>632920</v>
      </c>
      <c r="Q834" s="39">
        <v>52</v>
      </c>
      <c r="R834" s="39">
        <f t="shared" si="171"/>
        <v>672880</v>
      </c>
      <c r="S834" s="42">
        <f t="shared" si="172"/>
        <v>621120</v>
      </c>
    </row>
    <row r="835" spans="1:19">
      <c r="A835" s="99">
        <v>2026</v>
      </c>
      <c r="B835" s="100">
        <v>4</v>
      </c>
      <c r="C835" s="101">
        <v>46141</v>
      </c>
      <c r="D835" s="101" t="str">
        <f t="shared" si="170"/>
        <v>GB000001241Ташкент_Дилнавоз опа</v>
      </c>
      <c r="E835" s="99" t="s">
        <v>223</v>
      </c>
      <c r="F835" s="102" t="s">
        <v>170</v>
      </c>
      <c r="G835" s="102" t="s">
        <v>36</v>
      </c>
      <c r="H835" s="99" t="s">
        <v>19</v>
      </c>
      <c r="I835" s="102" t="s">
        <v>40</v>
      </c>
      <c r="J835" s="102" t="s">
        <v>41</v>
      </c>
      <c r="K835" s="103">
        <v>20</v>
      </c>
      <c r="L835" s="104">
        <v>90000</v>
      </c>
      <c r="M835" s="104">
        <v>1800000</v>
      </c>
      <c r="N835" s="39">
        <f>+K835*25000</f>
        <v>500000</v>
      </c>
      <c r="O835" s="107">
        <f>+M835*$O$1</f>
        <v>324000</v>
      </c>
      <c r="P835" s="108">
        <f>+N835+O835</f>
        <v>824000</v>
      </c>
      <c r="Q835" s="39">
        <v>52</v>
      </c>
      <c r="R835" s="39">
        <f t="shared" si="171"/>
        <v>936000</v>
      </c>
      <c r="S835" s="42">
        <f t="shared" si="172"/>
        <v>864000</v>
      </c>
    </row>
    <row r="836" spans="1:19">
      <c r="A836" s="99">
        <v>2026</v>
      </c>
      <c r="B836" s="100">
        <v>4</v>
      </c>
      <c r="C836" s="101">
        <v>46142</v>
      </c>
      <c r="D836" s="101" t="str">
        <f t="shared" ref="D836:D899" si="185">+E836&amp;G836</f>
        <v>GB000001257Ташкент_Дилнавоз опа</v>
      </c>
      <c r="E836" s="99" t="s">
        <v>224</v>
      </c>
      <c r="F836" s="102" t="s">
        <v>48</v>
      </c>
      <c r="G836" s="102" t="s">
        <v>36</v>
      </c>
      <c r="H836" s="99" t="s">
        <v>19</v>
      </c>
      <c r="I836" s="102" t="s">
        <v>120</v>
      </c>
      <c r="J836" s="102" t="s">
        <v>38</v>
      </c>
      <c r="K836" s="103">
        <v>20</v>
      </c>
      <c r="L836" s="104">
        <v>65000</v>
      </c>
      <c r="M836" s="104">
        <v>1300000</v>
      </c>
      <c r="N836" s="39">
        <f t="shared" ref="N836:N841" si="186">+K836*20000</f>
        <v>400000</v>
      </c>
      <c r="O836" s="107">
        <f>+M836*$O$1</f>
        <v>234000</v>
      </c>
      <c r="P836" s="108">
        <f>+N836+O836</f>
        <v>634000</v>
      </c>
      <c r="Q836" s="39">
        <v>100</v>
      </c>
      <c r="R836" s="39">
        <f t="shared" ref="R836:R899" si="187">+M836*Q836%</f>
        <v>1300000</v>
      </c>
      <c r="S836" s="42">
        <f t="shared" ref="S836:S899" si="188">M836-R836</f>
        <v>0</v>
      </c>
    </row>
    <row r="837" spans="1:19">
      <c r="A837" s="99">
        <v>2026</v>
      </c>
      <c r="B837" s="100">
        <v>5</v>
      </c>
      <c r="C837" s="101">
        <v>46143</v>
      </c>
      <c r="D837" s="101" t="str">
        <f t="shared" si="185"/>
        <v>GB000001269Ташкент_Дилнавоз опа</v>
      </c>
      <c r="E837" s="99" t="s">
        <v>225</v>
      </c>
      <c r="F837" s="102" t="s">
        <v>170</v>
      </c>
      <c r="G837" s="102" t="s">
        <v>36</v>
      </c>
      <c r="H837" s="99" t="s">
        <v>19</v>
      </c>
      <c r="I837" s="102" t="s">
        <v>226</v>
      </c>
      <c r="J837" s="102" t="s">
        <v>38</v>
      </c>
      <c r="K837" s="103">
        <v>10</v>
      </c>
      <c r="L837" s="104">
        <v>65000</v>
      </c>
      <c r="M837" s="104">
        <v>650000</v>
      </c>
      <c r="N837" s="39">
        <f t="shared" si="186"/>
        <v>200000</v>
      </c>
      <c r="O837" s="107">
        <f>+M837*$O$1</f>
        <v>117000</v>
      </c>
      <c r="P837" s="108">
        <f>+N837+O837</f>
        <v>317000</v>
      </c>
      <c r="Q837" s="39">
        <v>48</v>
      </c>
      <c r="R837" s="39">
        <f t="shared" si="187"/>
        <v>312000</v>
      </c>
      <c r="S837" s="42">
        <f t="shared" si="188"/>
        <v>338000</v>
      </c>
    </row>
    <row r="838" spans="1:19">
      <c r="A838" s="99">
        <v>2026</v>
      </c>
      <c r="B838" s="100">
        <v>5</v>
      </c>
      <c r="C838" s="101">
        <v>46143</v>
      </c>
      <c r="D838" s="101" t="str">
        <f t="shared" si="185"/>
        <v>GB000001272Ташкент_Дилнавоз опа</v>
      </c>
      <c r="E838" s="99" t="s">
        <v>227</v>
      </c>
      <c r="F838" s="102" t="s">
        <v>48</v>
      </c>
      <c r="G838" s="102" t="s">
        <v>36</v>
      </c>
      <c r="H838" s="99" t="s">
        <v>19</v>
      </c>
      <c r="I838" s="102" t="s">
        <v>228</v>
      </c>
      <c r="J838" s="102" t="s">
        <v>38</v>
      </c>
      <c r="K838" s="103">
        <v>20</v>
      </c>
      <c r="L838" s="104">
        <v>65000</v>
      </c>
      <c r="M838" s="104">
        <v>1300000</v>
      </c>
      <c r="N838" s="39">
        <f t="shared" si="186"/>
        <v>400000</v>
      </c>
      <c r="O838" s="107">
        <f>+M838*$O$1</f>
        <v>234000</v>
      </c>
      <c r="P838" s="108">
        <f>+N838+O838</f>
        <v>634000</v>
      </c>
      <c r="Q838" s="39">
        <v>50</v>
      </c>
      <c r="R838" s="39">
        <f t="shared" si="187"/>
        <v>650000</v>
      </c>
      <c r="S838" s="42">
        <f t="shared" si="188"/>
        <v>650000</v>
      </c>
    </row>
    <row r="839" spans="1:19">
      <c r="A839" s="99">
        <v>2026</v>
      </c>
      <c r="B839" s="100">
        <v>5</v>
      </c>
      <c r="C839" s="101">
        <v>46148</v>
      </c>
      <c r="D839" s="101" t="str">
        <f t="shared" si="185"/>
        <v>GB000001303Ташкент_Дилнавоз опа</v>
      </c>
      <c r="E839" s="99" t="s">
        <v>229</v>
      </c>
      <c r="F839" s="102" t="s">
        <v>170</v>
      </c>
      <c r="G839" s="102" t="s">
        <v>36</v>
      </c>
      <c r="H839" s="99" t="s">
        <v>19</v>
      </c>
      <c r="I839" s="102" t="s">
        <v>148</v>
      </c>
      <c r="J839" s="102" t="s">
        <v>38</v>
      </c>
      <c r="K839" s="103">
        <v>25</v>
      </c>
      <c r="L839" s="104">
        <v>65000</v>
      </c>
      <c r="M839" s="104">
        <v>1625000</v>
      </c>
      <c r="N839" s="39">
        <f t="shared" si="186"/>
        <v>500000</v>
      </c>
      <c r="O839" s="107">
        <f>+M839*$O$1</f>
        <v>292500</v>
      </c>
      <c r="P839" s="108">
        <f>+N839+O839</f>
        <v>792500</v>
      </c>
      <c r="Q839" s="39">
        <v>100</v>
      </c>
      <c r="R839" s="39">
        <f t="shared" si="187"/>
        <v>1625000</v>
      </c>
      <c r="S839" s="42">
        <f t="shared" si="188"/>
        <v>0</v>
      </c>
    </row>
    <row r="840" spans="1:19">
      <c r="A840" s="99">
        <v>2026</v>
      </c>
      <c r="B840" s="100">
        <v>5</v>
      </c>
      <c r="C840" s="101">
        <v>46148</v>
      </c>
      <c r="D840" s="101" t="str">
        <f t="shared" si="185"/>
        <v>GB000001304Ташкент_Дилнавоз опа</v>
      </c>
      <c r="E840" s="99" t="s">
        <v>230</v>
      </c>
      <c r="F840" s="102" t="s">
        <v>170</v>
      </c>
      <c r="G840" s="102" t="s">
        <v>36</v>
      </c>
      <c r="H840" s="99" t="s">
        <v>19</v>
      </c>
      <c r="I840" s="102" t="s">
        <v>40</v>
      </c>
      <c r="J840" s="102" t="s">
        <v>38</v>
      </c>
      <c r="K840" s="103">
        <v>20</v>
      </c>
      <c r="L840" s="104">
        <v>65000</v>
      </c>
      <c r="M840" s="104">
        <v>1300000</v>
      </c>
      <c r="N840" s="39">
        <f t="shared" si="186"/>
        <v>400000</v>
      </c>
      <c r="O840" s="107">
        <f>+M840*$O$1</f>
        <v>234000</v>
      </c>
      <c r="P840" s="108">
        <f>+N840+O840</f>
        <v>634000</v>
      </c>
      <c r="Q840" s="39">
        <v>52</v>
      </c>
      <c r="R840" s="39">
        <f t="shared" si="187"/>
        <v>676000</v>
      </c>
      <c r="S840" s="42">
        <f t="shared" si="188"/>
        <v>624000</v>
      </c>
    </row>
    <row r="841" spans="1:19">
      <c r="A841" s="99">
        <v>2026</v>
      </c>
      <c r="B841" s="100">
        <v>5</v>
      </c>
      <c r="C841" s="101">
        <v>46148</v>
      </c>
      <c r="D841" s="101" t="str">
        <f t="shared" si="185"/>
        <v>GB000001306Ташкент_Дилнавоз опа</v>
      </c>
      <c r="E841" s="99" t="s">
        <v>231</v>
      </c>
      <c r="F841" s="102" t="s">
        <v>35</v>
      </c>
      <c r="G841" s="102" t="s">
        <v>36</v>
      </c>
      <c r="H841" s="99" t="s">
        <v>19</v>
      </c>
      <c r="I841" s="102" t="s">
        <v>75</v>
      </c>
      <c r="J841" s="102" t="s">
        <v>38</v>
      </c>
      <c r="K841" s="103">
        <v>40</v>
      </c>
      <c r="L841" s="104">
        <v>65000</v>
      </c>
      <c r="M841" s="104">
        <v>2600000</v>
      </c>
      <c r="N841" s="39">
        <f t="shared" si="186"/>
        <v>800000</v>
      </c>
      <c r="O841" s="107">
        <f>+M841*$O$1</f>
        <v>468000</v>
      </c>
      <c r="P841" s="108">
        <f>+N841+O841</f>
        <v>1268000</v>
      </c>
      <c r="Q841" s="39">
        <v>100</v>
      </c>
      <c r="R841" s="39">
        <f t="shared" si="187"/>
        <v>2600000</v>
      </c>
      <c r="S841" s="42">
        <f t="shared" si="188"/>
        <v>0</v>
      </c>
    </row>
    <row r="842" spans="1:19">
      <c r="A842" s="99">
        <v>2026</v>
      </c>
      <c r="B842" s="100">
        <v>5</v>
      </c>
      <c r="C842" s="101">
        <v>46148</v>
      </c>
      <c r="D842" s="101" t="str">
        <f t="shared" si="185"/>
        <v>GB000001311Ташкент_Дилнавоз опа</v>
      </c>
      <c r="E842" s="99" t="s">
        <v>232</v>
      </c>
      <c r="F842" s="102" t="s">
        <v>48</v>
      </c>
      <c r="G842" s="102" t="s">
        <v>36</v>
      </c>
      <c r="H842" s="99" t="s">
        <v>19</v>
      </c>
      <c r="I842" s="102" t="s">
        <v>233</v>
      </c>
      <c r="J842" s="102" t="s">
        <v>41</v>
      </c>
      <c r="K842" s="103">
        <v>20</v>
      </c>
      <c r="L842" s="104">
        <v>90000</v>
      </c>
      <c r="M842" s="104">
        <v>1800000</v>
      </c>
      <c r="N842" s="39">
        <f>+K842*25000</f>
        <v>500000</v>
      </c>
      <c r="O842" s="107">
        <f>+M842*$O$1</f>
        <v>324000</v>
      </c>
      <c r="P842" s="108">
        <f>+N842+O842</f>
        <v>824000</v>
      </c>
      <c r="Q842" s="39">
        <v>100</v>
      </c>
      <c r="R842" s="39">
        <f t="shared" si="187"/>
        <v>1800000</v>
      </c>
      <c r="S842" s="42">
        <f t="shared" si="188"/>
        <v>0</v>
      </c>
    </row>
    <row r="843" spans="1:19">
      <c r="A843" s="99">
        <v>2026</v>
      </c>
      <c r="B843" s="100">
        <v>5</v>
      </c>
      <c r="C843" s="101">
        <v>46148</v>
      </c>
      <c r="D843" s="101" t="str">
        <f t="shared" si="185"/>
        <v>GB000001311Ташкент_Дилнавоз опа</v>
      </c>
      <c r="E843" s="99" t="s">
        <v>232</v>
      </c>
      <c r="F843" s="102" t="s">
        <v>48</v>
      </c>
      <c r="G843" s="102" t="s">
        <v>36</v>
      </c>
      <c r="H843" s="99" t="s">
        <v>19</v>
      </c>
      <c r="I843" s="102" t="s">
        <v>233</v>
      </c>
      <c r="J843" s="102" t="s">
        <v>38</v>
      </c>
      <c r="K843" s="103">
        <v>10</v>
      </c>
      <c r="L843" s="104">
        <v>65000</v>
      </c>
      <c r="M843" s="104">
        <v>650000</v>
      </c>
      <c r="N843" s="39">
        <f t="shared" ref="N843:N844" si="189">+K843*20000</f>
        <v>200000</v>
      </c>
      <c r="O843" s="107">
        <f>+M843*$O$1</f>
        <v>117000</v>
      </c>
      <c r="P843" s="108">
        <f>+N843+O843</f>
        <v>317000</v>
      </c>
      <c r="Q843" s="39">
        <v>100</v>
      </c>
      <c r="R843" s="39">
        <f t="shared" si="187"/>
        <v>650000</v>
      </c>
      <c r="S843" s="42">
        <f t="shared" si="188"/>
        <v>0</v>
      </c>
    </row>
    <row r="844" spans="1:19">
      <c r="A844" s="99">
        <v>2026</v>
      </c>
      <c r="B844" s="100">
        <v>5</v>
      </c>
      <c r="C844" s="101">
        <v>46148</v>
      </c>
      <c r="D844" s="101" t="str">
        <f t="shared" si="185"/>
        <v>GB000001312Ташкент_Дилнавоз опа</v>
      </c>
      <c r="E844" s="99" t="s">
        <v>234</v>
      </c>
      <c r="F844" s="102" t="s">
        <v>170</v>
      </c>
      <c r="G844" s="102" t="s">
        <v>36</v>
      </c>
      <c r="H844" s="99" t="s">
        <v>19</v>
      </c>
      <c r="I844" s="102" t="s">
        <v>193</v>
      </c>
      <c r="J844" s="102" t="s">
        <v>38</v>
      </c>
      <c r="K844" s="103">
        <v>10</v>
      </c>
      <c r="L844" s="104">
        <v>65000</v>
      </c>
      <c r="M844" s="104">
        <v>650000</v>
      </c>
      <c r="N844" s="39">
        <f t="shared" si="189"/>
        <v>200000</v>
      </c>
      <c r="O844" s="107">
        <f>+M844*$O$1</f>
        <v>117000</v>
      </c>
      <c r="P844" s="108">
        <f>+N844+O844</f>
        <v>317000</v>
      </c>
      <c r="Q844" s="39">
        <v>70</v>
      </c>
      <c r="R844" s="39">
        <f t="shared" si="187"/>
        <v>455000</v>
      </c>
      <c r="S844" s="42">
        <f t="shared" si="188"/>
        <v>195000</v>
      </c>
    </row>
    <row r="845" spans="1:19">
      <c r="A845" s="99">
        <v>2026</v>
      </c>
      <c r="B845" s="100">
        <v>5</v>
      </c>
      <c r="C845" s="101">
        <v>46148</v>
      </c>
      <c r="D845" s="101" t="str">
        <f t="shared" si="185"/>
        <v>GB000001313Шохжахон ипс</v>
      </c>
      <c r="E845" s="99" t="s">
        <v>235</v>
      </c>
      <c r="F845" s="102" t="s">
        <v>78</v>
      </c>
      <c r="G845" s="102" t="s">
        <v>78</v>
      </c>
      <c r="H845" s="99" t="s">
        <v>19</v>
      </c>
      <c r="I845" s="102" t="s">
        <v>79</v>
      </c>
      <c r="J845" s="102" t="s">
        <v>46</v>
      </c>
      <c r="K845" s="103">
        <v>120</v>
      </c>
      <c r="L845" s="104">
        <v>64700</v>
      </c>
      <c r="M845" s="104">
        <v>7764000</v>
      </c>
      <c r="N845" s="39">
        <f>20000*K845</f>
        <v>2400000</v>
      </c>
      <c r="O845" s="107">
        <f>+M845*$O$1</f>
        <v>1397520</v>
      </c>
      <c r="P845" s="108">
        <f>+N845+O845</f>
        <v>3797520</v>
      </c>
      <c r="Q845" s="39">
        <v>44</v>
      </c>
      <c r="R845" s="39">
        <f t="shared" si="187"/>
        <v>3416160</v>
      </c>
      <c r="S845" s="42">
        <f t="shared" si="188"/>
        <v>4347840</v>
      </c>
    </row>
    <row r="846" spans="1:19">
      <c r="A846" s="99">
        <v>2026</v>
      </c>
      <c r="B846" s="100">
        <v>5</v>
      </c>
      <c r="C846" s="101">
        <v>46148</v>
      </c>
      <c r="D846" s="101" t="str">
        <f t="shared" si="185"/>
        <v>GB000001313Шохжахон ипс</v>
      </c>
      <c r="E846" s="99" t="s">
        <v>235</v>
      </c>
      <c r="F846" s="102" t="s">
        <v>78</v>
      </c>
      <c r="G846" s="102" t="s">
        <v>78</v>
      </c>
      <c r="H846" s="99" t="s">
        <v>19</v>
      </c>
      <c r="I846" s="102" t="s">
        <v>79</v>
      </c>
      <c r="J846" s="102" t="s">
        <v>41</v>
      </c>
      <c r="K846" s="103">
        <v>100</v>
      </c>
      <c r="L846" s="104">
        <v>90000</v>
      </c>
      <c r="M846" s="104">
        <v>9000000</v>
      </c>
      <c r="N846" s="39">
        <f>+K846*25000</f>
        <v>2500000</v>
      </c>
      <c r="O846" s="107">
        <f>+M846*$O$1</f>
        <v>1620000</v>
      </c>
      <c r="P846" s="108">
        <f>+N846+O846</f>
        <v>4120000</v>
      </c>
      <c r="Q846" s="39">
        <v>44</v>
      </c>
      <c r="R846" s="39">
        <f t="shared" si="187"/>
        <v>3960000</v>
      </c>
      <c r="S846" s="42">
        <f t="shared" si="188"/>
        <v>5040000</v>
      </c>
    </row>
    <row r="847" spans="1:19">
      <c r="A847" s="99">
        <v>2026</v>
      </c>
      <c r="B847" s="100">
        <v>5</v>
      </c>
      <c r="C847" s="101">
        <v>46148</v>
      </c>
      <c r="D847" s="101" t="str">
        <f t="shared" si="185"/>
        <v>GB000001313Шохжахон ипс</v>
      </c>
      <c r="E847" s="99" t="s">
        <v>235</v>
      </c>
      <c r="F847" s="102" t="s">
        <v>78</v>
      </c>
      <c r="G847" s="102" t="s">
        <v>78</v>
      </c>
      <c r="H847" s="99" t="s">
        <v>19</v>
      </c>
      <c r="I847" s="102" t="s">
        <v>79</v>
      </c>
      <c r="J847" s="102" t="s">
        <v>38</v>
      </c>
      <c r="K847" s="103">
        <v>100</v>
      </c>
      <c r="L847" s="104">
        <v>65000</v>
      </c>
      <c r="M847" s="104">
        <v>6500000</v>
      </c>
      <c r="N847" s="39">
        <f>+K847*20000</f>
        <v>2000000</v>
      </c>
      <c r="O847" s="107">
        <f>+M847*$O$1</f>
        <v>1170000</v>
      </c>
      <c r="P847" s="108">
        <f>+N847+O847</f>
        <v>3170000</v>
      </c>
      <c r="Q847" s="39">
        <v>44</v>
      </c>
      <c r="R847" s="39">
        <f t="shared" si="187"/>
        <v>2860000</v>
      </c>
      <c r="S847" s="42">
        <f t="shared" si="188"/>
        <v>3640000</v>
      </c>
    </row>
    <row r="848" spans="1:19">
      <c r="A848" s="99">
        <v>2026</v>
      </c>
      <c r="B848" s="100">
        <v>5</v>
      </c>
      <c r="C848" s="101">
        <v>46149</v>
      </c>
      <c r="D848" s="101" t="str">
        <f t="shared" si="185"/>
        <v>GB000001323Ташкент_Дилнавоз опа</v>
      </c>
      <c r="E848" s="99" t="s">
        <v>236</v>
      </c>
      <c r="F848" s="102" t="s">
        <v>170</v>
      </c>
      <c r="G848" s="102" t="s">
        <v>36</v>
      </c>
      <c r="H848" s="99" t="s">
        <v>19</v>
      </c>
      <c r="I848" s="102" t="s">
        <v>237</v>
      </c>
      <c r="J848" s="102" t="s">
        <v>46</v>
      </c>
      <c r="K848" s="103">
        <v>25</v>
      </c>
      <c r="L848" s="104">
        <v>64700</v>
      </c>
      <c r="M848" s="104">
        <v>1617500</v>
      </c>
      <c r="N848" s="39">
        <f>20000*K848</f>
        <v>500000</v>
      </c>
      <c r="O848" s="107">
        <f>+M848*$O$1</f>
        <v>291150</v>
      </c>
      <c r="P848" s="108">
        <f>+N848+O848</f>
        <v>791150</v>
      </c>
      <c r="Q848" s="39">
        <v>30</v>
      </c>
      <c r="R848" s="39">
        <f t="shared" si="187"/>
        <v>485250</v>
      </c>
      <c r="S848" s="42">
        <f t="shared" si="188"/>
        <v>1132250</v>
      </c>
    </row>
    <row r="849" spans="1:19">
      <c r="A849" s="99">
        <v>2026</v>
      </c>
      <c r="B849" s="100">
        <v>5</v>
      </c>
      <c r="C849" s="101">
        <v>46149</v>
      </c>
      <c r="D849" s="101" t="str">
        <f t="shared" si="185"/>
        <v>GB000001323Ташкент_Дилнавоз опа</v>
      </c>
      <c r="E849" s="99" t="s">
        <v>236</v>
      </c>
      <c r="F849" s="102" t="s">
        <v>170</v>
      </c>
      <c r="G849" s="102" t="s">
        <v>36</v>
      </c>
      <c r="H849" s="99" t="s">
        <v>19</v>
      </c>
      <c r="I849" s="102" t="s">
        <v>237</v>
      </c>
      <c r="J849" s="102" t="s">
        <v>41</v>
      </c>
      <c r="K849" s="103">
        <v>35</v>
      </c>
      <c r="L849" s="104">
        <v>90000</v>
      </c>
      <c r="M849" s="104">
        <v>3150000</v>
      </c>
      <c r="N849" s="39">
        <f t="shared" ref="N849:N850" si="190">+K849*25000</f>
        <v>875000</v>
      </c>
      <c r="O849" s="107">
        <f>+M849*$O$1</f>
        <v>567000</v>
      </c>
      <c r="P849" s="108">
        <f>+N849+O849</f>
        <v>1442000</v>
      </c>
      <c r="Q849" s="39">
        <v>30</v>
      </c>
      <c r="R849" s="39">
        <f t="shared" si="187"/>
        <v>945000</v>
      </c>
      <c r="S849" s="42">
        <f t="shared" si="188"/>
        <v>2205000</v>
      </c>
    </row>
    <row r="850" spans="1:19">
      <c r="A850" s="99">
        <v>2026</v>
      </c>
      <c r="B850" s="100">
        <v>5</v>
      </c>
      <c r="C850" s="101">
        <v>46154</v>
      </c>
      <c r="D850" s="101" t="str">
        <f t="shared" si="185"/>
        <v>GB000001355Ташкент_Дилнавоз опа</v>
      </c>
      <c r="E850" s="99" t="s">
        <v>238</v>
      </c>
      <c r="F850" s="102" t="s">
        <v>59</v>
      </c>
      <c r="G850" s="102" t="s">
        <v>36</v>
      </c>
      <c r="H850" s="99" t="s">
        <v>19</v>
      </c>
      <c r="I850" s="102" t="s">
        <v>161</v>
      </c>
      <c r="J850" s="102" t="s">
        <v>41</v>
      </c>
      <c r="K850" s="103">
        <v>40</v>
      </c>
      <c r="L850" s="104">
        <v>90000</v>
      </c>
      <c r="M850" s="104">
        <v>3600000</v>
      </c>
      <c r="N850" s="39">
        <f t="shared" si="190"/>
        <v>1000000</v>
      </c>
      <c r="O850" s="107">
        <f>+M850*$O$1</f>
        <v>648000</v>
      </c>
      <c r="P850" s="108">
        <f>+N850+O850</f>
        <v>1648000</v>
      </c>
      <c r="Q850" s="39">
        <v>52</v>
      </c>
      <c r="R850" s="39">
        <f t="shared" si="187"/>
        <v>1872000</v>
      </c>
      <c r="S850" s="42">
        <f t="shared" si="188"/>
        <v>1728000</v>
      </c>
    </row>
    <row r="851" spans="1:19">
      <c r="A851" s="99">
        <v>2026</v>
      </c>
      <c r="B851" s="100">
        <v>5</v>
      </c>
      <c r="C851" s="101">
        <v>46155</v>
      </c>
      <c r="D851" s="101" t="str">
        <f t="shared" si="185"/>
        <v>GB000001365Ташкент_Дилнавоз опа</v>
      </c>
      <c r="E851" s="99" t="s">
        <v>239</v>
      </c>
      <c r="F851" s="102" t="s">
        <v>59</v>
      </c>
      <c r="G851" s="102" t="s">
        <v>36</v>
      </c>
      <c r="H851" s="99" t="s">
        <v>19</v>
      </c>
      <c r="I851" s="102" t="s">
        <v>37</v>
      </c>
      <c r="J851" s="102" t="s">
        <v>46</v>
      </c>
      <c r="K851" s="103">
        <v>50</v>
      </c>
      <c r="L851" s="104">
        <v>64700</v>
      </c>
      <c r="M851" s="104">
        <v>3235000</v>
      </c>
      <c r="N851" s="39">
        <f>20000*K851</f>
        <v>1000000</v>
      </c>
      <c r="O851" s="107">
        <f>+M851*$O$1</f>
        <v>582300</v>
      </c>
      <c r="P851" s="108">
        <f>+N851+O851</f>
        <v>1582300</v>
      </c>
      <c r="Q851" s="39">
        <v>0</v>
      </c>
      <c r="R851" s="39">
        <f t="shared" si="187"/>
        <v>0</v>
      </c>
      <c r="S851" s="42">
        <f t="shared" si="188"/>
        <v>3235000</v>
      </c>
    </row>
    <row r="852" spans="1:19">
      <c r="A852" s="99">
        <v>2026</v>
      </c>
      <c r="B852" s="100">
        <v>5</v>
      </c>
      <c r="C852" s="101">
        <v>46155</v>
      </c>
      <c r="D852" s="101" t="str">
        <f t="shared" si="185"/>
        <v>GB000001369Ташкент_Дилнавоз опа</v>
      </c>
      <c r="E852" s="99" t="s">
        <v>240</v>
      </c>
      <c r="F852" s="102" t="s">
        <v>68</v>
      </c>
      <c r="G852" s="102" t="s">
        <v>36</v>
      </c>
      <c r="H852" s="99" t="s">
        <v>19</v>
      </c>
      <c r="I852" s="102" t="s">
        <v>173</v>
      </c>
      <c r="J852" s="102" t="s">
        <v>41</v>
      </c>
      <c r="K852" s="103">
        <v>10</v>
      </c>
      <c r="L852" s="104">
        <v>90000</v>
      </c>
      <c r="M852" s="104">
        <v>900000</v>
      </c>
      <c r="N852" s="39">
        <f>+K852*25000</f>
        <v>250000</v>
      </c>
      <c r="O852" s="107">
        <f>+M852*$O$1</f>
        <v>162000</v>
      </c>
      <c r="P852" s="108">
        <f>+N852+O852</f>
        <v>412000</v>
      </c>
      <c r="Q852" s="39">
        <v>100</v>
      </c>
      <c r="R852" s="39">
        <f t="shared" si="187"/>
        <v>900000</v>
      </c>
      <c r="S852" s="42">
        <f t="shared" si="188"/>
        <v>0</v>
      </c>
    </row>
    <row r="853" spans="1:19">
      <c r="A853" s="99">
        <v>2026</v>
      </c>
      <c r="B853" s="100">
        <v>5</v>
      </c>
      <c r="C853" s="101">
        <v>46155</v>
      </c>
      <c r="D853" s="101" t="str">
        <f t="shared" si="185"/>
        <v>GB000001369Ташкент_Дилнавоз опа</v>
      </c>
      <c r="E853" s="99" t="s">
        <v>240</v>
      </c>
      <c r="F853" s="102" t="s">
        <v>68</v>
      </c>
      <c r="G853" s="102" t="s">
        <v>36</v>
      </c>
      <c r="H853" s="99" t="s">
        <v>19</v>
      </c>
      <c r="I853" s="102" t="s">
        <v>173</v>
      </c>
      <c r="J853" s="102" t="s">
        <v>38</v>
      </c>
      <c r="K853" s="103">
        <v>10</v>
      </c>
      <c r="L853" s="104">
        <v>65000</v>
      </c>
      <c r="M853" s="104">
        <v>650000</v>
      </c>
      <c r="N853" s="39">
        <f t="shared" ref="N853:N855" si="191">+K853*20000</f>
        <v>200000</v>
      </c>
      <c r="O853" s="107">
        <f>+M853*$O$1</f>
        <v>117000</v>
      </c>
      <c r="P853" s="108">
        <f>+N853+O853</f>
        <v>317000</v>
      </c>
      <c r="Q853" s="39">
        <v>100</v>
      </c>
      <c r="R853" s="39">
        <f t="shared" si="187"/>
        <v>650000</v>
      </c>
      <c r="S853" s="42">
        <f t="shared" si="188"/>
        <v>0</v>
      </c>
    </row>
    <row r="854" spans="1:19">
      <c r="A854" s="99">
        <v>2026</v>
      </c>
      <c r="B854" s="100">
        <v>5</v>
      </c>
      <c r="C854" s="101">
        <v>46155</v>
      </c>
      <c r="D854" s="101" t="str">
        <f t="shared" si="185"/>
        <v>GB000001373Ташкент_Дилнавоз опа</v>
      </c>
      <c r="E854" s="99" t="s">
        <v>241</v>
      </c>
      <c r="F854" s="102" t="s">
        <v>68</v>
      </c>
      <c r="G854" s="102" t="s">
        <v>36</v>
      </c>
      <c r="H854" s="99" t="s">
        <v>19</v>
      </c>
      <c r="I854" s="102" t="s">
        <v>69</v>
      </c>
      <c r="J854" s="102" t="s">
        <v>38</v>
      </c>
      <c r="K854" s="103">
        <v>30</v>
      </c>
      <c r="L854" s="104">
        <v>65000</v>
      </c>
      <c r="M854" s="104">
        <v>1950000</v>
      </c>
      <c r="N854" s="39">
        <f t="shared" si="191"/>
        <v>600000</v>
      </c>
      <c r="O854" s="107">
        <f>+M854*$O$1</f>
        <v>351000</v>
      </c>
      <c r="P854" s="108">
        <f>+N854+O854</f>
        <v>951000</v>
      </c>
      <c r="Q854" s="39">
        <v>100</v>
      </c>
      <c r="R854" s="39">
        <f t="shared" si="187"/>
        <v>1950000</v>
      </c>
      <c r="S854" s="42">
        <f t="shared" si="188"/>
        <v>0</v>
      </c>
    </row>
    <row r="855" spans="1:19">
      <c r="A855" s="99">
        <v>2026</v>
      </c>
      <c r="B855" s="100">
        <v>5</v>
      </c>
      <c r="C855" s="101">
        <v>46155</v>
      </c>
      <c r="D855" s="101" t="str">
        <f t="shared" si="185"/>
        <v>GB000001380Ташкент_Дилнавоз опа</v>
      </c>
      <c r="E855" s="99" t="s">
        <v>242</v>
      </c>
      <c r="F855" s="102" t="s">
        <v>59</v>
      </c>
      <c r="G855" s="102" t="s">
        <v>36</v>
      </c>
      <c r="H855" s="99" t="s">
        <v>19</v>
      </c>
      <c r="I855" s="102" t="s">
        <v>69</v>
      </c>
      <c r="J855" s="102" t="s">
        <v>38</v>
      </c>
      <c r="K855" s="103">
        <v>30</v>
      </c>
      <c r="L855" s="104">
        <v>65000</v>
      </c>
      <c r="M855" s="104">
        <v>1950000</v>
      </c>
      <c r="N855" s="39">
        <f t="shared" si="191"/>
        <v>600000</v>
      </c>
      <c r="O855" s="107">
        <f>+M855*$O$1</f>
        <v>351000</v>
      </c>
      <c r="P855" s="108">
        <f>+N855+O855</f>
        <v>951000</v>
      </c>
      <c r="Q855" s="39">
        <v>100</v>
      </c>
      <c r="R855" s="39">
        <f t="shared" si="187"/>
        <v>1950000</v>
      </c>
      <c r="S855" s="42">
        <f t="shared" si="188"/>
        <v>0</v>
      </c>
    </row>
    <row r="856" spans="1:19">
      <c r="A856" s="99">
        <v>2026</v>
      </c>
      <c r="B856" s="100">
        <v>5</v>
      </c>
      <c r="C856" s="101">
        <v>46155</v>
      </c>
      <c r="D856" s="101" t="str">
        <f t="shared" si="185"/>
        <v>GB000001380Ташкент_Дилнавоз опа</v>
      </c>
      <c r="E856" s="99" t="s">
        <v>242</v>
      </c>
      <c r="F856" s="102" t="s">
        <v>59</v>
      </c>
      <c r="G856" s="102" t="s">
        <v>36</v>
      </c>
      <c r="H856" s="99" t="s">
        <v>19</v>
      </c>
      <c r="I856" s="102" t="s">
        <v>69</v>
      </c>
      <c r="J856" s="102" t="s">
        <v>41</v>
      </c>
      <c r="K856" s="103">
        <v>20</v>
      </c>
      <c r="L856" s="104">
        <v>90000</v>
      </c>
      <c r="M856" s="104">
        <v>1800000</v>
      </c>
      <c r="N856" s="39">
        <f t="shared" ref="N856:N857" si="192">+K856*25000</f>
        <v>500000</v>
      </c>
      <c r="O856" s="107">
        <f>+M856*$O$1</f>
        <v>324000</v>
      </c>
      <c r="P856" s="108">
        <f>+N856+O856</f>
        <v>824000</v>
      </c>
      <c r="Q856" s="39">
        <v>100</v>
      </c>
      <c r="R856" s="39">
        <f t="shared" si="187"/>
        <v>1800000</v>
      </c>
      <c r="S856" s="42">
        <f t="shared" si="188"/>
        <v>0</v>
      </c>
    </row>
    <row r="857" spans="1:19">
      <c r="A857" s="99">
        <v>2026</v>
      </c>
      <c r="B857" s="100">
        <v>5</v>
      </c>
      <c r="C857" s="101">
        <v>46155</v>
      </c>
      <c r="D857" s="101" t="str">
        <f t="shared" si="185"/>
        <v>GB000001380Ташкент_Дилнавоз опа</v>
      </c>
      <c r="E857" s="99" t="s">
        <v>242</v>
      </c>
      <c r="F857" s="102" t="s">
        <v>59</v>
      </c>
      <c r="G857" s="102" t="s">
        <v>36</v>
      </c>
      <c r="H857" s="99" t="s">
        <v>19</v>
      </c>
      <c r="I857" s="102" t="s">
        <v>69</v>
      </c>
      <c r="J857" s="102" t="s">
        <v>41</v>
      </c>
      <c r="K857" s="103">
        <v>20</v>
      </c>
      <c r="L857" s="104">
        <v>90000</v>
      </c>
      <c r="M857" s="104">
        <v>1800000</v>
      </c>
      <c r="N857" s="39">
        <f t="shared" si="192"/>
        <v>500000</v>
      </c>
      <c r="O857" s="107">
        <f>+M857*$O$1</f>
        <v>324000</v>
      </c>
      <c r="P857" s="108">
        <f>+N857+O857</f>
        <v>824000</v>
      </c>
      <c r="Q857" s="39">
        <v>100</v>
      </c>
      <c r="R857" s="39">
        <f t="shared" si="187"/>
        <v>1800000</v>
      </c>
      <c r="S857" s="42">
        <f t="shared" si="188"/>
        <v>0</v>
      </c>
    </row>
    <row r="858" spans="1:19">
      <c r="A858" s="99">
        <v>2026</v>
      </c>
      <c r="B858" s="100">
        <v>5</v>
      </c>
      <c r="C858" s="101">
        <v>46155</v>
      </c>
      <c r="D858" s="101" t="str">
        <f t="shared" si="185"/>
        <v>GB000001384Ташкент_Дилнавоз опа</v>
      </c>
      <c r="E858" s="99" t="s">
        <v>243</v>
      </c>
      <c r="F858" s="102" t="s">
        <v>59</v>
      </c>
      <c r="G858" s="102" t="s">
        <v>36</v>
      </c>
      <c r="H858" s="99" t="s">
        <v>19</v>
      </c>
      <c r="I858" s="102" t="s">
        <v>69</v>
      </c>
      <c r="J858" s="102" t="s">
        <v>46</v>
      </c>
      <c r="K858" s="103">
        <v>30</v>
      </c>
      <c r="L858" s="104">
        <v>64700</v>
      </c>
      <c r="M858" s="104">
        <v>1941000</v>
      </c>
      <c r="N858" s="39">
        <f>20000*K858</f>
        <v>600000</v>
      </c>
      <c r="O858" s="107">
        <f>+M858*$O$1</f>
        <v>349380</v>
      </c>
      <c r="P858" s="108">
        <f>+N858+O858</f>
        <v>949380</v>
      </c>
      <c r="Q858" s="39">
        <v>100</v>
      </c>
      <c r="R858" s="39">
        <f t="shared" si="187"/>
        <v>1941000</v>
      </c>
      <c r="S858" s="42">
        <f t="shared" si="188"/>
        <v>0</v>
      </c>
    </row>
    <row r="859" spans="1:19">
      <c r="A859" s="99">
        <v>2026</v>
      </c>
      <c r="B859" s="100">
        <v>5</v>
      </c>
      <c r="C859" s="101">
        <v>46156</v>
      </c>
      <c r="D859" s="101" t="str">
        <f t="shared" si="185"/>
        <v>GB000001388Ташкент_Дилнавоз опа</v>
      </c>
      <c r="E859" s="99" t="s">
        <v>244</v>
      </c>
      <c r="F859" s="102" t="s">
        <v>48</v>
      </c>
      <c r="G859" s="102" t="s">
        <v>36</v>
      </c>
      <c r="H859" s="99" t="s">
        <v>19</v>
      </c>
      <c r="I859" s="102" t="s">
        <v>120</v>
      </c>
      <c r="J859" s="102" t="s">
        <v>41</v>
      </c>
      <c r="K859" s="103">
        <v>24</v>
      </c>
      <c r="L859" s="104">
        <v>90000</v>
      </c>
      <c r="M859" s="104">
        <v>2160000</v>
      </c>
      <c r="N859" s="39">
        <f>+K859*25000</f>
        <v>600000</v>
      </c>
      <c r="O859" s="107">
        <f>+M859*$O$1</f>
        <v>388800</v>
      </c>
      <c r="P859" s="108">
        <f>+N859+O859</f>
        <v>988800</v>
      </c>
      <c r="Q859" s="39">
        <v>100</v>
      </c>
      <c r="R859" s="39">
        <f t="shared" si="187"/>
        <v>2160000</v>
      </c>
      <c r="S859" s="42">
        <f t="shared" si="188"/>
        <v>0</v>
      </c>
    </row>
    <row r="860" spans="1:19">
      <c r="A860" s="99">
        <v>2026</v>
      </c>
      <c r="B860" s="100">
        <v>5</v>
      </c>
      <c r="C860" s="101">
        <v>46156</v>
      </c>
      <c r="D860" s="101" t="str">
        <f t="shared" si="185"/>
        <v>GB000001388Ташкент_Дилнавоз опа</v>
      </c>
      <c r="E860" s="99" t="s">
        <v>244</v>
      </c>
      <c r="F860" s="102" t="s">
        <v>48</v>
      </c>
      <c r="G860" s="102" t="s">
        <v>36</v>
      </c>
      <c r="H860" s="99" t="s">
        <v>19</v>
      </c>
      <c r="I860" s="102" t="s">
        <v>120</v>
      </c>
      <c r="J860" s="102" t="s">
        <v>38</v>
      </c>
      <c r="K860" s="103">
        <v>15</v>
      </c>
      <c r="L860" s="104">
        <v>65000</v>
      </c>
      <c r="M860" s="104">
        <v>975000</v>
      </c>
      <c r="N860" s="39">
        <f>+K860*20000</f>
        <v>300000</v>
      </c>
      <c r="O860" s="107">
        <f>+M860*$O$1</f>
        <v>175500</v>
      </c>
      <c r="P860" s="108">
        <f>+N860+O860</f>
        <v>475500</v>
      </c>
      <c r="Q860" s="39">
        <v>100</v>
      </c>
      <c r="R860" s="39">
        <f t="shared" si="187"/>
        <v>975000</v>
      </c>
      <c r="S860" s="42">
        <f t="shared" si="188"/>
        <v>0</v>
      </c>
    </row>
    <row r="861" spans="1:19">
      <c r="A861" s="99">
        <v>2026</v>
      </c>
      <c r="B861" s="100">
        <v>5</v>
      </c>
      <c r="C861" s="101">
        <v>46156</v>
      </c>
      <c r="D861" s="101" t="str">
        <f t="shared" si="185"/>
        <v>GB000001391Ташкент_Дилнавоз опа</v>
      </c>
      <c r="E861" s="99" t="s">
        <v>245</v>
      </c>
      <c r="F861" s="102" t="s">
        <v>48</v>
      </c>
      <c r="G861" s="102" t="s">
        <v>36</v>
      </c>
      <c r="H861" s="99" t="s">
        <v>19</v>
      </c>
      <c r="I861" s="102" t="s">
        <v>145</v>
      </c>
      <c r="J861" s="102" t="s">
        <v>41</v>
      </c>
      <c r="K861" s="103">
        <v>15</v>
      </c>
      <c r="L861" s="104">
        <v>90000</v>
      </c>
      <c r="M861" s="104">
        <v>1350000</v>
      </c>
      <c r="N861" s="39">
        <f>+K861*25000</f>
        <v>375000</v>
      </c>
      <c r="O861" s="107">
        <f>+M861*$O$1</f>
        <v>243000</v>
      </c>
      <c r="P861" s="108">
        <f>+N861+O861</f>
        <v>618000</v>
      </c>
      <c r="Q861" s="39">
        <v>52</v>
      </c>
      <c r="R861" s="39">
        <f t="shared" si="187"/>
        <v>702000</v>
      </c>
      <c r="S861" s="42">
        <f t="shared" si="188"/>
        <v>648000</v>
      </c>
    </row>
    <row r="862" spans="1:19">
      <c r="A862" s="99">
        <v>2026</v>
      </c>
      <c r="B862" s="100">
        <v>5</v>
      </c>
      <c r="C862" s="101">
        <v>46156</v>
      </c>
      <c r="D862" s="101" t="str">
        <f t="shared" si="185"/>
        <v>GB000001392Ташкент_Дилнавоз опа</v>
      </c>
      <c r="E862" s="99" t="s">
        <v>246</v>
      </c>
      <c r="F862" s="102" t="s">
        <v>59</v>
      </c>
      <c r="G862" s="102" t="s">
        <v>36</v>
      </c>
      <c r="H862" s="99" t="s">
        <v>19</v>
      </c>
      <c r="I862" s="102" t="s">
        <v>66</v>
      </c>
      <c r="J862" s="102" t="s">
        <v>38</v>
      </c>
      <c r="K862" s="103">
        <v>20</v>
      </c>
      <c r="L862" s="104">
        <v>65000</v>
      </c>
      <c r="M862" s="104">
        <v>1300000</v>
      </c>
      <c r="N862" s="39">
        <f>+K862*20000</f>
        <v>400000</v>
      </c>
      <c r="O862" s="107">
        <f>+M862*$O$1</f>
        <v>234000</v>
      </c>
      <c r="P862" s="108">
        <f>+N862+O862</f>
        <v>634000</v>
      </c>
      <c r="Q862" s="39">
        <v>100</v>
      </c>
      <c r="R862" s="39">
        <f t="shared" si="187"/>
        <v>1300000</v>
      </c>
      <c r="S862" s="42">
        <f t="shared" si="188"/>
        <v>0</v>
      </c>
    </row>
    <row r="863" spans="1:19">
      <c r="A863" s="99">
        <v>2026</v>
      </c>
      <c r="B863" s="100">
        <v>5</v>
      </c>
      <c r="C863" s="101">
        <v>46156</v>
      </c>
      <c r="D863" s="101" t="str">
        <f t="shared" si="185"/>
        <v>GB000001395Ташкент_Дилнавоз опа</v>
      </c>
      <c r="E863" s="99" t="s">
        <v>247</v>
      </c>
      <c r="F863" s="102" t="s">
        <v>59</v>
      </c>
      <c r="G863" s="102" t="s">
        <v>36</v>
      </c>
      <c r="H863" s="99" t="s">
        <v>19</v>
      </c>
      <c r="I863" s="102" t="s">
        <v>187</v>
      </c>
      <c r="J863" s="102" t="s">
        <v>41</v>
      </c>
      <c r="K863" s="103">
        <v>100</v>
      </c>
      <c r="L863" s="104">
        <v>90000</v>
      </c>
      <c r="M863" s="104">
        <v>9000000</v>
      </c>
      <c r="N863" s="39">
        <f t="shared" ref="N863:N867" si="193">+K863*25000</f>
        <v>2500000</v>
      </c>
      <c r="O863" s="107">
        <f>+M863*$O$1</f>
        <v>1620000</v>
      </c>
      <c r="P863" s="108">
        <f>+N863+O863</f>
        <v>4120000</v>
      </c>
      <c r="Q863" s="39">
        <v>25</v>
      </c>
      <c r="R863" s="39">
        <f t="shared" si="187"/>
        <v>2250000</v>
      </c>
      <c r="S863" s="42">
        <f t="shared" si="188"/>
        <v>6750000</v>
      </c>
    </row>
    <row r="864" spans="1:19">
      <c r="A864" s="99">
        <v>2026</v>
      </c>
      <c r="B864" s="100">
        <v>5</v>
      </c>
      <c r="C864" s="101">
        <v>46157</v>
      </c>
      <c r="D864" s="101" t="str">
        <f t="shared" si="185"/>
        <v>GB000001406Ташкент_Дилнавоз опа</v>
      </c>
      <c r="E864" s="99" t="s">
        <v>248</v>
      </c>
      <c r="F864" s="102" t="s">
        <v>48</v>
      </c>
      <c r="G864" s="102" t="s">
        <v>36</v>
      </c>
      <c r="H864" s="99" t="s">
        <v>19</v>
      </c>
      <c r="I864" s="102" t="s">
        <v>197</v>
      </c>
      <c r="J864" s="102" t="s">
        <v>41</v>
      </c>
      <c r="K864" s="103">
        <v>20</v>
      </c>
      <c r="L864" s="104">
        <v>90000</v>
      </c>
      <c r="M864" s="104">
        <v>1800000</v>
      </c>
      <c r="N864" s="39">
        <f t="shared" si="193"/>
        <v>500000</v>
      </c>
      <c r="O864" s="107">
        <f>+M864*$O$1</f>
        <v>324000</v>
      </c>
      <c r="P864" s="108">
        <f>+N864+O864</f>
        <v>824000</v>
      </c>
      <c r="Q864" s="39">
        <v>52</v>
      </c>
      <c r="R864" s="39">
        <f t="shared" si="187"/>
        <v>936000</v>
      </c>
      <c r="S864" s="42">
        <f t="shared" si="188"/>
        <v>864000</v>
      </c>
    </row>
    <row r="865" spans="1:19">
      <c r="A865" s="99">
        <v>2026</v>
      </c>
      <c r="B865" s="100">
        <v>5</v>
      </c>
      <c r="C865" s="101">
        <v>46157</v>
      </c>
      <c r="D865" s="101" t="str">
        <f t="shared" si="185"/>
        <v>GB000001412Ташкент_Дилнавоз опа</v>
      </c>
      <c r="E865" s="99" t="s">
        <v>249</v>
      </c>
      <c r="F865" s="102" t="s">
        <v>59</v>
      </c>
      <c r="G865" s="102" t="s">
        <v>36</v>
      </c>
      <c r="H865" s="99" t="s">
        <v>19</v>
      </c>
      <c r="I865" s="102" t="s">
        <v>97</v>
      </c>
      <c r="J865" s="102" t="s">
        <v>41</v>
      </c>
      <c r="K865" s="103">
        <v>20</v>
      </c>
      <c r="L865" s="104">
        <v>90000</v>
      </c>
      <c r="M865" s="104">
        <v>1800000</v>
      </c>
      <c r="N865" s="39">
        <f t="shared" si="193"/>
        <v>500000</v>
      </c>
      <c r="O865" s="107">
        <f>+M865*$O$1</f>
        <v>324000</v>
      </c>
      <c r="P865" s="108">
        <f>+N865+O865</f>
        <v>824000</v>
      </c>
      <c r="Q865" s="39">
        <v>35</v>
      </c>
      <c r="R865" s="39">
        <f t="shared" si="187"/>
        <v>630000</v>
      </c>
      <c r="S865" s="42">
        <f t="shared" si="188"/>
        <v>1170000</v>
      </c>
    </row>
    <row r="866" spans="1:19">
      <c r="A866" s="99">
        <v>2026</v>
      </c>
      <c r="B866" s="100">
        <v>5</v>
      </c>
      <c r="C866" s="101">
        <v>46157</v>
      </c>
      <c r="D866" s="101" t="str">
        <f t="shared" si="185"/>
        <v>GB000001413Ташкент_Дилнавоз опа</v>
      </c>
      <c r="E866" s="99" t="s">
        <v>250</v>
      </c>
      <c r="F866" s="102" t="s">
        <v>170</v>
      </c>
      <c r="G866" s="102" t="s">
        <v>36</v>
      </c>
      <c r="H866" s="99" t="s">
        <v>19</v>
      </c>
      <c r="I866" s="102" t="s">
        <v>73</v>
      </c>
      <c r="J866" s="102" t="s">
        <v>41</v>
      </c>
      <c r="K866" s="103">
        <v>1</v>
      </c>
      <c r="L866" s="104">
        <v>90000</v>
      </c>
      <c r="M866" s="104">
        <v>90000</v>
      </c>
      <c r="N866" s="39">
        <f t="shared" si="193"/>
        <v>25000</v>
      </c>
      <c r="O866" s="107">
        <f>+M866*$O$1</f>
        <v>16200</v>
      </c>
      <c r="P866" s="108">
        <f>+N866+O866</f>
        <v>41200</v>
      </c>
      <c r="Q866" s="39">
        <v>100</v>
      </c>
      <c r="R866" s="39">
        <f t="shared" si="187"/>
        <v>90000</v>
      </c>
      <c r="S866" s="42">
        <f t="shared" si="188"/>
        <v>0</v>
      </c>
    </row>
    <row r="867" spans="1:19">
      <c r="A867" s="99">
        <v>2026</v>
      </c>
      <c r="B867" s="100">
        <v>5</v>
      </c>
      <c r="C867" s="101">
        <v>46157</v>
      </c>
      <c r="D867" s="101" t="str">
        <f t="shared" si="185"/>
        <v>GB000001413Ташкент_Дилнавоз опа</v>
      </c>
      <c r="E867" s="99" t="s">
        <v>250</v>
      </c>
      <c r="F867" s="102" t="s">
        <v>170</v>
      </c>
      <c r="G867" s="102" t="s">
        <v>36</v>
      </c>
      <c r="H867" s="99" t="s">
        <v>19</v>
      </c>
      <c r="I867" s="102" t="s">
        <v>73</v>
      </c>
      <c r="J867" s="102" t="s">
        <v>41</v>
      </c>
      <c r="K867" s="103">
        <v>29</v>
      </c>
      <c r="L867" s="104">
        <v>90000</v>
      </c>
      <c r="M867" s="104">
        <v>2610000</v>
      </c>
      <c r="N867" s="39">
        <f t="shared" si="193"/>
        <v>725000</v>
      </c>
      <c r="O867" s="107">
        <f>+M867*$O$1</f>
        <v>469800</v>
      </c>
      <c r="P867" s="108">
        <f>+N867+O867</f>
        <v>1194800</v>
      </c>
      <c r="Q867" s="39">
        <v>100</v>
      </c>
      <c r="R867" s="39">
        <f t="shared" si="187"/>
        <v>2610000</v>
      </c>
      <c r="S867" s="42">
        <f t="shared" si="188"/>
        <v>0</v>
      </c>
    </row>
    <row r="868" spans="1:19">
      <c r="A868" s="99">
        <v>2025</v>
      </c>
      <c r="B868" s="100">
        <v>10</v>
      </c>
      <c r="C868" s="101">
        <v>45933</v>
      </c>
      <c r="D868" s="101" t="str">
        <f t="shared" si="185"/>
        <v>RMF00004990Самарканд_Хуршед ака</v>
      </c>
      <c r="E868" s="99" t="s">
        <v>1301</v>
      </c>
      <c r="F868" s="102" t="s">
        <v>1302</v>
      </c>
      <c r="G868" s="102" t="s">
        <v>272</v>
      </c>
      <c r="H868" s="99" t="s">
        <v>1303</v>
      </c>
      <c r="I868" s="102" t="s">
        <v>1304</v>
      </c>
      <c r="J868" s="102" t="s">
        <v>21</v>
      </c>
      <c r="K868" s="103">
        <v>100</v>
      </c>
      <c r="L868" s="104">
        <v>40621</v>
      </c>
      <c r="M868" s="104">
        <v>4062100</v>
      </c>
      <c r="N868" s="39">
        <v>1362000</v>
      </c>
      <c r="O868" s="39"/>
      <c r="P868" s="108">
        <f>+N868+O868</f>
        <v>1362000</v>
      </c>
      <c r="Q868" s="39">
        <v>100</v>
      </c>
      <c r="R868" s="39">
        <f t="shared" si="187"/>
        <v>4062100</v>
      </c>
      <c r="S868" s="42">
        <f t="shared" si="188"/>
        <v>0</v>
      </c>
    </row>
    <row r="869" spans="1:19">
      <c r="A869" s="99">
        <v>2025</v>
      </c>
      <c r="B869" s="100">
        <v>10</v>
      </c>
      <c r="C869" s="101">
        <v>45933</v>
      </c>
      <c r="D869" s="101" t="str">
        <f t="shared" si="185"/>
        <v>RMF00004995Самарканд_Хуршед ака</v>
      </c>
      <c r="E869" s="99" t="s">
        <v>1305</v>
      </c>
      <c r="F869" s="102" t="s">
        <v>1302</v>
      </c>
      <c r="G869" s="102" t="s">
        <v>272</v>
      </c>
      <c r="H869" s="99" t="s">
        <v>1303</v>
      </c>
      <c r="I869" s="102" t="s">
        <v>1306</v>
      </c>
      <c r="J869" s="102" t="s">
        <v>21</v>
      </c>
      <c r="K869" s="103">
        <v>30</v>
      </c>
      <c r="L869" s="104">
        <v>40621</v>
      </c>
      <c r="M869" s="104">
        <v>1218630</v>
      </c>
      <c r="N869" s="39">
        <v>929000</v>
      </c>
      <c r="O869" s="39"/>
      <c r="P869" s="108">
        <f>+N869+O869</f>
        <v>929000</v>
      </c>
      <c r="Q869" s="39">
        <v>100</v>
      </c>
      <c r="R869" s="39">
        <f t="shared" si="187"/>
        <v>1218630</v>
      </c>
      <c r="S869" s="42">
        <f t="shared" si="188"/>
        <v>0</v>
      </c>
    </row>
    <row r="870" spans="1:19">
      <c r="A870" s="99">
        <v>2025</v>
      </c>
      <c r="B870" s="100">
        <v>10</v>
      </c>
      <c r="C870" s="101">
        <v>45939</v>
      </c>
      <c r="D870" s="101" t="str">
        <f t="shared" si="185"/>
        <v>RMF00005090Хоразм_Улугбек ака</v>
      </c>
      <c r="E870" s="99" t="s">
        <v>1307</v>
      </c>
      <c r="F870" s="102" t="s">
        <v>863</v>
      </c>
      <c r="G870" s="102" t="s">
        <v>864</v>
      </c>
      <c r="H870" s="99" t="s">
        <v>1303</v>
      </c>
      <c r="I870" s="102" t="s">
        <v>865</v>
      </c>
      <c r="J870" s="102" t="s">
        <v>38</v>
      </c>
      <c r="K870" s="103">
        <v>100</v>
      </c>
      <c r="L870" s="104">
        <v>52500</v>
      </c>
      <c r="M870" s="104">
        <v>5250000</v>
      </c>
      <c r="N870" s="39">
        <v>447000</v>
      </c>
      <c r="O870" s="39"/>
      <c r="P870" s="108">
        <f>+N870+O870</f>
        <v>447000</v>
      </c>
      <c r="Q870" s="39">
        <v>100</v>
      </c>
      <c r="R870" s="39">
        <f t="shared" si="187"/>
        <v>5250000</v>
      </c>
      <c r="S870" s="42">
        <f t="shared" si="188"/>
        <v>0</v>
      </c>
    </row>
    <row r="871" spans="1:19">
      <c r="A871" s="99">
        <v>2025</v>
      </c>
      <c r="B871" s="100">
        <v>10</v>
      </c>
      <c r="C871" s="101">
        <v>45939</v>
      </c>
      <c r="D871" s="101" t="str">
        <f t="shared" si="185"/>
        <v>RMF00005090Хоразм_Улугбек ака</v>
      </c>
      <c r="E871" s="99" t="s">
        <v>1307</v>
      </c>
      <c r="F871" s="102" t="s">
        <v>863</v>
      </c>
      <c r="G871" s="102" t="s">
        <v>864</v>
      </c>
      <c r="H871" s="99" t="s">
        <v>1303</v>
      </c>
      <c r="I871" s="102" t="s">
        <v>865</v>
      </c>
      <c r="J871" s="102" t="s">
        <v>41</v>
      </c>
      <c r="K871" s="103">
        <v>100</v>
      </c>
      <c r="L871" s="104">
        <v>67600</v>
      </c>
      <c r="M871" s="104">
        <v>6760000</v>
      </c>
      <c r="N871" s="39">
        <v>658000</v>
      </c>
      <c r="O871" s="39"/>
      <c r="P871" s="108">
        <f>+N871+O871</f>
        <v>658000</v>
      </c>
      <c r="Q871" s="39">
        <v>100</v>
      </c>
      <c r="R871" s="39">
        <f t="shared" si="187"/>
        <v>6760000</v>
      </c>
      <c r="S871" s="42">
        <f t="shared" si="188"/>
        <v>0</v>
      </c>
    </row>
    <row r="872" spans="1:19">
      <c r="A872" s="99">
        <v>2025</v>
      </c>
      <c r="B872" s="100">
        <v>10</v>
      </c>
      <c r="C872" s="101">
        <v>45939</v>
      </c>
      <c r="D872" s="101" t="str">
        <f t="shared" si="185"/>
        <v>RMF00005100Фаргона_Умар ака Сух</v>
      </c>
      <c r="E872" s="99" t="s">
        <v>1308</v>
      </c>
      <c r="F872" s="102" t="s">
        <v>1271</v>
      </c>
      <c r="G872" s="102" t="s">
        <v>1272</v>
      </c>
      <c r="H872" s="99" t="s">
        <v>1303</v>
      </c>
      <c r="I872" s="102" t="s">
        <v>1309</v>
      </c>
      <c r="J872" s="102" t="s">
        <v>38</v>
      </c>
      <c r="K872" s="103">
        <v>10</v>
      </c>
      <c r="L872" s="104">
        <v>52500</v>
      </c>
      <c r="M872" s="104">
        <v>525000</v>
      </c>
      <c r="N872" s="39">
        <v>64000</v>
      </c>
      <c r="O872" s="39"/>
      <c r="P872" s="108">
        <f>+N872+O872</f>
        <v>64000</v>
      </c>
      <c r="Q872" s="39">
        <v>100</v>
      </c>
      <c r="R872" s="39">
        <f t="shared" si="187"/>
        <v>525000</v>
      </c>
      <c r="S872" s="42">
        <f t="shared" si="188"/>
        <v>0</v>
      </c>
    </row>
    <row r="873" spans="1:19">
      <c r="A873" s="99">
        <v>2025</v>
      </c>
      <c r="B873" s="100">
        <v>10</v>
      </c>
      <c r="C873" s="101">
        <v>45939</v>
      </c>
      <c r="D873" s="101" t="str">
        <f t="shared" si="185"/>
        <v>RMF00005100Фаргона_Умар ака Сух</v>
      </c>
      <c r="E873" s="99" t="s">
        <v>1308</v>
      </c>
      <c r="F873" s="102" t="s">
        <v>1271</v>
      </c>
      <c r="G873" s="102" t="s">
        <v>1272</v>
      </c>
      <c r="H873" s="99" t="s">
        <v>1303</v>
      </c>
      <c r="I873" s="102" t="s">
        <v>1309</v>
      </c>
      <c r="J873" s="102" t="s">
        <v>41</v>
      </c>
      <c r="K873" s="103">
        <v>30</v>
      </c>
      <c r="L873" s="104">
        <v>67600</v>
      </c>
      <c r="M873" s="104">
        <v>2028000</v>
      </c>
      <c r="N873" s="39">
        <v>267000</v>
      </c>
      <c r="O873" s="39"/>
      <c r="P873" s="108">
        <f>+N873+O873</f>
        <v>267000</v>
      </c>
      <c r="Q873" s="39">
        <v>100</v>
      </c>
      <c r="R873" s="39">
        <f t="shared" si="187"/>
        <v>2028000</v>
      </c>
      <c r="S873" s="42">
        <f t="shared" si="188"/>
        <v>0</v>
      </c>
    </row>
    <row r="874" spans="1:19">
      <c r="A874" s="99">
        <v>2025</v>
      </c>
      <c r="B874" s="100">
        <v>10</v>
      </c>
      <c r="C874" s="101">
        <v>45940</v>
      </c>
      <c r="D874" s="101" t="str">
        <f t="shared" si="185"/>
        <v>RMF00005113Сирдарё_Фотима опа</v>
      </c>
      <c r="E874" s="99" t="s">
        <v>1310</v>
      </c>
      <c r="F874" s="102" t="s">
        <v>284</v>
      </c>
      <c r="G874" s="102" t="s">
        <v>281</v>
      </c>
      <c r="H874" s="99" t="s">
        <v>1303</v>
      </c>
      <c r="I874" s="102" t="s">
        <v>1311</v>
      </c>
      <c r="J874" s="102" t="s">
        <v>38</v>
      </c>
      <c r="K874" s="103">
        <v>30</v>
      </c>
      <c r="L874" s="104">
        <v>52500</v>
      </c>
      <c r="M874" s="104">
        <v>1575000</v>
      </c>
      <c r="N874" s="39">
        <v>337000</v>
      </c>
      <c r="O874" s="39"/>
      <c r="P874" s="108">
        <f>+N874+O874</f>
        <v>337000</v>
      </c>
      <c r="Q874" s="39">
        <v>100</v>
      </c>
      <c r="R874" s="39">
        <f t="shared" si="187"/>
        <v>1575000</v>
      </c>
      <c r="S874" s="42">
        <f t="shared" si="188"/>
        <v>0</v>
      </c>
    </row>
    <row r="875" spans="1:19">
      <c r="A875" s="99">
        <v>2025</v>
      </c>
      <c r="B875" s="100">
        <v>10</v>
      </c>
      <c r="C875" s="101">
        <v>45945</v>
      </c>
      <c r="D875" s="101" t="str">
        <f t="shared" si="185"/>
        <v>RMF00005164Сирдарё_Фотима опа</v>
      </c>
      <c r="E875" s="99" t="s">
        <v>1312</v>
      </c>
      <c r="F875" s="102" t="s">
        <v>280</v>
      </c>
      <c r="G875" s="102" t="s">
        <v>281</v>
      </c>
      <c r="H875" s="99" t="s">
        <v>1303</v>
      </c>
      <c r="I875" s="102" t="s">
        <v>25</v>
      </c>
      <c r="J875" s="102" t="s">
        <v>466</v>
      </c>
      <c r="K875" s="103">
        <v>30</v>
      </c>
      <c r="L875" s="104">
        <v>120000</v>
      </c>
      <c r="M875" s="104">
        <v>3600000</v>
      </c>
      <c r="N875" s="39">
        <v>1037000</v>
      </c>
      <c r="O875" s="39"/>
      <c r="P875" s="108">
        <f>+N875+O875</f>
        <v>1037000</v>
      </c>
      <c r="Q875" s="39">
        <v>100</v>
      </c>
      <c r="R875" s="39">
        <f t="shared" si="187"/>
        <v>3600000</v>
      </c>
      <c r="S875" s="42">
        <f t="shared" si="188"/>
        <v>0</v>
      </c>
    </row>
    <row r="876" spans="1:19">
      <c r="A876" s="99">
        <v>2025</v>
      </c>
      <c r="B876" s="100">
        <v>10</v>
      </c>
      <c r="C876" s="101">
        <v>45950</v>
      </c>
      <c r="D876" s="101" t="str">
        <f t="shared" si="185"/>
        <v>RMF00005213Самарканд_Хуршед ака</v>
      </c>
      <c r="E876" s="99" t="s">
        <v>1315</v>
      </c>
      <c r="F876" s="102" t="s">
        <v>1302</v>
      </c>
      <c r="G876" s="102" t="s">
        <v>272</v>
      </c>
      <c r="H876" s="99" t="s">
        <v>1303</v>
      </c>
      <c r="I876" s="102" t="s">
        <v>1316</v>
      </c>
      <c r="J876" s="102" t="s">
        <v>21</v>
      </c>
      <c r="K876" s="103">
        <v>200</v>
      </c>
      <c r="L876" s="104">
        <v>40621</v>
      </c>
      <c r="M876" s="104">
        <v>8124200</v>
      </c>
      <c r="N876" s="39">
        <v>2572000</v>
      </c>
      <c r="O876" s="39"/>
      <c r="P876" s="108">
        <f>+N876+O876</f>
        <v>2572000</v>
      </c>
      <c r="Q876" s="39">
        <v>100</v>
      </c>
      <c r="R876" s="39">
        <f t="shared" si="187"/>
        <v>8124200</v>
      </c>
      <c r="S876" s="42">
        <f t="shared" si="188"/>
        <v>0</v>
      </c>
    </row>
    <row r="877" spans="1:19">
      <c r="A877" s="99">
        <v>2025</v>
      </c>
      <c r="B877" s="100">
        <v>10</v>
      </c>
      <c r="C877" s="101">
        <v>45950</v>
      </c>
      <c r="D877" s="101" t="str">
        <f t="shared" si="185"/>
        <v>RMF00005223Нукус_Мехрибон опа</v>
      </c>
      <c r="E877" s="99" t="s">
        <v>1317</v>
      </c>
      <c r="F877" s="102" t="s">
        <v>1318</v>
      </c>
      <c r="G877" s="102" t="s">
        <v>1319</v>
      </c>
      <c r="H877" s="99" t="s">
        <v>1303</v>
      </c>
      <c r="I877" s="102" t="s">
        <v>1320</v>
      </c>
      <c r="J877" s="102" t="s">
        <v>41</v>
      </c>
      <c r="K877" s="103">
        <v>100</v>
      </c>
      <c r="L877" s="104">
        <v>90000</v>
      </c>
      <c r="M877" s="104">
        <v>9000000</v>
      </c>
      <c r="N877" s="39">
        <v>2331000</v>
      </c>
      <c r="O877" s="39"/>
      <c r="P877" s="108">
        <f>+N877+O877</f>
        <v>2331000</v>
      </c>
      <c r="Q877" s="39">
        <v>100</v>
      </c>
      <c r="R877" s="39">
        <f t="shared" si="187"/>
        <v>9000000</v>
      </c>
      <c r="S877" s="42">
        <f t="shared" si="188"/>
        <v>0</v>
      </c>
    </row>
    <row r="878" spans="1:19">
      <c r="A878" s="99">
        <v>2025</v>
      </c>
      <c r="B878" s="100">
        <v>10</v>
      </c>
      <c r="C878" s="101">
        <v>45951</v>
      </c>
      <c r="D878" s="101" t="str">
        <f t="shared" si="185"/>
        <v>RMF00005226Сирдарё_Фотима опа</v>
      </c>
      <c r="E878" s="99" t="s">
        <v>1321</v>
      </c>
      <c r="F878" s="102" t="s">
        <v>284</v>
      </c>
      <c r="G878" s="102" t="s">
        <v>281</v>
      </c>
      <c r="H878" s="99" t="s">
        <v>1303</v>
      </c>
      <c r="I878" s="102" t="s">
        <v>20</v>
      </c>
      <c r="J878" s="102" t="s">
        <v>466</v>
      </c>
      <c r="K878" s="103">
        <v>20</v>
      </c>
      <c r="L878" s="104">
        <v>120000</v>
      </c>
      <c r="M878" s="104">
        <v>2400000</v>
      </c>
      <c r="N878" s="39">
        <v>267000</v>
      </c>
      <c r="O878" s="39"/>
      <c r="P878" s="108">
        <f>+N878+O878</f>
        <v>267000</v>
      </c>
      <c r="Q878" s="39">
        <v>100</v>
      </c>
      <c r="R878" s="39">
        <f t="shared" si="187"/>
        <v>2400000</v>
      </c>
      <c r="S878" s="42">
        <f t="shared" si="188"/>
        <v>0</v>
      </c>
    </row>
    <row r="879" spans="1:19">
      <c r="A879" s="99">
        <v>2025</v>
      </c>
      <c r="B879" s="100">
        <v>10</v>
      </c>
      <c r="C879" s="101">
        <v>45951</v>
      </c>
      <c r="D879" s="101" t="str">
        <f t="shared" si="185"/>
        <v>RMF00005240Самарканд_Хуршед ака</v>
      </c>
      <c r="E879" s="99" t="s">
        <v>1322</v>
      </c>
      <c r="F879" s="102" t="s">
        <v>1302</v>
      </c>
      <c r="G879" s="102" t="s">
        <v>272</v>
      </c>
      <c r="H879" s="99" t="s">
        <v>1303</v>
      </c>
      <c r="I879" s="102" t="s">
        <v>1323</v>
      </c>
      <c r="J879" s="102" t="s">
        <v>21</v>
      </c>
      <c r="K879" s="103">
        <v>50</v>
      </c>
      <c r="L879" s="104">
        <v>40621</v>
      </c>
      <c r="M879" s="104">
        <v>2031050</v>
      </c>
      <c r="N879" s="39">
        <v>676000</v>
      </c>
      <c r="O879" s="39"/>
      <c r="P879" s="108">
        <f>+N879+O879</f>
        <v>676000</v>
      </c>
      <c r="Q879" s="39">
        <v>100</v>
      </c>
      <c r="R879" s="39">
        <f t="shared" si="187"/>
        <v>2031050</v>
      </c>
      <c r="S879" s="42">
        <f t="shared" si="188"/>
        <v>0</v>
      </c>
    </row>
    <row r="880" spans="1:19">
      <c r="A880" s="99">
        <v>2025</v>
      </c>
      <c r="B880" s="100">
        <v>10</v>
      </c>
      <c r="C880" s="101">
        <v>45952</v>
      </c>
      <c r="D880" s="101" t="str">
        <f t="shared" si="185"/>
        <v>RMF00005245Самарканд_Хуршед ака</v>
      </c>
      <c r="E880" s="99" t="s">
        <v>1324</v>
      </c>
      <c r="F880" s="102" t="s">
        <v>1302</v>
      </c>
      <c r="G880" s="102" t="s">
        <v>272</v>
      </c>
      <c r="H880" s="99" t="s">
        <v>1303</v>
      </c>
      <c r="I880" s="102" t="s">
        <v>1325</v>
      </c>
      <c r="J880" s="102" t="s">
        <v>21</v>
      </c>
      <c r="K880" s="103">
        <v>50</v>
      </c>
      <c r="L880" s="104">
        <v>40621</v>
      </c>
      <c r="M880" s="104">
        <v>2031050</v>
      </c>
      <c r="N880" s="39">
        <v>344000</v>
      </c>
      <c r="O880" s="39"/>
      <c r="P880" s="108">
        <f>+N880+O880</f>
        <v>344000</v>
      </c>
      <c r="Q880" s="39">
        <v>100</v>
      </c>
      <c r="R880" s="39">
        <f t="shared" si="187"/>
        <v>2031050</v>
      </c>
      <c r="S880" s="42">
        <f t="shared" si="188"/>
        <v>0</v>
      </c>
    </row>
    <row r="881" spans="1:19">
      <c r="A881" s="99">
        <v>2025</v>
      </c>
      <c r="B881" s="100">
        <v>10</v>
      </c>
      <c r="C881" s="101">
        <v>45952</v>
      </c>
      <c r="D881" s="101" t="str">
        <f t="shared" si="185"/>
        <v>RMF00005259Самарканд_Хуршед ака</v>
      </c>
      <c r="E881" s="99" t="s">
        <v>1326</v>
      </c>
      <c r="F881" s="102" t="s">
        <v>1302</v>
      </c>
      <c r="G881" s="102" t="s">
        <v>272</v>
      </c>
      <c r="H881" s="99" t="s">
        <v>1303</v>
      </c>
      <c r="I881" s="102" t="s">
        <v>1304</v>
      </c>
      <c r="J881" s="102" t="s">
        <v>21</v>
      </c>
      <c r="K881" s="103">
        <v>70</v>
      </c>
      <c r="L881" s="104">
        <v>40621</v>
      </c>
      <c r="M881" s="104">
        <v>2843470</v>
      </c>
      <c r="N881" s="39">
        <v>2168000</v>
      </c>
      <c r="O881" s="39"/>
      <c r="P881" s="108">
        <f>+N881+O881</f>
        <v>2168000</v>
      </c>
      <c r="Q881" s="39">
        <v>100</v>
      </c>
      <c r="R881" s="39">
        <f t="shared" si="187"/>
        <v>2843470</v>
      </c>
      <c r="S881" s="42">
        <f t="shared" si="188"/>
        <v>0</v>
      </c>
    </row>
    <row r="882" spans="1:19">
      <c r="A882" s="99">
        <v>2025</v>
      </c>
      <c r="B882" s="100">
        <v>10</v>
      </c>
      <c r="C882" s="101">
        <v>45952</v>
      </c>
      <c r="D882" s="101" t="str">
        <f t="shared" si="185"/>
        <v>RMF00005263Самарканд_Хуршед ака</v>
      </c>
      <c r="E882" s="99" t="s">
        <v>1327</v>
      </c>
      <c r="F882" s="102" t="s">
        <v>1302</v>
      </c>
      <c r="G882" s="102" t="s">
        <v>272</v>
      </c>
      <c r="H882" s="99" t="s">
        <v>1303</v>
      </c>
      <c r="I882" s="102" t="s">
        <v>1304</v>
      </c>
      <c r="J882" s="102" t="s">
        <v>21</v>
      </c>
      <c r="K882" s="103">
        <v>30</v>
      </c>
      <c r="L882" s="104">
        <v>40621</v>
      </c>
      <c r="M882" s="104">
        <v>1218630</v>
      </c>
      <c r="N882" s="39">
        <v>928000</v>
      </c>
      <c r="O882" s="39"/>
      <c r="P882" s="108">
        <f>+N882+O882</f>
        <v>928000</v>
      </c>
      <c r="Q882" s="39">
        <v>100</v>
      </c>
      <c r="R882" s="39">
        <f t="shared" si="187"/>
        <v>1218630</v>
      </c>
      <c r="S882" s="42">
        <f t="shared" si="188"/>
        <v>0</v>
      </c>
    </row>
    <row r="883" spans="1:19">
      <c r="A883" s="99">
        <v>2025</v>
      </c>
      <c r="B883" s="100">
        <v>10</v>
      </c>
      <c r="C883" s="101">
        <v>45952</v>
      </c>
      <c r="D883" s="101" t="str">
        <f t="shared" si="185"/>
        <v>RMF00005269Самарканд_Хуршед ака</v>
      </c>
      <c r="E883" s="99" t="s">
        <v>1329</v>
      </c>
      <c r="F883" s="102" t="s">
        <v>1302</v>
      </c>
      <c r="G883" s="102" t="s">
        <v>272</v>
      </c>
      <c r="H883" s="99" t="s">
        <v>1303</v>
      </c>
      <c r="I883" s="102" t="s">
        <v>1330</v>
      </c>
      <c r="J883" s="102" t="s">
        <v>21</v>
      </c>
      <c r="K883" s="103">
        <v>100</v>
      </c>
      <c r="L883" s="104">
        <v>40621</v>
      </c>
      <c r="M883" s="104">
        <v>4062100</v>
      </c>
      <c r="N883" s="39">
        <v>1618000</v>
      </c>
      <c r="O883" s="39"/>
      <c r="P883" s="108">
        <f>+N883+O883</f>
        <v>1618000</v>
      </c>
      <c r="Q883" s="39">
        <v>100</v>
      </c>
      <c r="R883" s="39">
        <f t="shared" si="187"/>
        <v>4062100</v>
      </c>
      <c r="S883" s="42">
        <f t="shared" si="188"/>
        <v>0</v>
      </c>
    </row>
    <row r="884" spans="1:19">
      <c r="A884" s="99">
        <v>2025</v>
      </c>
      <c r="B884" s="100">
        <v>10</v>
      </c>
      <c r="C884" s="101">
        <v>45953</v>
      </c>
      <c r="D884" s="101" t="str">
        <f t="shared" si="185"/>
        <v>RMF00005276Сирдарё_Фотима опа</v>
      </c>
      <c r="E884" s="99" t="s">
        <v>1331</v>
      </c>
      <c r="F884" s="102" t="s">
        <v>280</v>
      </c>
      <c r="G884" s="102" t="s">
        <v>281</v>
      </c>
      <c r="H884" s="99" t="s">
        <v>1303</v>
      </c>
      <c r="I884" s="102" t="s">
        <v>20</v>
      </c>
      <c r="J884" s="102" t="s">
        <v>41</v>
      </c>
      <c r="K884" s="103">
        <v>20</v>
      </c>
      <c r="L884" s="104">
        <v>90000</v>
      </c>
      <c r="M884" s="104">
        <v>1800000</v>
      </c>
      <c r="N884" s="39">
        <v>246000</v>
      </c>
      <c r="O884" s="39"/>
      <c r="P884" s="108">
        <f>+N884+O884</f>
        <v>246000</v>
      </c>
      <c r="Q884" s="39">
        <v>100</v>
      </c>
      <c r="R884" s="39">
        <f t="shared" si="187"/>
        <v>1800000</v>
      </c>
      <c r="S884" s="42">
        <f t="shared" si="188"/>
        <v>0</v>
      </c>
    </row>
    <row r="885" spans="1:19">
      <c r="A885" s="99">
        <v>2025</v>
      </c>
      <c r="B885" s="100">
        <v>10</v>
      </c>
      <c r="C885" s="101">
        <v>45953</v>
      </c>
      <c r="D885" s="101" t="str">
        <f t="shared" si="185"/>
        <v>RMF00005276Сирдарё_Фотима опа</v>
      </c>
      <c r="E885" s="99" t="s">
        <v>1331</v>
      </c>
      <c r="F885" s="102" t="s">
        <v>280</v>
      </c>
      <c r="G885" s="102" t="s">
        <v>281</v>
      </c>
      <c r="H885" s="99" t="s">
        <v>1303</v>
      </c>
      <c r="I885" s="102" t="s">
        <v>20</v>
      </c>
      <c r="J885" s="102" t="s">
        <v>38</v>
      </c>
      <c r="K885" s="103">
        <v>20</v>
      </c>
      <c r="L885" s="104">
        <v>65000</v>
      </c>
      <c r="M885" s="104">
        <v>1300000</v>
      </c>
      <c r="N885" s="39">
        <v>175000</v>
      </c>
      <c r="O885" s="39"/>
      <c r="P885" s="108">
        <f>+N885+O885</f>
        <v>175000</v>
      </c>
      <c r="Q885" s="39">
        <v>100</v>
      </c>
      <c r="R885" s="39">
        <f t="shared" si="187"/>
        <v>1300000</v>
      </c>
      <c r="S885" s="42">
        <f t="shared" si="188"/>
        <v>0</v>
      </c>
    </row>
    <row r="886" spans="1:19">
      <c r="A886" s="99">
        <v>2025</v>
      </c>
      <c r="B886" s="100">
        <v>10</v>
      </c>
      <c r="C886" s="101">
        <v>45953</v>
      </c>
      <c r="D886" s="101" t="str">
        <f t="shared" si="185"/>
        <v>RMF00005277Самарканд_Хуршед ака</v>
      </c>
      <c r="E886" s="99" t="s">
        <v>1332</v>
      </c>
      <c r="F886" s="102" t="s">
        <v>1302</v>
      </c>
      <c r="G886" s="102" t="s">
        <v>272</v>
      </c>
      <c r="H886" s="99" t="s">
        <v>1303</v>
      </c>
      <c r="I886" s="102" t="s">
        <v>417</v>
      </c>
      <c r="J886" s="102" t="s">
        <v>41</v>
      </c>
      <c r="K886" s="103">
        <v>100</v>
      </c>
      <c r="L886" s="104">
        <v>90000</v>
      </c>
      <c r="M886" s="104">
        <v>9000000</v>
      </c>
      <c r="N886" s="39">
        <v>2333000</v>
      </c>
      <c r="O886" s="39"/>
      <c r="P886" s="108">
        <f>+N886+O886</f>
        <v>2333000</v>
      </c>
      <c r="Q886" s="39">
        <v>100</v>
      </c>
      <c r="R886" s="39">
        <f t="shared" si="187"/>
        <v>9000000</v>
      </c>
      <c r="S886" s="42">
        <f t="shared" si="188"/>
        <v>0</v>
      </c>
    </row>
    <row r="887" spans="1:19">
      <c r="A887" s="99">
        <v>2025</v>
      </c>
      <c r="B887" s="100">
        <v>10</v>
      </c>
      <c r="C887" s="101">
        <v>45953</v>
      </c>
      <c r="D887" s="101" t="str">
        <f t="shared" si="185"/>
        <v>RMF00005283Сирдарё_Фотима опа</v>
      </c>
      <c r="E887" s="99" t="s">
        <v>1333</v>
      </c>
      <c r="F887" s="102" t="s">
        <v>280</v>
      </c>
      <c r="G887" s="102" t="s">
        <v>281</v>
      </c>
      <c r="H887" s="99" t="s">
        <v>1303</v>
      </c>
      <c r="I887" s="102" t="s">
        <v>23</v>
      </c>
      <c r="J887" s="102" t="s">
        <v>41</v>
      </c>
      <c r="K887" s="103">
        <v>20</v>
      </c>
      <c r="L887" s="104">
        <v>90000</v>
      </c>
      <c r="M887" s="104">
        <v>1800000</v>
      </c>
      <c r="N887" s="39">
        <v>1060000</v>
      </c>
      <c r="O887" s="39"/>
      <c r="P887" s="108">
        <f>+N887+O887</f>
        <v>1060000</v>
      </c>
      <c r="Q887" s="39">
        <v>100</v>
      </c>
      <c r="R887" s="39">
        <f t="shared" si="187"/>
        <v>1800000</v>
      </c>
      <c r="S887" s="42">
        <f t="shared" si="188"/>
        <v>0</v>
      </c>
    </row>
    <row r="888" spans="1:19">
      <c r="A888" s="99">
        <v>2025</v>
      </c>
      <c r="B888" s="100">
        <v>10</v>
      </c>
      <c r="C888" s="101">
        <v>45953</v>
      </c>
      <c r="D888" s="101" t="str">
        <f t="shared" si="185"/>
        <v>RMF00005286Сирдарё_Фотима опа</v>
      </c>
      <c r="E888" s="99" t="s">
        <v>1334</v>
      </c>
      <c r="F888" s="102" t="s">
        <v>280</v>
      </c>
      <c r="G888" s="102" t="s">
        <v>281</v>
      </c>
      <c r="H888" s="99" t="s">
        <v>1303</v>
      </c>
      <c r="I888" s="102" t="s">
        <v>1335</v>
      </c>
      <c r="J888" s="102" t="s">
        <v>466</v>
      </c>
      <c r="K888" s="103">
        <v>10</v>
      </c>
      <c r="L888" s="104">
        <v>120000</v>
      </c>
      <c r="M888" s="104">
        <v>1200000</v>
      </c>
      <c r="N888" s="39">
        <v>518000</v>
      </c>
      <c r="O888" s="39"/>
      <c r="P888" s="108">
        <f>+N888+O888</f>
        <v>518000</v>
      </c>
      <c r="Q888" s="39">
        <v>100</v>
      </c>
      <c r="R888" s="39">
        <f t="shared" si="187"/>
        <v>1200000</v>
      </c>
      <c r="S888" s="42">
        <f t="shared" si="188"/>
        <v>0</v>
      </c>
    </row>
    <row r="889" spans="1:19">
      <c r="A889" s="99">
        <v>2025</v>
      </c>
      <c r="B889" s="100">
        <v>10</v>
      </c>
      <c r="C889" s="101">
        <v>45954</v>
      </c>
      <c r="D889" s="101" t="str">
        <f t="shared" si="185"/>
        <v>RMF00005313Нукус_Мехрибон опа</v>
      </c>
      <c r="E889" s="99" t="s">
        <v>1336</v>
      </c>
      <c r="F889" s="102" t="s">
        <v>1318</v>
      </c>
      <c r="G889" s="102" t="s">
        <v>1319</v>
      </c>
      <c r="H889" s="99" t="s">
        <v>1303</v>
      </c>
      <c r="I889" s="102" t="s">
        <v>1337</v>
      </c>
      <c r="J889" s="102" t="s">
        <v>38</v>
      </c>
      <c r="K889" s="103">
        <v>50</v>
      </c>
      <c r="L889" s="104">
        <v>65000</v>
      </c>
      <c r="M889" s="104">
        <v>3250000</v>
      </c>
      <c r="N889" s="39">
        <v>1237000</v>
      </c>
      <c r="O889" s="39"/>
      <c r="P889" s="108">
        <f>+N889+O889</f>
        <v>1237000</v>
      </c>
      <c r="Q889" s="39">
        <v>100</v>
      </c>
      <c r="R889" s="39">
        <f t="shared" si="187"/>
        <v>3250000</v>
      </c>
      <c r="S889" s="42">
        <f t="shared" si="188"/>
        <v>0</v>
      </c>
    </row>
    <row r="890" spans="1:19">
      <c r="A890" s="99">
        <v>2025</v>
      </c>
      <c r="B890" s="100">
        <v>10</v>
      </c>
      <c r="C890" s="101">
        <v>45954</v>
      </c>
      <c r="D890" s="101" t="str">
        <f t="shared" si="185"/>
        <v>RMF00005313Нукус_Мехрибон опа</v>
      </c>
      <c r="E890" s="99" t="s">
        <v>1336</v>
      </c>
      <c r="F890" s="102" t="s">
        <v>1318</v>
      </c>
      <c r="G890" s="102" t="s">
        <v>1319</v>
      </c>
      <c r="H890" s="99" t="s">
        <v>1303</v>
      </c>
      <c r="I890" s="102" t="s">
        <v>1337</v>
      </c>
      <c r="J890" s="102" t="s">
        <v>41</v>
      </c>
      <c r="K890" s="103">
        <v>200</v>
      </c>
      <c r="L890" s="104">
        <v>90000</v>
      </c>
      <c r="M890" s="104">
        <v>18000000</v>
      </c>
      <c r="N890" s="39">
        <v>7459000</v>
      </c>
      <c r="O890" s="39"/>
      <c r="P890" s="108">
        <f>+N890+O890</f>
        <v>7459000</v>
      </c>
      <c r="Q890" s="39">
        <v>100</v>
      </c>
      <c r="R890" s="39">
        <f t="shared" si="187"/>
        <v>18000000</v>
      </c>
      <c r="S890" s="42">
        <f t="shared" si="188"/>
        <v>0</v>
      </c>
    </row>
    <row r="891" spans="1:19">
      <c r="A891" s="99">
        <v>2025</v>
      </c>
      <c r="B891" s="100">
        <v>10</v>
      </c>
      <c r="C891" s="101">
        <v>45954</v>
      </c>
      <c r="D891" s="101" t="str">
        <f t="shared" si="185"/>
        <v>RMF00005319Нукус_Мехрибон опа</v>
      </c>
      <c r="E891" s="99" t="s">
        <v>1338</v>
      </c>
      <c r="F891" s="102" t="s">
        <v>1318</v>
      </c>
      <c r="G891" s="102" t="s">
        <v>1319</v>
      </c>
      <c r="H891" s="99" t="s">
        <v>1303</v>
      </c>
      <c r="I891" s="102" t="s">
        <v>1339</v>
      </c>
      <c r="J891" s="102" t="s">
        <v>41</v>
      </c>
      <c r="K891" s="103">
        <v>50</v>
      </c>
      <c r="L891" s="104">
        <v>90000</v>
      </c>
      <c r="M891" s="104">
        <v>4500000</v>
      </c>
      <c r="N891" s="39">
        <v>1218000</v>
      </c>
      <c r="O891" s="39"/>
      <c r="P891" s="108">
        <f>+N891+O891</f>
        <v>1218000</v>
      </c>
      <c r="Q891" s="39">
        <v>100</v>
      </c>
      <c r="R891" s="39">
        <f t="shared" si="187"/>
        <v>4500000</v>
      </c>
      <c r="S891" s="42">
        <f t="shared" si="188"/>
        <v>0</v>
      </c>
    </row>
    <row r="892" spans="1:19">
      <c r="A892" s="99">
        <v>2025</v>
      </c>
      <c r="B892" s="100">
        <v>10</v>
      </c>
      <c r="C892" s="101">
        <v>45957</v>
      </c>
      <c r="D892" s="101" t="str">
        <f t="shared" si="185"/>
        <v>RMF00005333Навоий_Гулшода опа</v>
      </c>
      <c r="E892" s="99" t="s">
        <v>1340</v>
      </c>
      <c r="F892" s="102" t="s">
        <v>287</v>
      </c>
      <c r="G892" s="102" t="s">
        <v>288</v>
      </c>
      <c r="H892" s="99" t="s">
        <v>1303</v>
      </c>
      <c r="I892" s="102" t="s">
        <v>62</v>
      </c>
      <c r="J892" s="102" t="s">
        <v>38</v>
      </c>
      <c r="K892" s="103">
        <v>100</v>
      </c>
      <c r="L892" s="104">
        <v>65000</v>
      </c>
      <c r="M892" s="104">
        <v>6500000</v>
      </c>
      <c r="N892" s="39">
        <v>3797000</v>
      </c>
      <c r="O892" s="39"/>
      <c r="P892" s="108">
        <f>+N892+O892</f>
        <v>3797000</v>
      </c>
      <c r="Q892" s="39">
        <v>100</v>
      </c>
      <c r="R892" s="39">
        <f t="shared" si="187"/>
        <v>6500000</v>
      </c>
      <c r="S892" s="42">
        <f t="shared" si="188"/>
        <v>0</v>
      </c>
    </row>
    <row r="893" spans="1:19">
      <c r="A893" s="99">
        <v>2025</v>
      </c>
      <c r="B893" s="100">
        <v>10</v>
      </c>
      <c r="C893" s="101">
        <v>45958</v>
      </c>
      <c r="D893" s="101" t="str">
        <f t="shared" si="185"/>
        <v>RMF00005357Навоий_Гулшода опа</v>
      </c>
      <c r="E893" s="99" t="s">
        <v>1341</v>
      </c>
      <c r="F893" s="102" t="s">
        <v>287</v>
      </c>
      <c r="G893" s="102" t="s">
        <v>288</v>
      </c>
      <c r="H893" s="99" t="s">
        <v>1303</v>
      </c>
      <c r="I893" s="102" t="s">
        <v>117</v>
      </c>
      <c r="J893" s="102" t="s">
        <v>466</v>
      </c>
      <c r="K893" s="103">
        <v>40</v>
      </c>
      <c r="L893" s="104">
        <v>120000</v>
      </c>
      <c r="M893" s="104">
        <v>4800000</v>
      </c>
      <c r="N893" s="39">
        <v>3142000</v>
      </c>
      <c r="O893" s="39"/>
      <c r="P893" s="108">
        <f>+N893+O893</f>
        <v>3142000</v>
      </c>
      <c r="Q893" s="39">
        <v>100</v>
      </c>
      <c r="R893" s="39">
        <f t="shared" si="187"/>
        <v>4800000</v>
      </c>
      <c r="S893" s="42">
        <f t="shared" si="188"/>
        <v>0</v>
      </c>
    </row>
    <row r="894" spans="1:19">
      <c r="A894" s="99">
        <v>2025</v>
      </c>
      <c r="B894" s="100">
        <v>10</v>
      </c>
      <c r="C894" s="101">
        <v>45959</v>
      </c>
      <c r="D894" s="101" t="str">
        <f t="shared" si="185"/>
        <v>RMF00005384Фаргона_Умар ака Сух</v>
      </c>
      <c r="E894" s="99" t="s">
        <v>1345</v>
      </c>
      <c r="F894" s="102" t="s">
        <v>1271</v>
      </c>
      <c r="G894" s="102" t="s">
        <v>1272</v>
      </c>
      <c r="H894" s="99" t="s">
        <v>1303</v>
      </c>
      <c r="I894" s="102" t="s">
        <v>1298</v>
      </c>
      <c r="J894" s="102" t="s">
        <v>41</v>
      </c>
      <c r="K894" s="103">
        <v>15</v>
      </c>
      <c r="L894" s="104">
        <v>90000</v>
      </c>
      <c r="M894" s="104">
        <v>1350000</v>
      </c>
      <c r="N894" s="39">
        <v>238000</v>
      </c>
      <c r="O894" s="39"/>
      <c r="P894" s="108">
        <f>+N894+O894</f>
        <v>238000</v>
      </c>
      <c r="Q894" s="39">
        <v>100</v>
      </c>
      <c r="R894" s="39">
        <f t="shared" si="187"/>
        <v>1350000</v>
      </c>
      <c r="S894" s="42">
        <f t="shared" si="188"/>
        <v>0</v>
      </c>
    </row>
    <row r="895" spans="1:19">
      <c r="A895" s="99">
        <v>2025</v>
      </c>
      <c r="B895" s="100">
        <v>10</v>
      </c>
      <c r="C895" s="101">
        <v>45960</v>
      </c>
      <c r="D895" s="101" t="str">
        <f t="shared" si="185"/>
        <v>RMF00005397Бухоро_Нафосат опа</v>
      </c>
      <c r="E895" s="99" t="s">
        <v>1348</v>
      </c>
      <c r="F895" s="102" t="s">
        <v>893</v>
      </c>
      <c r="G895" s="102" t="s">
        <v>894</v>
      </c>
      <c r="H895" s="99" t="s">
        <v>1303</v>
      </c>
      <c r="I895" s="102" t="s">
        <v>1349</v>
      </c>
      <c r="J895" s="102" t="s">
        <v>41</v>
      </c>
      <c r="K895" s="103">
        <v>40</v>
      </c>
      <c r="L895" s="104">
        <v>90000</v>
      </c>
      <c r="M895" s="104">
        <v>3600000</v>
      </c>
      <c r="N895" s="39">
        <v>2289000</v>
      </c>
      <c r="O895" s="39"/>
      <c r="P895" s="108">
        <f>+N895+O895</f>
        <v>2289000</v>
      </c>
      <c r="Q895" s="39">
        <v>100</v>
      </c>
      <c r="R895" s="39">
        <f t="shared" si="187"/>
        <v>3600000</v>
      </c>
      <c r="S895" s="42">
        <f t="shared" si="188"/>
        <v>0</v>
      </c>
    </row>
    <row r="896" spans="1:19">
      <c r="A896" s="99">
        <v>2025</v>
      </c>
      <c r="B896" s="100">
        <v>10</v>
      </c>
      <c r="C896" s="101">
        <v>45960</v>
      </c>
      <c r="D896" s="101" t="str">
        <f t="shared" si="185"/>
        <v>RMF00005399Бухоро_Нафосат опа</v>
      </c>
      <c r="E896" s="99" t="s">
        <v>1350</v>
      </c>
      <c r="F896" s="102" t="s">
        <v>893</v>
      </c>
      <c r="G896" s="102" t="s">
        <v>894</v>
      </c>
      <c r="H896" s="99" t="s">
        <v>1303</v>
      </c>
      <c r="I896" s="102" t="s">
        <v>1351</v>
      </c>
      <c r="J896" s="102" t="s">
        <v>41</v>
      </c>
      <c r="K896" s="103">
        <v>40</v>
      </c>
      <c r="L896" s="104">
        <v>90000</v>
      </c>
      <c r="M896" s="104">
        <v>3600000</v>
      </c>
      <c r="N896" s="39">
        <v>2289000</v>
      </c>
      <c r="O896" s="39"/>
      <c r="P896" s="108">
        <f>+N896+O896</f>
        <v>2289000</v>
      </c>
      <c r="Q896" s="39">
        <v>100</v>
      </c>
      <c r="R896" s="39">
        <f t="shared" si="187"/>
        <v>3600000</v>
      </c>
      <c r="S896" s="42">
        <f t="shared" si="188"/>
        <v>0</v>
      </c>
    </row>
    <row r="897" spans="1:19">
      <c r="A897" s="99">
        <v>2025</v>
      </c>
      <c r="B897" s="100">
        <v>10</v>
      </c>
      <c r="C897" s="101">
        <v>45960</v>
      </c>
      <c r="D897" s="101" t="str">
        <f t="shared" si="185"/>
        <v>RMF00005407Бухоро_Нафосат опа</v>
      </c>
      <c r="E897" s="99" t="s">
        <v>1352</v>
      </c>
      <c r="F897" s="102" t="s">
        <v>893</v>
      </c>
      <c r="G897" s="102" t="s">
        <v>894</v>
      </c>
      <c r="H897" s="99" t="s">
        <v>1303</v>
      </c>
      <c r="I897" s="102" t="s">
        <v>1353</v>
      </c>
      <c r="J897" s="102" t="s">
        <v>41</v>
      </c>
      <c r="K897" s="103">
        <v>300</v>
      </c>
      <c r="L897" s="104">
        <v>90000</v>
      </c>
      <c r="M897" s="104">
        <v>27000000</v>
      </c>
      <c r="N897" s="39">
        <v>3656000</v>
      </c>
      <c r="O897" s="39"/>
      <c r="P897" s="108">
        <f>+N897+O897</f>
        <v>3656000</v>
      </c>
      <c r="Q897" s="39">
        <v>100</v>
      </c>
      <c r="R897" s="39">
        <f t="shared" si="187"/>
        <v>27000000</v>
      </c>
      <c r="S897" s="42">
        <f t="shared" si="188"/>
        <v>0</v>
      </c>
    </row>
    <row r="898" spans="1:19">
      <c r="A898" s="99">
        <v>2025</v>
      </c>
      <c r="B898" s="100">
        <v>11</v>
      </c>
      <c r="C898" s="101">
        <v>45964</v>
      </c>
      <c r="D898" s="101" t="str">
        <f t="shared" si="185"/>
        <v>RMF00005433Самарканд_Хуршед ака</v>
      </c>
      <c r="E898" s="99" t="s">
        <v>1354</v>
      </c>
      <c r="F898" s="102" t="s">
        <v>1302</v>
      </c>
      <c r="G898" s="102" t="s">
        <v>272</v>
      </c>
      <c r="H898" s="99" t="s">
        <v>1303</v>
      </c>
      <c r="I898" s="102" t="s">
        <v>1316</v>
      </c>
      <c r="J898" s="102" t="s">
        <v>21</v>
      </c>
      <c r="K898" s="103">
        <v>240</v>
      </c>
      <c r="L898" s="104">
        <v>40621</v>
      </c>
      <c r="M898" s="104">
        <v>9749040</v>
      </c>
      <c r="N898" s="39">
        <v>2421000</v>
      </c>
      <c r="O898" s="39"/>
      <c r="P898" s="108">
        <f>+N898+O898</f>
        <v>2421000</v>
      </c>
      <c r="Q898" s="39">
        <v>100</v>
      </c>
      <c r="R898" s="39">
        <f t="shared" si="187"/>
        <v>9749040</v>
      </c>
      <c r="S898" s="42">
        <f t="shared" si="188"/>
        <v>0</v>
      </c>
    </row>
    <row r="899" spans="1:19">
      <c r="A899" s="99">
        <v>2025</v>
      </c>
      <c r="B899" s="100">
        <v>11</v>
      </c>
      <c r="C899" s="101">
        <v>45965</v>
      </c>
      <c r="D899" s="101" t="str">
        <f t="shared" si="185"/>
        <v>RMF00005462Фаргона_Умар ака Сух</v>
      </c>
      <c r="E899" s="99" t="s">
        <v>1355</v>
      </c>
      <c r="F899" s="102" t="s">
        <v>1271</v>
      </c>
      <c r="G899" s="102" t="s">
        <v>1272</v>
      </c>
      <c r="H899" s="99" t="s">
        <v>1303</v>
      </c>
      <c r="I899" s="102" t="s">
        <v>1356</v>
      </c>
      <c r="J899" s="102" t="s">
        <v>41</v>
      </c>
      <c r="K899" s="103">
        <v>10</v>
      </c>
      <c r="L899" s="104">
        <v>90000</v>
      </c>
      <c r="M899" s="104">
        <v>900000</v>
      </c>
      <c r="N899" s="39">
        <v>339000</v>
      </c>
      <c r="O899" s="39"/>
      <c r="P899" s="108">
        <f>+N899+O899</f>
        <v>339000</v>
      </c>
      <c r="Q899" s="39">
        <v>100</v>
      </c>
      <c r="R899" s="39">
        <f t="shared" si="187"/>
        <v>900000</v>
      </c>
      <c r="S899" s="42">
        <f t="shared" si="188"/>
        <v>0</v>
      </c>
    </row>
    <row r="900" spans="1:19">
      <c r="A900" s="99">
        <v>2025</v>
      </c>
      <c r="B900" s="100">
        <v>11</v>
      </c>
      <c r="C900" s="101">
        <v>45967</v>
      </c>
      <c r="D900" s="101" t="str">
        <f t="shared" ref="D900:D963" si="194">+E900&amp;G900</f>
        <v>RMF00005500Кукон_Бахромжон ака</v>
      </c>
      <c r="E900" s="99" t="s">
        <v>1357</v>
      </c>
      <c r="F900" s="102" t="s">
        <v>1358</v>
      </c>
      <c r="G900" s="102" t="s">
        <v>1359</v>
      </c>
      <c r="H900" s="99" t="s">
        <v>1303</v>
      </c>
      <c r="I900" s="102" t="s">
        <v>1360</v>
      </c>
      <c r="J900" s="102" t="s">
        <v>466</v>
      </c>
      <c r="K900" s="103">
        <v>10</v>
      </c>
      <c r="L900" s="104">
        <v>120000</v>
      </c>
      <c r="M900" s="104">
        <v>1200000</v>
      </c>
      <c r="N900" s="39">
        <v>786000</v>
      </c>
      <c r="O900" s="39"/>
      <c r="P900" s="108">
        <f>+N900+O900</f>
        <v>786000</v>
      </c>
      <c r="Q900" s="39">
        <v>100</v>
      </c>
      <c r="R900" s="39">
        <f t="shared" ref="R900:R963" si="195">+M900*Q900%</f>
        <v>1200000</v>
      </c>
      <c r="S900" s="42">
        <f t="shared" ref="S900:S963" si="196">M900-R900</f>
        <v>0</v>
      </c>
    </row>
    <row r="901" spans="1:19">
      <c r="A901" s="99">
        <v>2025</v>
      </c>
      <c r="B901" s="100">
        <v>11</v>
      </c>
      <c r="C901" s="101">
        <v>45967</v>
      </c>
      <c r="D901" s="101" t="str">
        <f t="shared" si="194"/>
        <v>RMF00005509Кукон_Бахромжон ака</v>
      </c>
      <c r="E901" s="99" t="s">
        <v>1361</v>
      </c>
      <c r="F901" s="102" t="s">
        <v>1358</v>
      </c>
      <c r="G901" s="102" t="s">
        <v>1359</v>
      </c>
      <c r="H901" s="99" t="s">
        <v>1303</v>
      </c>
      <c r="I901" s="102" t="s">
        <v>1362</v>
      </c>
      <c r="J901" s="102" t="s">
        <v>466</v>
      </c>
      <c r="K901" s="103">
        <v>10</v>
      </c>
      <c r="L901" s="104">
        <v>120000</v>
      </c>
      <c r="M901" s="104">
        <v>1200000</v>
      </c>
      <c r="N901" s="39">
        <v>675000</v>
      </c>
      <c r="O901" s="39"/>
      <c r="P901" s="108">
        <f>+N901+O901</f>
        <v>675000</v>
      </c>
      <c r="Q901" s="39">
        <v>100</v>
      </c>
      <c r="R901" s="39">
        <f t="shared" si="195"/>
        <v>1200000</v>
      </c>
      <c r="S901" s="42">
        <f t="shared" si="196"/>
        <v>0</v>
      </c>
    </row>
    <row r="902" spans="1:19">
      <c r="A902" s="99">
        <v>2025</v>
      </c>
      <c r="B902" s="100">
        <v>11</v>
      </c>
      <c r="C902" s="101">
        <v>45967</v>
      </c>
      <c r="D902" s="101" t="str">
        <f t="shared" si="194"/>
        <v>RMF00005514Сирдарё_Фотима опа</v>
      </c>
      <c r="E902" s="99" t="s">
        <v>1363</v>
      </c>
      <c r="F902" s="102" t="s">
        <v>280</v>
      </c>
      <c r="G902" s="102" t="s">
        <v>281</v>
      </c>
      <c r="H902" s="99" t="s">
        <v>1303</v>
      </c>
      <c r="I902" s="102" t="s">
        <v>25</v>
      </c>
      <c r="J902" s="102" t="s">
        <v>38</v>
      </c>
      <c r="K902" s="103">
        <v>30</v>
      </c>
      <c r="L902" s="104">
        <v>65000</v>
      </c>
      <c r="M902" s="104">
        <v>1950000</v>
      </c>
      <c r="N902" s="39">
        <v>389000</v>
      </c>
      <c r="O902" s="39"/>
      <c r="P902" s="108">
        <f>+N902+O902</f>
        <v>389000</v>
      </c>
      <c r="Q902" s="39">
        <v>100</v>
      </c>
      <c r="R902" s="39">
        <f t="shared" si="195"/>
        <v>1950000</v>
      </c>
      <c r="S902" s="42">
        <f t="shared" si="196"/>
        <v>0</v>
      </c>
    </row>
    <row r="903" spans="1:19">
      <c r="A903" s="99">
        <v>2025</v>
      </c>
      <c r="B903" s="100">
        <v>11</v>
      </c>
      <c r="C903" s="101">
        <v>45968</v>
      </c>
      <c r="D903" s="101" t="str">
        <f t="shared" si="194"/>
        <v>RMF00005526Самарканд_Хуршед ака</v>
      </c>
      <c r="E903" s="99" t="s">
        <v>1364</v>
      </c>
      <c r="F903" s="102" t="s">
        <v>1302</v>
      </c>
      <c r="G903" s="102" t="s">
        <v>272</v>
      </c>
      <c r="H903" s="99" t="s">
        <v>1303</v>
      </c>
      <c r="I903" s="102" t="s">
        <v>950</v>
      </c>
      <c r="J903" s="102" t="s">
        <v>38</v>
      </c>
      <c r="K903" s="103">
        <v>30</v>
      </c>
      <c r="L903" s="104">
        <v>65000</v>
      </c>
      <c r="M903" s="104">
        <v>1950000</v>
      </c>
      <c r="N903" s="39">
        <v>1139000</v>
      </c>
      <c r="O903" s="39"/>
      <c r="P903" s="108">
        <f>+N903+O903</f>
        <v>1139000</v>
      </c>
      <c r="Q903" s="39">
        <v>100</v>
      </c>
      <c r="R903" s="39">
        <f t="shared" si="195"/>
        <v>1950000</v>
      </c>
      <c r="S903" s="42">
        <f t="shared" si="196"/>
        <v>0</v>
      </c>
    </row>
    <row r="904" spans="1:19">
      <c r="A904" s="99">
        <v>2025</v>
      </c>
      <c r="B904" s="100">
        <v>11</v>
      </c>
      <c r="C904" s="101">
        <v>45968</v>
      </c>
      <c r="D904" s="101" t="str">
        <f t="shared" si="194"/>
        <v>RMF00005534Сирдарё_Фотима опа</v>
      </c>
      <c r="E904" s="99" t="s">
        <v>1365</v>
      </c>
      <c r="F904" s="102" t="s">
        <v>280</v>
      </c>
      <c r="G904" s="102" t="s">
        <v>281</v>
      </c>
      <c r="H904" s="99" t="s">
        <v>1303</v>
      </c>
      <c r="I904" s="102" t="s">
        <v>1311</v>
      </c>
      <c r="J904" s="102" t="s">
        <v>38</v>
      </c>
      <c r="K904" s="103">
        <v>20</v>
      </c>
      <c r="L904" s="104">
        <v>65000</v>
      </c>
      <c r="M904" s="104">
        <v>1300000</v>
      </c>
      <c r="N904" s="39">
        <v>155000</v>
      </c>
      <c r="O904" s="39"/>
      <c r="P904" s="108">
        <f>+N904+O904</f>
        <v>155000</v>
      </c>
      <c r="Q904" s="39">
        <v>100</v>
      </c>
      <c r="R904" s="39">
        <f t="shared" si="195"/>
        <v>1300000</v>
      </c>
      <c r="S904" s="42">
        <f t="shared" si="196"/>
        <v>0</v>
      </c>
    </row>
    <row r="905" spans="1:19">
      <c r="A905" s="99">
        <v>2025</v>
      </c>
      <c r="B905" s="100">
        <v>11</v>
      </c>
      <c r="C905" s="101">
        <v>45968</v>
      </c>
      <c r="D905" s="101" t="str">
        <f t="shared" si="194"/>
        <v>RMF00005535Самарканд_Хуршед ака</v>
      </c>
      <c r="E905" s="99" t="s">
        <v>1366</v>
      </c>
      <c r="F905" s="102" t="s">
        <v>1302</v>
      </c>
      <c r="G905" s="102" t="s">
        <v>272</v>
      </c>
      <c r="H905" s="99" t="s">
        <v>1303</v>
      </c>
      <c r="I905" s="102" t="s">
        <v>417</v>
      </c>
      <c r="J905" s="102" t="s">
        <v>41</v>
      </c>
      <c r="K905" s="103">
        <v>100</v>
      </c>
      <c r="L905" s="104">
        <v>90000</v>
      </c>
      <c r="M905" s="104">
        <v>9000000</v>
      </c>
      <c r="N905" s="39">
        <v>2331000</v>
      </c>
      <c r="O905" s="39"/>
      <c r="P905" s="108">
        <f>+N905+O905</f>
        <v>2331000</v>
      </c>
      <c r="Q905" s="39">
        <v>100</v>
      </c>
      <c r="R905" s="39">
        <f t="shared" si="195"/>
        <v>9000000</v>
      </c>
      <c r="S905" s="42">
        <f t="shared" si="196"/>
        <v>0</v>
      </c>
    </row>
    <row r="906" spans="1:19">
      <c r="A906" s="99">
        <v>2025</v>
      </c>
      <c r="B906" s="100">
        <v>11</v>
      </c>
      <c r="C906" s="101">
        <v>45968</v>
      </c>
      <c r="D906" s="101" t="str">
        <f t="shared" si="194"/>
        <v>RMF00005542Кукон_Бахромжон ака</v>
      </c>
      <c r="E906" s="99" t="s">
        <v>1367</v>
      </c>
      <c r="F906" s="102" t="s">
        <v>1358</v>
      </c>
      <c r="G906" s="102" t="s">
        <v>1359</v>
      </c>
      <c r="H906" s="99" t="s">
        <v>1303</v>
      </c>
      <c r="I906" s="102" t="s">
        <v>1368</v>
      </c>
      <c r="J906" s="102" t="s">
        <v>466</v>
      </c>
      <c r="K906" s="103">
        <v>10</v>
      </c>
      <c r="L906" s="104">
        <v>120000</v>
      </c>
      <c r="M906" s="104">
        <v>1200000</v>
      </c>
      <c r="N906" s="39">
        <v>786000</v>
      </c>
      <c r="O906" s="39"/>
      <c r="P906" s="108">
        <f>+N906+O906</f>
        <v>786000</v>
      </c>
      <c r="Q906" s="39">
        <v>100</v>
      </c>
      <c r="R906" s="39">
        <f t="shared" si="195"/>
        <v>1200000</v>
      </c>
      <c r="S906" s="42">
        <f t="shared" si="196"/>
        <v>0</v>
      </c>
    </row>
    <row r="907" spans="1:19">
      <c r="A907" s="99">
        <v>2025</v>
      </c>
      <c r="B907" s="100">
        <v>11</v>
      </c>
      <c r="C907" s="101">
        <v>45971</v>
      </c>
      <c r="D907" s="101" t="str">
        <f t="shared" si="194"/>
        <v>RMF00005580Самарканд_Хуршед ака</v>
      </c>
      <c r="E907" s="99" t="s">
        <v>1369</v>
      </c>
      <c r="F907" s="102" t="s">
        <v>1302</v>
      </c>
      <c r="G907" s="102" t="s">
        <v>272</v>
      </c>
      <c r="H907" s="99" t="s">
        <v>1303</v>
      </c>
      <c r="I907" s="102" t="s">
        <v>942</v>
      </c>
      <c r="J907" s="102" t="s">
        <v>38</v>
      </c>
      <c r="K907" s="103">
        <v>30</v>
      </c>
      <c r="L907" s="104">
        <v>65000</v>
      </c>
      <c r="M907" s="104">
        <v>1950000</v>
      </c>
      <c r="N907" s="39">
        <v>501000</v>
      </c>
      <c r="O907" s="39"/>
      <c r="P907" s="108">
        <f>+N907+O907</f>
        <v>501000</v>
      </c>
      <c r="Q907" s="39">
        <v>100</v>
      </c>
      <c r="R907" s="39">
        <f t="shared" si="195"/>
        <v>1950000</v>
      </c>
      <c r="S907" s="42">
        <f t="shared" si="196"/>
        <v>0</v>
      </c>
    </row>
    <row r="908" spans="1:19">
      <c r="A908" s="99">
        <v>2025</v>
      </c>
      <c r="B908" s="100">
        <v>11</v>
      </c>
      <c r="C908" s="101">
        <v>45971</v>
      </c>
      <c r="D908" s="101" t="str">
        <f t="shared" si="194"/>
        <v>RMF00005603Хоразм_Улугбек ака</v>
      </c>
      <c r="E908" s="99" t="s">
        <v>1370</v>
      </c>
      <c r="F908" s="102" t="s">
        <v>863</v>
      </c>
      <c r="G908" s="102" t="s">
        <v>864</v>
      </c>
      <c r="H908" s="99" t="s">
        <v>1303</v>
      </c>
      <c r="I908" s="102" t="s">
        <v>865</v>
      </c>
      <c r="J908" s="102" t="s">
        <v>46</v>
      </c>
      <c r="K908" s="103">
        <v>200</v>
      </c>
      <c r="L908" s="104">
        <v>64700</v>
      </c>
      <c r="M908" s="104">
        <v>12940000</v>
      </c>
      <c r="N908" s="39">
        <v>300000</v>
      </c>
      <c r="O908" s="39"/>
      <c r="P908" s="108">
        <f>+N908+O908</f>
        <v>300000</v>
      </c>
      <c r="Q908" s="39">
        <v>100</v>
      </c>
      <c r="R908" s="39">
        <f t="shared" si="195"/>
        <v>12940000</v>
      </c>
      <c r="S908" s="42">
        <f t="shared" si="196"/>
        <v>0</v>
      </c>
    </row>
    <row r="909" spans="1:19">
      <c r="A909" s="99">
        <v>2025</v>
      </c>
      <c r="B909" s="100">
        <v>11</v>
      </c>
      <c r="C909" s="101">
        <v>45971</v>
      </c>
      <c r="D909" s="101" t="str">
        <f t="shared" si="194"/>
        <v>RMF00005607Бухоро_Нафосат опа</v>
      </c>
      <c r="E909" s="99" t="s">
        <v>1371</v>
      </c>
      <c r="F909" s="102" t="s">
        <v>893</v>
      </c>
      <c r="G909" s="102" t="s">
        <v>894</v>
      </c>
      <c r="H909" s="99" t="s">
        <v>1303</v>
      </c>
      <c r="I909" s="102" t="s">
        <v>1372</v>
      </c>
      <c r="J909" s="102" t="s">
        <v>41</v>
      </c>
      <c r="K909" s="103">
        <v>150</v>
      </c>
      <c r="L909" s="104">
        <v>90000</v>
      </c>
      <c r="M909" s="104">
        <v>13500000</v>
      </c>
      <c r="N909" s="39">
        <v>316000</v>
      </c>
      <c r="O909" s="39"/>
      <c r="P909" s="108">
        <f>+N909+O909</f>
        <v>316000</v>
      </c>
      <c r="Q909" s="39">
        <v>100</v>
      </c>
      <c r="R909" s="39">
        <f t="shared" si="195"/>
        <v>13500000</v>
      </c>
      <c r="S909" s="42">
        <f t="shared" si="196"/>
        <v>0</v>
      </c>
    </row>
    <row r="910" spans="1:19">
      <c r="A910" s="99">
        <v>2025</v>
      </c>
      <c r="B910" s="100">
        <v>11</v>
      </c>
      <c r="C910" s="101">
        <v>45971</v>
      </c>
      <c r="D910" s="101" t="str">
        <f t="shared" si="194"/>
        <v>RMF00005608Бухоро_Нафосат опа</v>
      </c>
      <c r="E910" s="99" t="s">
        <v>1373</v>
      </c>
      <c r="F910" s="102" t="s">
        <v>893</v>
      </c>
      <c r="G910" s="102" t="s">
        <v>894</v>
      </c>
      <c r="H910" s="99" t="s">
        <v>1303</v>
      </c>
      <c r="I910" s="102" t="s">
        <v>1374</v>
      </c>
      <c r="J910" s="102" t="s">
        <v>41</v>
      </c>
      <c r="K910" s="103">
        <v>5</v>
      </c>
      <c r="L910" s="104">
        <v>90000</v>
      </c>
      <c r="M910" s="104">
        <v>450000</v>
      </c>
      <c r="N910" s="39">
        <v>47000</v>
      </c>
      <c r="O910" s="39"/>
      <c r="P910" s="108">
        <f>+N910+O910</f>
        <v>47000</v>
      </c>
      <c r="Q910" s="39">
        <v>100</v>
      </c>
      <c r="R910" s="39">
        <f t="shared" si="195"/>
        <v>450000</v>
      </c>
      <c r="S910" s="42">
        <f t="shared" si="196"/>
        <v>0</v>
      </c>
    </row>
    <row r="911" spans="1:19">
      <c r="A911" s="99">
        <v>2025</v>
      </c>
      <c r="B911" s="100">
        <v>11</v>
      </c>
      <c r="C911" s="101">
        <v>45971</v>
      </c>
      <c r="D911" s="101" t="str">
        <f t="shared" si="194"/>
        <v>RMF00005608Бухоро_Нафосат опа</v>
      </c>
      <c r="E911" s="99" t="s">
        <v>1373</v>
      </c>
      <c r="F911" s="102" t="s">
        <v>893</v>
      </c>
      <c r="G911" s="102" t="s">
        <v>894</v>
      </c>
      <c r="H911" s="99" t="s">
        <v>1303</v>
      </c>
      <c r="I911" s="102" t="s">
        <v>1374</v>
      </c>
      <c r="J911" s="102" t="s">
        <v>41</v>
      </c>
      <c r="K911" s="103">
        <v>95</v>
      </c>
      <c r="L911" s="104">
        <v>90000</v>
      </c>
      <c r="M911" s="104">
        <v>8550000</v>
      </c>
      <c r="N911" s="39">
        <v>47000</v>
      </c>
      <c r="O911" s="39"/>
      <c r="P911" s="108">
        <f>+N911+O911</f>
        <v>47000</v>
      </c>
      <c r="Q911" s="39">
        <v>100</v>
      </c>
      <c r="R911" s="39">
        <f t="shared" si="195"/>
        <v>8550000</v>
      </c>
      <c r="S911" s="42">
        <f t="shared" si="196"/>
        <v>0</v>
      </c>
    </row>
    <row r="912" spans="1:19">
      <c r="A912" s="99">
        <v>2025</v>
      </c>
      <c r="B912" s="100">
        <v>11</v>
      </c>
      <c r="C912" s="101">
        <v>45972</v>
      </c>
      <c r="D912" s="101" t="str">
        <f t="shared" si="194"/>
        <v>RMF00005622Фаргона_Умар ака Сух</v>
      </c>
      <c r="E912" s="99" t="s">
        <v>1375</v>
      </c>
      <c r="F912" s="102" t="s">
        <v>1271</v>
      </c>
      <c r="G912" s="102" t="s">
        <v>1272</v>
      </c>
      <c r="H912" s="99" t="s">
        <v>1303</v>
      </c>
      <c r="I912" s="102" t="s">
        <v>1376</v>
      </c>
      <c r="J912" s="102" t="s">
        <v>41</v>
      </c>
      <c r="K912" s="103">
        <v>20</v>
      </c>
      <c r="L912" s="104">
        <v>90000</v>
      </c>
      <c r="M912" s="104">
        <v>1800000</v>
      </c>
      <c r="N912" s="39">
        <v>460000</v>
      </c>
      <c r="O912" s="39"/>
      <c r="P912" s="108">
        <f>+N912+O912</f>
        <v>460000</v>
      </c>
      <c r="Q912" s="39">
        <v>100</v>
      </c>
      <c r="R912" s="39">
        <f t="shared" si="195"/>
        <v>1800000</v>
      </c>
      <c r="S912" s="42">
        <f t="shared" si="196"/>
        <v>0</v>
      </c>
    </row>
    <row r="913" spans="1:19">
      <c r="A913" s="99">
        <v>2025</v>
      </c>
      <c r="B913" s="100">
        <v>11</v>
      </c>
      <c r="C913" s="101">
        <v>45974</v>
      </c>
      <c r="D913" s="101" t="str">
        <f t="shared" si="194"/>
        <v>RMF00005654Самарканд_Хуршед ака</v>
      </c>
      <c r="E913" s="99" t="s">
        <v>1377</v>
      </c>
      <c r="F913" s="102" t="s">
        <v>1302</v>
      </c>
      <c r="G913" s="102" t="s">
        <v>272</v>
      </c>
      <c r="H913" s="99" t="s">
        <v>1303</v>
      </c>
      <c r="I913" s="102" t="s">
        <v>1316</v>
      </c>
      <c r="J913" s="102" t="s">
        <v>21</v>
      </c>
      <c r="K913" s="103">
        <v>240</v>
      </c>
      <c r="L913" s="104">
        <v>40621</v>
      </c>
      <c r="M913" s="104">
        <v>9749040</v>
      </c>
      <c r="N913" s="39">
        <v>3252000</v>
      </c>
      <c r="O913" s="39"/>
      <c r="P913" s="108">
        <f>+N913+O913</f>
        <v>3252000</v>
      </c>
      <c r="Q913" s="39">
        <v>100</v>
      </c>
      <c r="R913" s="39">
        <f t="shared" si="195"/>
        <v>9749040</v>
      </c>
      <c r="S913" s="42">
        <f t="shared" si="196"/>
        <v>0</v>
      </c>
    </row>
    <row r="914" spans="1:19">
      <c r="A914" s="99">
        <v>2025</v>
      </c>
      <c r="B914" s="100">
        <v>11</v>
      </c>
      <c r="C914" s="101">
        <v>45974</v>
      </c>
      <c r="D914" s="101" t="str">
        <f t="shared" si="194"/>
        <v>RMF00005656Бухоро_Нафосат опа</v>
      </c>
      <c r="E914" s="99" t="s">
        <v>1378</v>
      </c>
      <c r="F914" s="102" t="s">
        <v>893</v>
      </c>
      <c r="G914" s="102" t="s">
        <v>894</v>
      </c>
      <c r="H914" s="99" t="s">
        <v>1303</v>
      </c>
      <c r="I914" s="102" t="s">
        <v>1379</v>
      </c>
      <c r="J914" s="102" t="s">
        <v>41</v>
      </c>
      <c r="K914" s="103">
        <v>50</v>
      </c>
      <c r="L914" s="104">
        <v>90000</v>
      </c>
      <c r="M914" s="104">
        <v>4500000</v>
      </c>
      <c r="N914" s="39">
        <v>702000</v>
      </c>
      <c r="O914" s="39"/>
      <c r="P914" s="108">
        <f>+N914+O914</f>
        <v>702000</v>
      </c>
      <c r="Q914" s="39">
        <v>100</v>
      </c>
      <c r="R914" s="39">
        <f t="shared" si="195"/>
        <v>4500000</v>
      </c>
      <c r="S914" s="42">
        <f t="shared" si="196"/>
        <v>0</v>
      </c>
    </row>
    <row r="915" spans="1:19">
      <c r="A915" s="99">
        <v>2025</v>
      </c>
      <c r="B915" s="100">
        <v>11</v>
      </c>
      <c r="C915" s="101">
        <v>45975</v>
      </c>
      <c r="D915" s="101" t="str">
        <f t="shared" si="194"/>
        <v>RMF00005662Кукон_Баходирхон ака</v>
      </c>
      <c r="E915" s="99" t="s">
        <v>1380</v>
      </c>
      <c r="F915" s="102" t="s">
        <v>1381</v>
      </c>
      <c r="G915" s="102" t="s">
        <v>1264</v>
      </c>
      <c r="H915" s="99" t="s">
        <v>1303</v>
      </c>
      <c r="I915" s="102" t="s">
        <v>1265</v>
      </c>
      <c r="J915" s="102" t="s">
        <v>38</v>
      </c>
      <c r="K915" s="103">
        <v>10</v>
      </c>
      <c r="L915" s="104">
        <v>65000</v>
      </c>
      <c r="M915" s="104">
        <v>650000</v>
      </c>
      <c r="N915" s="39">
        <v>380000</v>
      </c>
      <c r="O915" s="39"/>
      <c r="P915" s="108">
        <f>+N915+O915</f>
        <v>380000</v>
      </c>
      <c r="Q915" s="39">
        <v>100</v>
      </c>
      <c r="R915" s="39">
        <f t="shared" si="195"/>
        <v>650000</v>
      </c>
      <c r="S915" s="42">
        <f t="shared" si="196"/>
        <v>0</v>
      </c>
    </row>
    <row r="916" spans="1:19">
      <c r="A916" s="99">
        <v>2025</v>
      </c>
      <c r="B916" s="100">
        <v>11</v>
      </c>
      <c r="C916" s="101">
        <v>45975</v>
      </c>
      <c r="D916" s="101" t="str">
        <f t="shared" si="194"/>
        <v>RMF00005677Андижон_Жонибек ака (S)</v>
      </c>
      <c r="E916" s="99" t="s">
        <v>1382</v>
      </c>
      <c r="F916" s="102" t="s">
        <v>1383</v>
      </c>
      <c r="G916" s="102" t="s">
        <v>1280</v>
      </c>
      <c r="H916" s="99" t="s">
        <v>1303</v>
      </c>
      <c r="I916" s="102" t="s">
        <v>1384</v>
      </c>
      <c r="J916" s="102" t="s">
        <v>466</v>
      </c>
      <c r="K916" s="103">
        <v>40</v>
      </c>
      <c r="L916" s="104">
        <v>120000</v>
      </c>
      <c r="M916" s="104">
        <v>4800000</v>
      </c>
      <c r="N916" s="39">
        <v>3278000</v>
      </c>
      <c r="O916" s="39"/>
      <c r="P916" s="108">
        <f>+N916+O916</f>
        <v>3278000</v>
      </c>
      <c r="Q916" s="39">
        <v>100</v>
      </c>
      <c r="R916" s="39">
        <f t="shared" si="195"/>
        <v>4800000</v>
      </c>
      <c r="S916" s="42">
        <f t="shared" si="196"/>
        <v>0</v>
      </c>
    </row>
    <row r="917" spans="1:19">
      <c r="A917" s="99">
        <v>2025</v>
      </c>
      <c r="B917" s="100">
        <v>11</v>
      </c>
      <c r="C917" s="101">
        <v>45978</v>
      </c>
      <c r="D917" s="101" t="str">
        <f t="shared" si="194"/>
        <v>RMF00005686Бухоро_Нафосат опа</v>
      </c>
      <c r="E917" s="99" t="s">
        <v>1385</v>
      </c>
      <c r="F917" s="102" t="s">
        <v>893</v>
      </c>
      <c r="G917" s="102" t="s">
        <v>894</v>
      </c>
      <c r="H917" s="99" t="s">
        <v>1303</v>
      </c>
      <c r="I917" s="102" t="s">
        <v>665</v>
      </c>
      <c r="J917" s="102" t="s">
        <v>41</v>
      </c>
      <c r="K917" s="103">
        <v>50</v>
      </c>
      <c r="L917" s="104">
        <v>90000</v>
      </c>
      <c r="M917" s="104">
        <v>4500000</v>
      </c>
      <c r="N917" s="39">
        <v>617000</v>
      </c>
      <c r="O917" s="39"/>
      <c r="P917" s="108">
        <f>+N917+O917</f>
        <v>617000</v>
      </c>
      <c r="Q917" s="39">
        <v>100</v>
      </c>
      <c r="R917" s="39">
        <f t="shared" si="195"/>
        <v>4500000</v>
      </c>
      <c r="S917" s="42">
        <f t="shared" si="196"/>
        <v>0</v>
      </c>
    </row>
    <row r="918" spans="1:19">
      <c r="A918" s="99">
        <v>2025</v>
      </c>
      <c r="B918" s="100">
        <v>11</v>
      </c>
      <c r="C918" s="101">
        <v>45978</v>
      </c>
      <c r="D918" s="101" t="str">
        <f t="shared" si="194"/>
        <v>RMF00005704Самарканд_Хуршед ака</v>
      </c>
      <c r="E918" s="99" t="s">
        <v>1386</v>
      </c>
      <c r="F918" s="102" t="s">
        <v>1302</v>
      </c>
      <c r="G918" s="102" t="s">
        <v>272</v>
      </c>
      <c r="H918" s="99" t="s">
        <v>1303</v>
      </c>
      <c r="I918" s="102" t="s">
        <v>986</v>
      </c>
      <c r="J918" s="102" t="s">
        <v>38</v>
      </c>
      <c r="K918" s="103">
        <v>50</v>
      </c>
      <c r="L918" s="104">
        <v>65000</v>
      </c>
      <c r="M918" s="104">
        <v>3250000</v>
      </c>
      <c r="N918" s="39">
        <v>1899000</v>
      </c>
      <c r="O918" s="39"/>
      <c r="P918" s="108">
        <f>+N918+O918</f>
        <v>1899000</v>
      </c>
      <c r="Q918" s="39">
        <v>100</v>
      </c>
      <c r="R918" s="39">
        <f t="shared" si="195"/>
        <v>3250000</v>
      </c>
      <c r="S918" s="42">
        <f t="shared" si="196"/>
        <v>0</v>
      </c>
    </row>
    <row r="919" spans="1:19">
      <c r="A919" s="99">
        <v>2025</v>
      </c>
      <c r="B919" s="100">
        <v>11</v>
      </c>
      <c r="C919" s="101">
        <v>45979</v>
      </c>
      <c r="D919" s="101" t="str">
        <f t="shared" si="194"/>
        <v>RMF00005712Самарканд_Хуршед ака</v>
      </c>
      <c r="E919" s="99" t="s">
        <v>1387</v>
      </c>
      <c r="F919" s="102" t="s">
        <v>1302</v>
      </c>
      <c r="G919" s="102" t="s">
        <v>272</v>
      </c>
      <c r="H919" s="99" t="s">
        <v>1303</v>
      </c>
      <c r="I919" s="102" t="s">
        <v>1388</v>
      </c>
      <c r="J919" s="102" t="s">
        <v>466</v>
      </c>
      <c r="K919" s="103">
        <v>80</v>
      </c>
      <c r="L919" s="104">
        <v>120000</v>
      </c>
      <c r="M919" s="104">
        <v>9600000</v>
      </c>
      <c r="N919" s="39">
        <v>6557000</v>
      </c>
      <c r="O919" s="39"/>
      <c r="P919" s="108">
        <f>+N919+O919</f>
        <v>6557000</v>
      </c>
      <c r="Q919" s="39">
        <v>100</v>
      </c>
      <c r="R919" s="39">
        <f t="shared" si="195"/>
        <v>9600000</v>
      </c>
      <c r="S919" s="42">
        <f t="shared" si="196"/>
        <v>0</v>
      </c>
    </row>
    <row r="920" spans="1:19">
      <c r="A920" s="99">
        <v>2025</v>
      </c>
      <c r="B920" s="100">
        <v>11</v>
      </c>
      <c r="C920" s="101">
        <v>45980</v>
      </c>
      <c r="D920" s="101" t="str">
        <f t="shared" si="194"/>
        <v>RMF00005734Андижон_Жонибек ака (S)</v>
      </c>
      <c r="E920" s="99" t="s">
        <v>1390</v>
      </c>
      <c r="F920" s="102" t="s">
        <v>1383</v>
      </c>
      <c r="G920" s="102" t="s">
        <v>1280</v>
      </c>
      <c r="H920" s="99" t="s">
        <v>1303</v>
      </c>
      <c r="I920" s="102" t="s">
        <v>1391</v>
      </c>
      <c r="J920" s="102" t="s">
        <v>466</v>
      </c>
      <c r="K920" s="103">
        <v>10</v>
      </c>
      <c r="L920" s="104">
        <v>120000</v>
      </c>
      <c r="M920" s="104">
        <v>1200000</v>
      </c>
      <c r="N920" s="39">
        <v>820000</v>
      </c>
      <c r="O920" s="39"/>
      <c r="P920" s="108">
        <f>+N920+O920</f>
        <v>820000</v>
      </c>
      <c r="Q920" s="39">
        <v>100</v>
      </c>
      <c r="R920" s="39">
        <f t="shared" si="195"/>
        <v>1200000</v>
      </c>
      <c r="S920" s="42">
        <f t="shared" si="196"/>
        <v>0</v>
      </c>
    </row>
    <row r="921" spans="1:19">
      <c r="A921" s="99">
        <v>2025</v>
      </c>
      <c r="B921" s="100">
        <v>11</v>
      </c>
      <c r="C921" s="101">
        <v>45980</v>
      </c>
      <c r="D921" s="101" t="str">
        <f t="shared" si="194"/>
        <v>RMF00005738Нукус_Мехрибон опа</v>
      </c>
      <c r="E921" s="99" t="s">
        <v>1392</v>
      </c>
      <c r="F921" s="102" t="s">
        <v>1318</v>
      </c>
      <c r="G921" s="102" t="s">
        <v>1319</v>
      </c>
      <c r="H921" s="99" t="s">
        <v>1303</v>
      </c>
      <c r="I921" s="102" t="s">
        <v>1320</v>
      </c>
      <c r="J921" s="102" t="s">
        <v>41</v>
      </c>
      <c r="K921" s="103">
        <v>100</v>
      </c>
      <c r="L921" s="104">
        <v>90000</v>
      </c>
      <c r="M921" s="104">
        <v>9000000</v>
      </c>
      <c r="N921" s="39">
        <v>2518000</v>
      </c>
      <c r="O921" s="39"/>
      <c r="P921" s="108">
        <f>+N921+O921</f>
        <v>2518000</v>
      </c>
      <c r="Q921" s="39">
        <v>100</v>
      </c>
      <c r="R921" s="39">
        <f t="shared" si="195"/>
        <v>9000000</v>
      </c>
      <c r="S921" s="42">
        <f t="shared" si="196"/>
        <v>0</v>
      </c>
    </row>
    <row r="922" spans="1:19">
      <c r="A922" s="99">
        <v>2025</v>
      </c>
      <c r="B922" s="100">
        <v>11</v>
      </c>
      <c r="C922" s="101">
        <v>45980</v>
      </c>
      <c r="D922" s="101" t="str">
        <f t="shared" si="194"/>
        <v>RMF00005741Сирдарё_Фотима опа</v>
      </c>
      <c r="E922" s="99" t="s">
        <v>1393</v>
      </c>
      <c r="F922" s="102" t="s">
        <v>284</v>
      </c>
      <c r="G922" s="102" t="s">
        <v>281</v>
      </c>
      <c r="H922" s="99" t="s">
        <v>1303</v>
      </c>
      <c r="I922" s="102" t="s">
        <v>20</v>
      </c>
      <c r="J922" s="102" t="s">
        <v>466</v>
      </c>
      <c r="K922" s="103">
        <v>20</v>
      </c>
      <c r="L922" s="104">
        <v>120000</v>
      </c>
      <c r="M922" s="104">
        <v>2400000</v>
      </c>
      <c r="N922" s="39">
        <v>180000</v>
      </c>
      <c r="O922" s="39"/>
      <c r="P922" s="108">
        <f>+N922+O922</f>
        <v>180000</v>
      </c>
      <c r="Q922" s="39">
        <v>100</v>
      </c>
      <c r="R922" s="39">
        <f t="shared" si="195"/>
        <v>2400000</v>
      </c>
      <c r="S922" s="42">
        <f t="shared" si="196"/>
        <v>0</v>
      </c>
    </row>
    <row r="923" spans="1:19">
      <c r="A923" s="99">
        <v>2025</v>
      </c>
      <c r="B923" s="100">
        <v>11</v>
      </c>
      <c r="C923" s="101">
        <v>45980</v>
      </c>
      <c r="D923" s="101" t="str">
        <f t="shared" si="194"/>
        <v>RMF00005757Андижон_Жонибек ака (S)</v>
      </c>
      <c r="E923" s="99" t="s">
        <v>1394</v>
      </c>
      <c r="F923" s="102" t="s">
        <v>1383</v>
      </c>
      <c r="G923" s="102" t="s">
        <v>1280</v>
      </c>
      <c r="H923" s="99" t="s">
        <v>1303</v>
      </c>
      <c r="I923" s="102" t="s">
        <v>1395</v>
      </c>
      <c r="J923" s="102" t="s">
        <v>466</v>
      </c>
      <c r="K923" s="103">
        <v>30</v>
      </c>
      <c r="L923" s="104">
        <v>120000</v>
      </c>
      <c r="M923" s="104">
        <v>3600000</v>
      </c>
      <c r="N923" s="39">
        <v>2459000</v>
      </c>
      <c r="O923" s="39"/>
      <c r="P923" s="108">
        <f>+N923+O923</f>
        <v>2459000</v>
      </c>
      <c r="Q923" s="39">
        <v>100</v>
      </c>
      <c r="R923" s="39">
        <f t="shared" si="195"/>
        <v>3600000</v>
      </c>
      <c r="S923" s="42">
        <f t="shared" si="196"/>
        <v>0</v>
      </c>
    </row>
    <row r="924" spans="1:19">
      <c r="A924" s="99">
        <v>2025</v>
      </c>
      <c r="B924" s="100">
        <v>11</v>
      </c>
      <c r="C924" s="101">
        <v>45981</v>
      </c>
      <c r="D924" s="101" t="str">
        <f t="shared" si="194"/>
        <v>RMF00005775Навоий_Гулшода опа</v>
      </c>
      <c r="E924" s="99" t="s">
        <v>1396</v>
      </c>
      <c r="F924" s="102" t="s">
        <v>287</v>
      </c>
      <c r="G924" s="102" t="s">
        <v>288</v>
      </c>
      <c r="H924" s="99" t="s">
        <v>1303</v>
      </c>
      <c r="I924" s="102" t="s">
        <v>358</v>
      </c>
      <c r="J924" s="102" t="s">
        <v>38</v>
      </c>
      <c r="K924" s="103">
        <v>20</v>
      </c>
      <c r="L924" s="104">
        <v>65000</v>
      </c>
      <c r="M924" s="104">
        <v>1300000</v>
      </c>
      <c r="N924" s="39">
        <v>741000</v>
      </c>
      <c r="O924" s="39"/>
      <c r="P924" s="108">
        <f>+N924+O924</f>
        <v>741000</v>
      </c>
      <c r="Q924" s="39">
        <v>100</v>
      </c>
      <c r="R924" s="39">
        <f t="shared" si="195"/>
        <v>1300000</v>
      </c>
      <c r="S924" s="42">
        <f t="shared" si="196"/>
        <v>0</v>
      </c>
    </row>
    <row r="925" spans="1:19">
      <c r="A925" s="99">
        <v>2025</v>
      </c>
      <c r="B925" s="100">
        <v>11</v>
      </c>
      <c r="C925" s="101">
        <v>45981</v>
      </c>
      <c r="D925" s="101" t="str">
        <f t="shared" si="194"/>
        <v>RMF00005775Навоий_Гулшода опа</v>
      </c>
      <c r="E925" s="99" t="s">
        <v>1396</v>
      </c>
      <c r="F925" s="102" t="s">
        <v>287</v>
      </c>
      <c r="G925" s="102" t="s">
        <v>288</v>
      </c>
      <c r="H925" s="99" t="s">
        <v>1303</v>
      </c>
      <c r="I925" s="102" t="s">
        <v>358</v>
      </c>
      <c r="J925" s="102" t="s">
        <v>466</v>
      </c>
      <c r="K925" s="103">
        <v>10</v>
      </c>
      <c r="L925" s="104">
        <v>120000</v>
      </c>
      <c r="M925" s="104">
        <v>1200000</v>
      </c>
      <c r="N925" s="39">
        <v>799000</v>
      </c>
      <c r="O925" s="39"/>
      <c r="P925" s="108">
        <f>+N925+O925</f>
        <v>799000</v>
      </c>
      <c r="Q925" s="39">
        <v>100</v>
      </c>
      <c r="R925" s="39">
        <f t="shared" si="195"/>
        <v>1200000</v>
      </c>
      <c r="S925" s="42">
        <f t="shared" si="196"/>
        <v>0</v>
      </c>
    </row>
    <row r="926" spans="1:19">
      <c r="A926" s="99">
        <v>2025</v>
      </c>
      <c r="B926" s="100">
        <v>11</v>
      </c>
      <c r="C926" s="101">
        <v>45981</v>
      </c>
      <c r="D926" s="101" t="str">
        <f t="shared" si="194"/>
        <v>RMF00005776Навоий_Гулшода опа</v>
      </c>
      <c r="E926" s="99" t="s">
        <v>1397</v>
      </c>
      <c r="F926" s="102" t="s">
        <v>287</v>
      </c>
      <c r="G926" s="102" t="s">
        <v>288</v>
      </c>
      <c r="H926" s="99" t="s">
        <v>1303</v>
      </c>
      <c r="I926" s="102" t="s">
        <v>686</v>
      </c>
      <c r="J926" s="102" t="s">
        <v>466</v>
      </c>
      <c r="K926" s="103">
        <v>10</v>
      </c>
      <c r="L926" s="104">
        <v>120000</v>
      </c>
      <c r="M926" s="104">
        <v>1200000</v>
      </c>
      <c r="N926" s="39">
        <v>820000</v>
      </c>
      <c r="O926" s="39"/>
      <c r="P926" s="108">
        <f>+N926+O926</f>
        <v>820000</v>
      </c>
      <c r="Q926" s="39">
        <v>100</v>
      </c>
      <c r="R926" s="39">
        <f t="shared" si="195"/>
        <v>1200000</v>
      </c>
      <c r="S926" s="42">
        <f t="shared" si="196"/>
        <v>0</v>
      </c>
    </row>
    <row r="927" spans="1:19">
      <c r="A927" s="99">
        <v>2025</v>
      </c>
      <c r="B927" s="100">
        <v>11</v>
      </c>
      <c r="C927" s="101">
        <v>45981</v>
      </c>
      <c r="D927" s="101" t="str">
        <f t="shared" si="194"/>
        <v>RMF00005776Навоий_Гулшода опа</v>
      </c>
      <c r="E927" s="99" t="s">
        <v>1397</v>
      </c>
      <c r="F927" s="102" t="s">
        <v>287</v>
      </c>
      <c r="G927" s="102" t="s">
        <v>288</v>
      </c>
      <c r="H927" s="99" t="s">
        <v>1303</v>
      </c>
      <c r="I927" s="102" t="s">
        <v>686</v>
      </c>
      <c r="J927" s="102" t="s">
        <v>38</v>
      </c>
      <c r="K927" s="103">
        <v>20</v>
      </c>
      <c r="L927" s="104">
        <v>65000</v>
      </c>
      <c r="M927" s="104">
        <v>1300000</v>
      </c>
      <c r="N927" s="39">
        <v>759000</v>
      </c>
      <c r="O927" s="39"/>
      <c r="P927" s="108">
        <f>+N927+O927</f>
        <v>759000</v>
      </c>
      <c r="Q927" s="39">
        <v>100</v>
      </c>
      <c r="R927" s="39">
        <f t="shared" si="195"/>
        <v>1300000</v>
      </c>
      <c r="S927" s="42">
        <f t="shared" si="196"/>
        <v>0</v>
      </c>
    </row>
    <row r="928" spans="1:19">
      <c r="A928" s="99">
        <v>2025</v>
      </c>
      <c r="B928" s="100">
        <v>11</v>
      </c>
      <c r="C928" s="101">
        <v>45981</v>
      </c>
      <c r="D928" s="101" t="str">
        <f t="shared" si="194"/>
        <v>RMF00005778Фаргона_Умар ака Сух</v>
      </c>
      <c r="E928" s="99" t="s">
        <v>1398</v>
      </c>
      <c r="F928" s="102" t="s">
        <v>1271</v>
      </c>
      <c r="G928" s="102" t="s">
        <v>1272</v>
      </c>
      <c r="H928" s="99" t="s">
        <v>1303</v>
      </c>
      <c r="I928" s="102" t="s">
        <v>1273</v>
      </c>
      <c r="J928" s="102" t="s">
        <v>41</v>
      </c>
      <c r="K928" s="103">
        <v>15</v>
      </c>
      <c r="L928" s="104">
        <v>90000</v>
      </c>
      <c r="M928" s="104">
        <v>1350000</v>
      </c>
      <c r="N928" s="39">
        <v>320000</v>
      </c>
      <c r="O928" s="39"/>
      <c r="P928" s="108">
        <f>+N928+O928</f>
        <v>320000</v>
      </c>
      <c r="Q928" s="39">
        <v>100</v>
      </c>
      <c r="R928" s="39">
        <f t="shared" si="195"/>
        <v>1350000</v>
      </c>
      <c r="S928" s="42">
        <f t="shared" si="196"/>
        <v>0</v>
      </c>
    </row>
    <row r="929" spans="1:19">
      <c r="A929" s="99">
        <v>2025</v>
      </c>
      <c r="B929" s="100">
        <v>11</v>
      </c>
      <c r="C929" s="101">
        <v>45981</v>
      </c>
      <c r="D929" s="101" t="str">
        <f t="shared" si="194"/>
        <v>RMF00005792Сирдарё_Фотима опа</v>
      </c>
      <c r="E929" s="99" t="s">
        <v>1399</v>
      </c>
      <c r="F929" s="102" t="s">
        <v>541</v>
      </c>
      <c r="G929" s="102" t="s">
        <v>281</v>
      </c>
      <c r="H929" s="99" t="s">
        <v>1303</v>
      </c>
      <c r="I929" s="102" t="s">
        <v>1400</v>
      </c>
      <c r="J929" s="102" t="s">
        <v>466</v>
      </c>
      <c r="K929" s="103">
        <v>50</v>
      </c>
      <c r="L929" s="104">
        <v>120000</v>
      </c>
      <c r="M929" s="104">
        <v>6000000</v>
      </c>
      <c r="N929" s="39">
        <v>4098000</v>
      </c>
      <c r="O929" s="39"/>
      <c r="P929" s="108">
        <f>+N929+O929</f>
        <v>4098000</v>
      </c>
      <c r="Q929" s="39">
        <v>100</v>
      </c>
      <c r="R929" s="39">
        <f t="shared" si="195"/>
        <v>6000000</v>
      </c>
      <c r="S929" s="42">
        <f t="shared" si="196"/>
        <v>0</v>
      </c>
    </row>
    <row r="930" spans="1:19">
      <c r="A930" s="99">
        <v>2025</v>
      </c>
      <c r="B930" s="100">
        <v>11</v>
      </c>
      <c r="C930" s="101">
        <v>45985</v>
      </c>
      <c r="D930" s="101" t="str">
        <f t="shared" si="194"/>
        <v>RMF00005811Бухоро_Нафосат опа</v>
      </c>
      <c r="E930" s="99" t="s">
        <v>1401</v>
      </c>
      <c r="F930" s="102" t="s">
        <v>893</v>
      </c>
      <c r="G930" s="102" t="s">
        <v>894</v>
      </c>
      <c r="H930" s="99" t="s">
        <v>1303</v>
      </c>
      <c r="I930" s="102" t="s">
        <v>1351</v>
      </c>
      <c r="J930" s="102" t="s">
        <v>41</v>
      </c>
      <c r="K930" s="103">
        <v>100</v>
      </c>
      <c r="L930" s="104">
        <v>90000</v>
      </c>
      <c r="M930" s="104">
        <v>9000000</v>
      </c>
      <c r="N930" s="39">
        <v>2659000</v>
      </c>
      <c r="O930" s="39"/>
      <c r="P930" s="108">
        <f>+N930+O930</f>
        <v>2659000</v>
      </c>
      <c r="Q930" s="39">
        <v>100</v>
      </c>
      <c r="R930" s="39">
        <f t="shared" si="195"/>
        <v>9000000</v>
      </c>
      <c r="S930" s="42">
        <f t="shared" si="196"/>
        <v>0</v>
      </c>
    </row>
    <row r="931" spans="1:19">
      <c r="A931" s="99">
        <v>2025</v>
      </c>
      <c r="B931" s="100">
        <v>11</v>
      </c>
      <c r="C931" s="101">
        <v>45985</v>
      </c>
      <c r="D931" s="101" t="str">
        <f t="shared" si="194"/>
        <v>RMF00005831Нукус_Мехрибон опа</v>
      </c>
      <c r="E931" s="99" t="s">
        <v>1402</v>
      </c>
      <c r="F931" s="102" t="s">
        <v>1318</v>
      </c>
      <c r="G931" s="102" t="s">
        <v>1319</v>
      </c>
      <c r="H931" s="99" t="s">
        <v>1303</v>
      </c>
      <c r="I931" s="102" t="s">
        <v>1403</v>
      </c>
      <c r="J931" s="102" t="s">
        <v>41</v>
      </c>
      <c r="K931" s="103">
        <v>300</v>
      </c>
      <c r="L931" s="104">
        <v>90000</v>
      </c>
      <c r="M931" s="104">
        <v>27000000</v>
      </c>
      <c r="N931" s="39">
        <v>5981000</v>
      </c>
      <c r="O931" s="39"/>
      <c r="P931" s="108">
        <f>+N931+O931</f>
        <v>5981000</v>
      </c>
      <c r="Q931" s="39">
        <v>100</v>
      </c>
      <c r="R931" s="39">
        <f t="shared" si="195"/>
        <v>27000000</v>
      </c>
      <c r="S931" s="42">
        <f t="shared" si="196"/>
        <v>0</v>
      </c>
    </row>
    <row r="932" spans="1:19">
      <c r="A932" s="99">
        <v>2025</v>
      </c>
      <c r="B932" s="100">
        <v>11</v>
      </c>
      <c r="C932" s="101">
        <v>45985</v>
      </c>
      <c r="D932" s="101" t="str">
        <f t="shared" si="194"/>
        <v>RMF00005836Бухоро_Нафосат опа</v>
      </c>
      <c r="E932" s="99" t="s">
        <v>1404</v>
      </c>
      <c r="F932" s="102" t="s">
        <v>893</v>
      </c>
      <c r="G932" s="102" t="s">
        <v>894</v>
      </c>
      <c r="H932" s="99" t="s">
        <v>1303</v>
      </c>
      <c r="I932" s="102" t="s">
        <v>1353</v>
      </c>
      <c r="J932" s="102" t="s">
        <v>41</v>
      </c>
      <c r="K932" s="103">
        <v>200</v>
      </c>
      <c r="L932" s="104">
        <v>90000</v>
      </c>
      <c r="M932" s="104">
        <v>18000000</v>
      </c>
      <c r="N932" s="39">
        <v>3268000</v>
      </c>
      <c r="O932" s="39"/>
      <c r="P932" s="108">
        <f>+N932+O932</f>
        <v>3268000</v>
      </c>
      <c r="Q932" s="39">
        <v>100</v>
      </c>
      <c r="R932" s="39">
        <f t="shared" si="195"/>
        <v>18000000</v>
      </c>
      <c r="S932" s="42">
        <f t="shared" si="196"/>
        <v>0</v>
      </c>
    </row>
    <row r="933" spans="1:19">
      <c r="A933" s="99">
        <v>2025</v>
      </c>
      <c r="B933" s="100">
        <v>11</v>
      </c>
      <c r="C933" s="101">
        <v>45986</v>
      </c>
      <c r="D933" s="101" t="str">
        <f t="shared" si="194"/>
        <v>RMF00005840Сирдарё_Фотима опа</v>
      </c>
      <c r="E933" s="99" t="s">
        <v>1405</v>
      </c>
      <c r="F933" s="102" t="s">
        <v>541</v>
      </c>
      <c r="G933" s="102" t="s">
        <v>281</v>
      </c>
      <c r="H933" s="99" t="s">
        <v>1303</v>
      </c>
      <c r="I933" s="102" t="s">
        <v>1406</v>
      </c>
      <c r="J933" s="102" t="s">
        <v>38</v>
      </c>
      <c r="K933" s="103">
        <v>30</v>
      </c>
      <c r="L933" s="104">
        <v>65000</v>
      </c>
      <c r="M933" s="104">
        <v>1950000</v>
      </c>
      <c r="N933" s="39">
        <v>1139000</v>
      </c>
      <c r="O933" s="39"/>
      <c r="P933" s="108">
        <f>+N933+O933</f>
        <v>1139000</v>
      </c>
      <c r="Q933" s="39">
        <v>100</v>
      </c>
      <c r="R933" s="39">
        <f t="shared" si="195"/>
        <v>1950000</v>
      </c>
      <c r="S933" s="42">
        <f t="shared" si="196"/>
        <v>0</v>
      </c>
    </row>
    <row r="934" spans="1:19">
      <c r="A934" s="99">
        <v>2025</v>
      </c>
      <c r="B934" s="100">
        <v>11</v>
      </c>
      <c r="C934" s="101">
        <v>45986</v>
      </c>
      <c r="D934" s="101" t="str">
        <f t="shared" si="194"/>
        <v>RMF00005843Сирдарё_Фотима опа</v>
      </c>
      <c r="E934" s="99" t="s">
        <v>1407</v>
      </c>
      <c r="F934" s="102" t="s">
        <v>284</v>
      </c>
      <c r="G934" s="102" t="s">
        <v>281</v>
      </c>
      <c r="H934" s="99" t="s">
        <v>1303</v>
      </c>
      <c r="I934" s="102" t="s">
        <v>20</v>
      </c>
      <c r="J934" s="102" t="s">
        <v>21</v>
      </c>
      <c r="K934" s="103">
        <v>30</v>
      </c>
      <c r="L934" s="104">
        <v>40621</v>
      </c>
      <c r="M934" s="104">
        <v>1218630</v>
      </c>
      <c r="N934" s="39">
        <v>353000</v>
      </c>
      <c r="O934" s="39"/>
      <c r="P934" s="108">
        <f>+N934+O934</f>
        <v>353000</v>
      </c>
      <c r="Q934" s="39">
        <v>100</v>
      </c>
      <c r="R934" s="39">
        <f t="shared" si="195"/>
        <v>1218630</v>
      </c>
      <c r="S934" s="42">
        <f t="shared" si="196"/>
        <v>0</v>
      </c>
    </row>
    <row r="935" spans="1:19">
      <c r="A935" s="99">
        <v>2025</v>
      </c>
      <c r="B935" s="100">
        <v>11</v>
      </c>
      <c r="C935" s="101">
        <v>45987</v>
      </c>
      <c r="D935" s="101" t="str">
        <f t="shared" si="194"/>
        <v>RMF00005855Андижон_Жонибек ака (S)</v>
      </c>
      <c r="E935" s="99" t="s">
        <v>1409</v>
      </c>
      <c r="F935" s="102" t="s">
        <v>1383</v>
      </c>
      <c r="G935" s="102" t="s">
        <v>1280</v>
      </c>
      <c r="H935" s="99" t="s">
        <v>1303</v>
      </c>
      <c r="I935" s="102" t="s">
        <v>1410</v>
      </c>
      <c r="J935" s="102" t="s">
        <v>38</v>
      </c>
      <c r="K935" s="103">
        <v>50</v>
      </c>
      <c r="L935" s="104">
        <v>65000</v>
      </c>
      <c r="M935" s="104">
        <v>3250000</v>
      </c>
      <c r="N935" s="39">
        <v>1899000</v>
      </c>
      <c r="O935" s="39"/>
      <c r="P935" s="108">
        <f>+N935+O935</f>
        <v>1899000</v>
      </c>
      <c r="Q935" s="39">
        <v>100</v>
      </c>
      <c r="R935" s="39">
        <f t="shared" si="195"/>
        <v>3250000</v>
      </c>
      <c r="S935" s="42">
        <f t="shared" si="196"/>
        <v>0</v>
      </c>
    </row>
    <row r="936" spans="1:19">
      <c r="A936" s="99">
        <v>2025</v>
      </c>
      <c r="B936" s="100">
        <v>11</v>
      </c>
      <c r="C936" s="101">
        <v>45987</v>
      </c>
      <c r="D936" s="101" t="str">
        <f t="shared" si="194"/>
        <v>RMF00005857Самарканд_Хуршед ака</v>
      </c>
      <c r="E936" s="99" t="s">
        <v>1411</v>
      </c>
      <c r="F936" s="102" t="s">
        <v>1302</v>
      </c>
      <c r="G936" s="102" t="s">
        <v>272</v>
      </c>
      <c r="H936" s="99" t="s">
        <v>1303</v>
      </c>
      <c r="I936" s="102" t="s">
        <v>1330</v>
      </c>
      <c r="J936" s="102" t="s">
        <v>466</v>
      </c>
      <c r="K936" s="103">
        <v>20</v>
      </c>
      <c r="L936" s="104">
        <v>120000</v>
      </c>
      <c r="M936" s="104">
        <v>2400000</v>
      </c>
      <c r="N936" s="39">
        <v>709000</v>
      </c>
      <c r="O936" s="39"/>
      <c r="P936" s="108">
        <f>+N936+O936</f>
        <v>709000</v>
      </c>
      <c r="Q936" s="39">
        <v>100</v>
      </c>
      <c r="R936" s="39">
        <f t="shared" si="195"/>
        <v>2400000</v>
      </c>
      <c r="S936" s="42">
        <f t="shared" si="196"/>
        <v>0</v>
      </c>
    </row>
    <row r="937" spans="1:19">
      <c r="A937" s="99">
        <v>2025</v>
      </c>
      <c r="B937" s="100">
        <v>11</v>
      </c>
      <c r="C937" s="101">
        <v>45987</v>
      </c>
      <c r="D937" s="101" t="str">
        <f t="shared" si="194"/>
        <v>RMF00005863Сирдарё_Фотима опа</v>
      </c>
      <c r="E937" s="99" t="s">
        <v>1412</v>
      </c>
      <c r="F937" s="102" t="s">
        <v>284</v>
      </c>
      <c r="G937" s="102" t="s">
        <v>281</v>
      </c>
      <c r="H937" s="99" t="s">
        <v>1303</v>
      </c>
      <c r="I937" s="102" t="s">
        <v>23</v>
      </c>
      <c r="J937" s="102" t="s">
        <v>21</v>
      </c>
      <c r="K937" s="103">
        <v>50</v>
      </c>
      <c r="L937" s="104">
        <v>40621</v>
      </c>
      <c r="M937" s="104">
        <v>2031050</v>
      </c>
      <c r="N937" s="39">
        <v>1449000</v>
      </c>
      <c r="O937" s="39"/>
      <c r="P937" s="108">
        <f>+N937+O937</f>
        <v>1449000</v>
      </c>
      <c r="Q937" s="39">
        <v>100</v>
      </c>
      <c r="R937" s="39">
        <f t="shared" si="195"/>
        <v>2031050</v>
      </c>
      <c r="S937" s="42">
        <f t="shared" si="196"/>
        <v>0</v>
      </c>
    </row>
    <row r="938" spans="1:19">
      <c r="A938" s="99">
        <v>2025</v>
      </c>
      <c r="B938" s="100">
        <v>11</v>
      </c>
      <c r="C938" s="101">
        <v>45988</v>
      </c>
      <c r="D938" s="101" t="str">
        <f t="shared" si="194"/>
        <v>RMF00005885Таш.Обл_Ноила опа</v>
      </c>
      <c r="E938" s="99" t="s">
        <v>1413</v>
      </c>
      <c r="F938" s="102" t="s">
        <v>1414</v>
      </c>
      <c r="G938" s="102" t="s">
        <v>1101</v>
      </c>
      <c r="H938" s="99" t="s">
        <v>1303</v>
      </c>
      <c r="I938" s="102" t="s">
        <v>1415</v>
      </c>
      <c r="J938" s="102" t="s">
        <v>38</v>
      </c>
      <c r="K938" s="103">
        <v>30</v>
      </c>
      <c r="L938" s="104">
        <v>65000</v>
      </c>
      <c r="M938" s="104">
        <v>1950000</v>
      </c>
      <c r="N938" s="39">
        <v>148000</v>
      </c>
      <c r="O938" s="39"/>
      <c r="P938" s="108">
        <f>+N938+O938</f>
        <v>148000</v>
      </c>
      <c r="Q938" s="39">
        <v>100</v>
      </c>
      <c r="R938" s="39">
        <f t="shared" si="195"/>
        <v>1950000</v>
      </c>
      <c r="S938" s="42">
        <f t="shared" si="196"/>
        <v>0</v>
      </c>
    </row>
    <row r="939" spans="1:19">
      <c r="A939" s="99">
        <v>2025</v>
      </c>
      <c r="B939" s="100">
        <v>11</v>
      </c>
      <c r="C939" s="101">
        <v>45988</v>
      </c>
      <c r="D939" s="101" t="str">
        <f t="shared" si="194"/>
        <v>RMF00005887Самарканд_Хуршед ака</v>
      </c>
      <c r="E939" s="99" t="s">
        <v>1416</v>
      </c>
      <c r="F939" s="102" t="s">
        <v>1417</v>
      </c>
      <c r="G939" s="102" t="s">
        <v>272</v>
      </c>
      <c r="H939" s="99" t="s">
        <v>1303</v>
      </c>
      <c r="I939" s="102" t="s">
        <v>1418</v>
      </c>
      <c r="J939" s="102" t="s">
        <v>21</v>
      </c>
      <c r="K939" s="103">
        <v>120</v>
      </c>
      <c r="L939" s="104">
        <v>40621</v>
      </c>
      <c r="M939" s="104">
        <v>4874520</v>
      </c>
      <c r="N939" s="39">
        <v>3717000</v>
      </c>
      <c r="O939" s="39"/>
      <c r="P939" s="108">
        <f>+N939+O939</f>
        <v>3717000</v>
      </c>
      <c r="Q939" s="39">
        <v>100</v>
      </c>
      <c r="R939" s="39">
        <f t="shared" si="195"/>
        <v>4874520</v>
      </c>
      <c r="S939" s="42">
        <f t="shared" si="196"/>
        <v>0</v>
      </c>
    </row>
    <row r="940" spans="1:19">
      <c r="A940" s="99">
        <v>2025</v>
      </c>
      <c r="B940" s="100">
        <v>12</v>
      </c>
      <c r="C940" s="101">
        <v>45992</v>
      </c>
      <c r="D940" s="101" t="str">
        <f t="shared" si="194"/>
        <v>RMF00005927Нукус_Мехрибон опа</v>
      </c>
      <c r="E940" s="99" t="s">
        <v>1419</v>
      </c>
      <c r="F940" s="102" t="s">
        <v>1420</v>
      </c>
      <c r="G940" s="102" t="s">
        <v>1319</v>
      </c>
      <c r="H940" s="99" t="s">
        <v>1303</v>
      </c>
      <c r="I940" s="102" t="s">
        <v>1421</v>
      </c>
      <c r="J940" s="102" t="s">
        <v>41</v>
      </c>
      <c r="K940" s="103">
        <v>50</v>
      </c>
      <c r="L940" s="104">
        <v>90000</v>
      </c>
      <c r="M940" s="104">
        <v>4500000</v>
      </c>
      <c r="N940" s="39">
        <v>1315000</v>
      </c>
      <c r="O940" s="39"/>
      <c r="P940" s="108">
        <f>+N940+O940</f>
        <v>1315000</v>
      </c>
      <c r="Q940" s="39">
        <v>100</v>
      </c>
      <c r="R940" s="39">
        <f t="shared" si="195"/>
        <v>4500000</v>
      </c>
      <c r="S940" s="42">
        <f t="shared" si="196"/>
        <v>0</v>
      </c>
    </row>
    <row r="941" spans="1:19">
      <c r="A941" s="99">
        <v>2025</v>
      </c>
      <c r="B941" s="100">
        <v>12</v>
      </c>
      <c r="C941" s="101">
        <v>45992</v>
      </c>
      <c r="D941" s="101" t="str">
        <f t="shared" si="194"/>
        <v>RMF00005929Нукус_Мехрибон опа</v>
      </c>
      <c r="E941" s="99" t="s">
        <v>1422</v>
      </c>
      <c r="F941" s="102" t="s">
        <v>1318</v>
      </c>
      <c r="G941" s="102" t="s">
        <v>1319</v>
      </c>
      <c r="H941" s="99" t="s">
        <v>1303</v>
      </c>
      <c r="I941" s="102" t="s">
        <v>1423</v>
      </c>
      <c r="J941" s="102" t="s">
        <v>41</v>
      </c>
      <c r="K941" s="103">
        <v>50</v>
      </c>
      <c r="L941" s="104">
        <v>90000</v>
      </c>
      <c r="M941" s="104">
        <v>4500000</v>
      </c>
      <c r="N941" s="39">
        <v>1259000</v>
      </c>
      <c r="O941" s="39"/>
      <c r="P941" s="108">
        <f>+N941+O941</f>
        <v>1259000</v>
      </c>
      <c r="Q941" s="39">
        <v>100</v>
      </c>
      <c r="R941" s="39">
        <f t="shared" si="195"/>
        <v>4500000</v>
      </c>
      <c r="S941" s="42">
        <f t="shared" si="196"/>
        <v>0</v>
      </c>
    </row>
    <row r="942" spans="1:19">
      <c r="A942" s="99">
        <v>2025</v>
      </c>
      <c r="B942" s="100">
        <v>12</v>
      </c>
      <c r="C942" s="101">
        <v>45992</v>
      </c>
      <c r="D942" s="101" t="str">
        <f t="shared" si="194"/>
        <v>RMF00005936Самарканд_Хуршед ака</v>
      </c>
      <c r="E942" s="99" t="s">
        <v>1424</v>
      </c>
      <c r="F942" s="102" t="s">
        <v>1425</v>
      </c>
      <c r="G942" s="102" t="s">
        <v>272</v>
      </c>
      <c r="H942" s="99" t="s">
        <v>1303</v>
      </c>
      <c r="I942" s="102" t="s">
        <v>1426</v>
      </c>
      <c r="J942" s="102" t="s">
        <v>21</v>
      </c>
      <c r="K942" s="103">
        <v>120</v>
      </c>
      <c r="L942" s="104">
        <v>40621</v>
      </c>
      <c r="M942" s="104">
        <v>4874520</v>
      </c>
      <c r="N942" s="39">
        <v>1212000</v>
      </c>
      <c r="O942" s="39"/>
      <c r="P942" s="108">
        <f>+N942+O942</f>
        <v>1212000</v>
      </c>
      <c r="Q942" s="39">
        <v>100</v>
      </c>
      <c r="R942" s="39">
        <f t="shared" si="195"/>
        <v>4874520</v>
      </c>
      <c r="S942" s="42">
        <f t="shared" si="196"/>
        <v>0</v>
      </c>
    </row>
    <row r="943" spans="1:19">
      <c r="A943" s="99">
        <v>2025</v>
      </c>
      <c r="B943" s="100">
        <v>12</v>
      </c>
      <c r="C943" s="101">
        <v>45992</v>
      </c>
      <c r="D943" s="101" t="str">
        <f t="shared" si="194"/>
        <v>RMF00005939Навоий_Гулшода опа</v>
      </c>
      <c r="E943" s="99" t="s">
        <v>1427</v>
      </c>
      <c r="F943" s="102" t="s">
        <v>287</v>
      </c>
      <c r="G943" s="102" t="s">
        <v>288</v>
      </c>
      <c r="H943" s="99" t="s">
        <v>1303</v>
      </c>
      <c r="I943" s="102" t="s">
        <v>358</v>
      </c>
      <c r="J943" s="102" t="s">
        <v>466</v>
      </c>
      <c r="K943" s="103">
        <v>20</v>
      </c>
      <c r="L943" s="104">
        <v>120000</v>
      </c>
      <c r="M943" s="104">
        <v>2400000</v>
      </c>
      <c r="N943" s="39">
        <v>1580000</v>
      </c>
      <c r="O943" s="39"/>
      <c r="P943" s="108">
        <f>+N943+O943</f>
        <v>1580000</v>
      </c>
      <c r="Q943" s="39">
        <v>100</v>
      </c>
      <c r="R943" s="39">
        <f t="shared" si="195"/>
        <v>2400000</v>
      </c>
      <c r="S943" s="42">
        <f t="shared" si="196"/>
        <v>0</v>
      </c>
    </row>
    <row r="944" spans="1:19">
      <c r="A944" s="99">
        <v>2025</v>
      </c>
      <c r="B944" s="100">
        <v>12</v>
      </c>
      <c r="C944" s="101">
        <v>45993</v>
      </c>
      <c r="D944" s="101" t="str">
        <f t="shared" si="194"/>
        <v>RMF00005945Самарканд_Хуршед ака</v>
      </c>
      <c r="E944" s="99" t="s">
        <v>1428</v>
      </c>
      <c r="F944" s="102" t="s">
        <v>1302</v>
      </c>
      <c r="G944" s="102" t="s">
        <v>272</v>
      </c>
      <c r="H944" s="99" t="s">
        <v>1303</v>
      </c>
      <c r="I944" s="102" t="s">
        <v>1306</v>
      </c>
      <c r="J944" s="102" t="s">
        <v>21</v>
      </c>
      <c r="K944" s="103">
        <v>20</v>
      </c>
      <c r="L944" s="104">
        <v>40621</v>
      </c>
      <c r="M944" s="104">
        <v>812420</v>
      </c>
      <c r="N944" s="39">
        <v>99000</v>
      </c>
      <c r="O944" s="39"/>
      <c r="P944" s="108">
        <f>+N944+O944</f>
        <v>99000</v>
      </c>
      <c r="Q944" s="39">
        <v>100</v>
      </c>
      <c r="R944" s="39">
        <f t="shared" si="195"/>
        <v>812420</v>
      </c>
      <c r="S944" s="42">
        <f t="shared" si="196"/>
        <v>0</v>
      </c>
    </row>
    <row r="945" spans="1:19">
      <c r="A945" s="99">
        <v>2025</v>
      </c>
      <c r="B945" s="100">
        <v>12</v>
      </c>
      <c r="C945" s="101">
        <v>45993</v>
      </c>
      <c r="D945" s="101" t="str">
        <f t="shared" si="194"/>
        <v>RMF00005946Таш.Обл_Ноила опа</v>
      </c>
      <c r="E945" s="99" t="s">
        <v>1429</v>
      </c>
      <c r="F945" s="102" t="s">
        <v>1430</v>
      </c>
      <c r="G945" s="102" t="s">
        <v>1101</v>
      </c>
      <c r="H945" s="99" t="s">
        <v>1303</v>
      </c>
      <c r="I945" s="102" t="s">
        <v>1030</v>
      </c>
      <c r="J945" s="102" t="s">
        <v>38</v>
      </c>
      <c r="K945" s="103">
        <v>100</v>
      </c>
      <c r="L945" s="104">
        <v>65000</v>
      </c>
      <c r="M945" s="104">
        <v>6500000</v>
      </c>
      <c r="N945" s="39">
        <v>204000</v>
      </c>
      <c r="O945" s="39"/>
      <c r="P945" s="108">
        <f>+N945+O945</f>
        <v>204000</v>
      </c>
      <c r="Q945" s="39">
        <v>100</v>
      </c>
      <c r="R945" s="39">
        <f t="shared" si="195"/>
        <v>6500000</v>
      </c>
      <c r="S945" s="42">
        <f t="shared" si="196"/>
        <v>0</v>
      </c>
    </row>
    <row r="946" spans="1:19">
      <c r="A946" s="99">
        <v>2025</v>
      </c>
      <c r="B946" s="100">
        <v>12</v>
      </c>
      <c r="C946" s="101">
        <v>45994</v>
      </c>
      <c r="D946" s="101" t="str">
        <f t="shared" si="194"/>
        <v>RMF00005970Сирдарё_Фотима опа</v>
      </c>
      <c r="E946" s="99" t="s">
        <v>1431</v>
      </c>
      <c r="F946" s="102" t="s">
        <v>541</v>
      </c>
      <c r="G946" s="102" t="s">
        <v>281</v>
      </c>
      <c r="H946" s="99" t="s">
        <v>1303</v>
      </c>
      <c r="I946" s="102" t="s">
        <v>1432</v>
      </c>
      <c r="J946" s="102" t="s">
        <v>21</v>
      </c>
      <c r="K946" s="103">
        <v>10</v>
      </c>
      <c r="L946" s="104">
        <v>40621</v>
      </c>
      <c r="M946" s="104">
        <v>406210</v>
      </c>
      <c r="N946" s="39">
        <v>118000</v>
      </c>
      <c r="O946" s="39"/>
      <c r="P946" s="108">
        <f>+N946+O946</f>
        <v>118000</v>
      </c>
      <c r="Q946" s="39">
        <v>100</v>
      </c>
      <c r="R946" s="39">
        <f t="shared" si="195"/>
        <v>406210</v>
      </c>
      <c r="S946" s="42">
        <f t="shared" si="196"/>
        <v>0</v>
      </c>
    </row>
    <row r="947" spans="1:19">
      <c r="A947" s="99">
        <v>2025</v>
      </c>
      <c r="B947" s="100">
        <v>12</v>
      </c>
      <c r="C947" s="101">
        <v>45995</v>
      </c>
      <c r="D947" s="101" t="str">
        <f t="shared" si="194"/>
        <v>RMF00005994Андижон_Жонибек ака (S)</v>
      </c>
      <c r="E947" s="99" t="s">
        <v>1433</v>
      </c>
      <c r="F947" s="102" t="s">
        <v>1383</v>
      </c>
      <c r="G947" s="102" t="s">
        <v>1280</v>
      </c>
      <c r="H947" s="99" t="s">
        <v>1303</v>
      </c>
      <c r="I947" s="102" t="s">
        <v>1395</v>
      </c>
      <c r="J947" s="102" t="s">
        <v>466</v>
      </c>
      <c r="K947" s="103">
        <v>40</v>
      </c>
      <c r="L947" s="104">
        <v>120000</v>
      </c>
      <c r="M947" s="104">
        <v>4800000</v>
      </c>
      <c r="N947" s="39">
        <v>3278000</v>
      </c>
      <c r="O947" s="39"/>
      <c r="P947" s="108">
        <f>+N947+O947</f>
        <v>3278000</v>
      </c>
      <c r="Q947" s="39">
        <v>100</v>
      </c>
      <c r="R947" s="39">
        <f t="shared" si="195"/>
        <v>4800000</v>
      </c>
      <c r="S947" s="42">
        <f t="shared" si="196"/>
        <v>0</v>
      </c>
    </row>
    <row r="948" spans="1:19">
      <c r="A948" s="99">
        <v>2025</v>
      </c>
      <c r="B948" s="100">
        <v>12</v>
      </c>
      <c r="C948" s="101">
        <v>46001</v>
      </c>
      <c r="D948" s="101" t="str">
        <f t="shared" si="194"/>
        <v>RMF00006064Самарканд_Хуршед ака</v>
      </c>
      <c r="E948" s="99" t="s">
        <v>1435</v>
      </c>
      <c r="F948" s="102" t="s">
        <v>1302</v>
      </c>
      <c r="G948" s="102" t="s">
        <v>272</v>
      </c>
      <c r="H948" s="99" t="s">
        <v>1303</v>
      </c>
      <c r="I948" s="102" t="s">
        <v>986</v>
      </c>
      <c r="J948" s="102" t="s">
        <v>21</v>
      </c>
      <c r="K948" s="103">
        <v>120</v>
      </c>
      <c r="L948" s="104">
        <v>40621</v>
      </c>
      <c r="M948" s="104">
        <v>4874520</v>
      </c>
      <c r="N948" s="39">
        <v>1637000</v>
      </c>
      <c r="O948" s="39"/>
      <c r="P948" s="108">
        <f>+N948+O948</f>
        <v>1637000</v>
      </c>
      <c r="Q948" s="39">
        <v>100</v>
      </c>
      <c r="R948" s="39">
        <f t="shared" si="195"/>
        <v>4874520</v>
      </c>
      <c r="S948" s="42">
        <f t="shared" si="196"/>
        <v>0</v>
      </c>
    </row>
    <row r="949" spans="1:19">
      <c r="A949" s="99">
        <v>2025</v>
      </c>
      <c r="B949" s="100">
        <v>12</v>
      </c>
      <c r="C949" s="101">
        <v>46002</v>
      </c>
      <c r="D949" s="101" t="str">
        <f t="shared" si="194"/>
        <v>RMF00006077Самарканд_Хуршед ака</v>
      </c>
      <c r="E949" s="99" t="s">
        <v>1436</v>
      </c>
      <c r="F949" s="102" t="s">
        <v>1302</v>
      </c>
      <c r="G949" s="102" t="s">
        <v>272</v>
      </c>
      <c r="H949" s="99" t="s">
        <v>1303</v>
      </c>
      <c r="I949" s="102" t="s">
        <v>1316</v>
      </c>
      <c r="J949" s="102" t="s">
        <v>21</v>
      </c>
      <c r="K949" s="103">
        <v>150</v>
      </c>
      <c r="L949" s="104">
        <v>40621</v>
      </c>
      <c r="M949" s="104">
        <v>6093150</v>
      </c>
      <c r="N949" s="39">
        <v>1354000</v>
      </c>
      <c r="O949" s="39"/>
      <c r="P949" s="108">
        <f>+N949+O949</f>
        <v>1354000</v>
      </c>
      <c r="Q949" s="39">
        <v>100</v>
      </c>
      <c r="R949" s="39">
        <f t="shared" si="195"/>
        <v>6093150</v>
      </c>
      <c r="S949" s="42">
        <f t="shared" si="196"/>
        <v>0</v>
      </c>
    </row>
    <row r="950" spans="1:19">
      <c r="A950" s="99">
        <v>2025</v>
      </c>
      <c r="B950" s="100">
        <v>12</v>
      </c>
      <c r="C950" s="101">
        <v>46003</v>
      </c>
      <c r="D950" s="101" t="str">
        <f t="shared" si="194"/>
        <v>RMF00006098Самарканд_Хуршед ака</v>
      </c>
      <c r="E950" s="99" t="s">
        <v>1437</v>
      </c>
      <c r="F950" s="102" t="s">
        <v>1417</v>
      </c>
      <c r="G950" s="102" t="s">
        <v>272</v>
      </c>
      <c r="H950" s="99" t="s">
        <v>1303</v>
      </c>
      <c r="I950" s="102" t="s">
        <v>1330</v>
      </c>
      <c r="J950" s="102" t="s">
        <v>466</v>
      </c>
      <c r="K950" s="103">
        <v>10</v>
      </c>
      <c r="L950" s="104">
        <v>120000</v>
      </c>
      <c r="M950" s="104">
        <v>1200000</v>
      </c>
      <c r="N950" s="39">
        <v>351000</v>
      </c>
      <c r="O950" s="39"/>
      <c r="P950" s="108">
        <f>+N950+O950</f>
        <v>351000</v>
      </c>
      <c r="Q950" s="39">
        <v>100</v>
      </c>
      <c r="R950" s="39">
        <f t="shared" si="195"/>
        <v>1200000</v>
      </c>
      <c r="S950" s="42">
        <f t="shared" si="196"/>
        <v>0</v>
      </c>
    </row>
    <row r="951" spans="1:19">
      <c r="A951" s="99">
        <v>2025</v>
      </c>
      <c r="B951" s="100">
        <v>12</v>
      </c>
      <c r="C951" s="101">
        <v>46003</v>
      </c>
      <c r="D951" s="101" t="str">
        <f t="shared" si="194"/>
        <v>RMF00006106Нукус_Мехрибон опа</v>
      </c>
      <c r="E951" s="99" t="s">
        <v>1438</v>
      </c>
      <c r="F951" s="102" t="s">
        <v>1420</v>
      </c>
      <c r="G951" s="102" t="s">
        <v>1319</v>
      </c>
      <c r="H951" s="99" t="s">
        <v>1303</v>
      </c>
      <c r="I951" s="102" t="s">
        <v>1337</v>
      </c>
      <c r="J951" s="102" t="s">
        <v>41</v>
      </c>
      <c r="K951" s="103">
        <v>300</v>
      </c>
      <c r="L951" s="104">
        <v>90000</v>
      </c>
      <c r="M951" s="104">
        <v>27000000</v>
      </c>
      <c r="N951" s="39">
        <v>15989000</v>
      </c>
      <c r="O951" s="39"/>
      <c r="P951" s="108">
        <f>+N951+O951</f>
        <v>15989000</v>
      </c>
      <c r="Q951" s="39">
        <v>100</v>
      </c>
      <c r="R951" s="39">
        <f t="shared" si="195"/>
        <v>27000000</v>
      </c>
      <c r="S951" s="42">
        <f t="shared" si="196"/>
        <v>0</v>
      </c>
    </row>
    <row r="952" spans="1:19">
      <c r="A952" s="99">
        <v>2025</v>
      </c>
      <c r="B952" s="100">
        <v>12</v>
      </c>
      <c r="C952" s="101">
        <v>46003</v>
      </c>
      <c r="D952" s="101" t="str">
        <f t="shared" si="194"/>
        <v>RMF00006107Нукус_Мехрибон опа</v>
      </c>
      <c r="E952" s="99" t="s">
        <v>1439</v>
      </c>
      <c r="F952" s="102" t="s">
        <v>1420</v>
      </c>
      <c r="G952" s="102" t="s">
        <v>1319</v>
      </c>
      <c r="H952" s="99" t="s">
        <v>1303</v>
      </c>
      <c r="I952" s="102" t="s">
        <v>1440</v>
      </c>
      <c r="J952" s="102" t="s">
        <v>41</v>
      </c>
      <c r="K952" s="103">
        <v>50</v>
      </c>
      <c r="L952" s="104">
        <v>90000</v>
      </c>
      <c r="M952" s="104">
        <v>4500000</v>
      </c>
      <c r="N952" s="39">
        <v>1259000</v>
      </c>
      <c r="O952" s="39"/>
      <c r="P952" s="108">
        <f>+N952+O952</f>
        <v>1259000</v>
      </c>
      <c r="Q952" s="39">
        <v>100</v>
      </c>
      <c r="R952" s="39">
        <f t="shared" si="195"/>
        <v>4500000</v>
      </c>
      <c r="S952" s="42">
        <f t="shared" si="196"/>
        <v>0</v>
      </c>
    </row>
    <row r="953" spans="1:19">
      <c r="A953" s="99">
        <v>2025</v>
      </c>
      <c r="B953" s="100">
        <v>12</v>
      </c>
      <c r="C953" s="101">
        <v>46003</v>
      </c>
      <c r="D953" s="101" t="str">
        <f t="shared" si="194"/>
        <v>RMF00006109Сирдарё_Фотима опа</v>
      </c>
      <c r="E953" s="99" t="s">
        <v>1441</v>
      </c>
      <c r="F953" s="102" t="s">
        <v>284</v>
      </c>
      <c r="G953" s="102" t="s">
        <v>281</v>
      </c>
      <c r="H953" s="99" t="s">
        <v>1303</v>
      </c>
      <c r="I953" s="102" t="s">
        <v>25</v>
      </c>
      <c r="J953" s="102" t="s">
        <v>21</v>
      </c>
      <c r="K953" s="103">
        <v>40</v>
      </c>
      <c r="L953" s="104">
        <v>40621</v>
      </c>
      <c r="M953" s="104">
        <v>1624840</v>
      </c>
      <c r="N953" s="39">
        <v>1084000</v>
      </c>
      <c r="O953" s="39"/>
      <c r="P953" s="108">
        <f>+N953+O953</f>
        <v>1084000</v>
      </c>
      <c r="Q953" s="39">
        <v>100</v>
      </c>
      <c r="R953" s="39">
        <f t="shared" si="195"/>
        <v>1624840</v>
      </c>
      <c r="S953" s="42">
        <f t="shared" si="196"/>
        <v>0</v>
      </c>
    </row>
    <row r="954" spans="1:19">
      <c r="A954" s="99">
        <v>2025</v>
      </c>
      <c r="B954" s="100">
        <v>12</v>
      </c>
      <c r="C954" s="101">
        <v>46006</v>
      </c>
      <c r="D954" s="101" t="str">
        <f t="shared" si="194"/>
        <v>RMF00006114Сирдарё_Фотима опа</v>
      </c>
      <c r="E954" s="99" t="s">
        <v>1442</v>
      </c>
      <c r="F954" s="102" t="s">
        <v>284</v>
      </c>
      <c r="G954" s="102" t="s">
        <v>281</v>
      </c>
      <c r="H954" s="99" t="s">
        <v>1303</v>
      </c>
      <c r="I954" s="102" t="s">
        <v>1311</v>
      </c>
      <c r="J954" s="102" t="s">
        <v>38</v>
      </c>
      <c r="K954" s="103">
        <v>30</v>
      </c>
      <c r="L954" s="104">
        <v>65000</v>
      </c>
      <c r="M954" s="104">
        <v>1950000</v>
      </c>
      <c r="N954" s="39">
        <v>467000</v>
      </c>
      <c r="O954" s="39"/>
      <c r="P954" s="108">
        <f>+N954+O954</f>
        <v>467000</v>
      </c>
      <c r="Q954" s="39">
        <v>100</v>
      </c>
      <c r="R954" s="39">
        <f t="shared" si="195"/>
        <v>1950000</v>
      </c>
      <c r="S954" s="42">
        <f t="shared" si="196"/>
        <v>0</v>
      </c>
    </row>
    <row r="955" spans="1:19">
      <c r="A955" s="99">
        <v>2025</v>
      </c>
      <c r="B955" s="100">
        <v>12</v>
      </c>
      <c r="C955" s="101">
        <v>46006</v>
      </c>
      <c r="D955" s="101" t="str">
        <f t="shared" si="194"/>
        <v>RMF00006116Самарканд_Хуршед ака</v>
      </c>
      <c r="E955" s="99" t="s">
        <v>1443</v>
      </c>
      <c r="F955" s="102" t="s">
        <v>1444</v>
      </c>
      <c r="G955" s="102" t="s">
        <v>272</v>
      </c>
      <c r="H955" s="99" t="s">
        <v>1303</v>
      </c>
      <c r="I955" s="102" t="s">
        <v>1445</v>
      </c>
      <c r="J955" s="102" t="s">
        <v>21</v>
      </c>
      <c r="K955" s="103">
        <v>20</v>
      </c>
      <c r="L955" s="104">
        <v>40621</v>
      </c>
      <c r="M955" s="104">
        <v>812420</v>
      </c>
      <c r="N955" s="39">
        <v>620000</v>
      </c>
      <c r="O955" s="39"/>
      <c r="P955" s="108">
        <f>+N955+O955</f>
        <v>620000</v>
      </c>
      <c r="Q955" s="39">
        <v>100</v>
      </c>
      <c r="R955" s="39">
        <f t="shared" si="195"/>
        <v>812420</v>
      </c>
      <c r="S955" s="42">
        <f t="shared" si="196"/>
        <v>0</v>
      </c>
    </row>
    <row r="956" spans="1:19">
      <c r="A956" s="99">
        <v>2025</v>
      </c>
      <c r="B956" s="100">
        <v>12</v>
      </c>
      <c r="C956" s="101">
        <v>46006</v>
      </c>
      <c r="D956" s="101" t="str">
        <f t="shared" si="194"/>
        <v>RMF00006130Навоий_Гулшода опа</v>
      </c>
      <c r="E956" s="99" t="s">
        <v>1446</v>
      </c>
      <c r="F956" s="102" t="s">
        <v>1447</v>
      </c>
      <c r="G956" s="102" t="s">
        <v>288</v>
      </c>
      <c r="H956" s="99" t="s">
        <v>1303</v>
      </c>
      <c r="I956" s="102" t="s">
        <v>62</v>
      </c>
      <c r="J956" s="102" t="s">
        <v>38</v>
      </c>
      <c r="K956" s="103">
        <v>40</v>
      </c>
      <c r="L956" s="104">
        <v>65000</v>
      </c>
      <c r="M956" s="104">
        <v>2600000</v>
      </c>
      <c r="N956" s="39">
        <v>1518000</v>
      </c>
      <c r="O956" s="39"/>
      <c r="P956" s="108">
        <f>+N956+O956</f>
        <v>1518000</v>
      </c>
      <c r="Q956" s="39">
        <v>100</v>
      </c>
      <c r="R956" s="39">
        <f t="shared" si="195"/>
        <v>2600000</v>
      </c>
      <c r="S956" s="42">
        <f t="shared" si="196"/>
        <v>0</v>
      </c>
    </row>
    <row r="957" spans="1:19">
      <c r="A957" s="99">
        <v>2025</v>
      </c>
      <c r="B957" s="100">
        <v>12</v>
      </c>
      <c r="C957" s="101">
        <v>46006</v>
      </c>
      <c r="D957" s="101" t="str">
        <f t="shared" si="194"/>
        <v>RMF00006131Сирдарё_Фотима опа</v>
      </c>
      <c r="E957" s="99" t="s">
        <v>1448</v>
      </c>
      <c r="F957" s="102" t="s">
        <v>284</v>
      </c>
      <c r="G957" s="102" t="s">
        <v>281</v>
      </c>
      <c r="H957" s="99" t="s">
        <v>1303</v>
      </c>
      <c r="I957" s="102" t="s">
        <v>1449</v>
      </c>
      <c r="J957" s="102" t="s">
        <v>38</v>
      </c>
      <c r="K957" s="103">
        <v>20</v>
      </c>
      <c r="L957" s="104">
        <v>65000</v>
      </c>
      <c r="M957" s="104">
        <v>1300000</v>
      </c>
      <c r="N957" s="39">
        <v>335000</v>
      </c>
      <c r="O957" s="39"/>
      <c r="P957" s="108">
        <f>+N957+O957</f>
        <v>335000</v>
      </c>
      <c r="Q957" s="39">
        <v>100</v>
      </c>
      <c r="R957" s="39">
        <f t="shared" si="195"/>
        <v>1300000</v>
      </c>
      <c r="S957" s="42">
        <f t="shared" si="196"/>
        <v>0</v>
      </c>
    </row>
    <row r="958" spans="1:19">
      <c r="A958" s="99">
        <v>2025</v>
      </c>
      <c r="B958" s="100">
        <v>12</v>
      </c>
      <c r="C958" s="101">
        <v>46006</v>
      </c>
      <c r="D958" s="101" t="str">
        <f t="shared" si="194"/>
        <v>RMF00006131Сирдарё_Фотима опа</v>
      </c>
      <c r="E958" s="99" t="s">
        <v>1448</v>
      </c>
      <c r="F958" s="102" t="s">
        <v>284</v>
      </c>
      <c r="G958" s="102" t="s">
        <v>281</v>
      </c>
      <c r="H958" s="99" t="s">
        <v>1303</v>
      </c>
      <c r="I958" s="102" t="s">
        <v>1449</v>
      </c>
      <c r="J958" s="102" t="s">
        <v>21</v>
      </c>
      <c r="K958" s="103">
        <v>50</v>
      </c>
      <c r="L958" s="104">
        <v>40621</v>
      </c>
      <c r="M958" s="104">
        <v>2031050</v>
      </c>
      <c r="N958" s="39">
        <v>640000</v>
      </c>
      <c r="O958" s="39"/>
      <c r="P958" s="108">
        <f>+N958+O958</f>
        <v>640000</v>
      </c>
      <c r="Q958" s="39">
        <v>100</v>
      </c>
      <c r="R958" s="39">
        <f t="shared" si="195"/>
        <v>2031050</v>
      </c>
      <c r="S958" s="42">
        <f t="shared" si="196"/>
        <v>0</v>
      </c>
    </row>
    <row r="959" spans="1:19">
      <c r="A959" s="99">
        <v>2025</v>
      </c>
      <c r="B959" s="100">
        <v>12</v>
      </c>
      <c r="C959" s="101">
        <v>46006</v>
      </c>
      <c r="D959" s="101" t="str">
        <f t="shared" si="194"/>
        <v>RMF00006132Кукон_Баходирхон ака</v>
      </c>
      <c r="E959" s="99" t="s">
        <v>1450</v>
      </c>
      <c r="F959" s="102" t="s">
        <v>1451</v>
      </c>
      <c r="G959" s="102" t="s">
        <v>1264</v>
      </c>
      <c r="H959" s="99" t="s">
        <v>1303</v>
      </c>
      <c r="I959" s="102" t="s">
        <v>1265</v>
      </c>
      <c r="J959" s="102" t="s">
        <v>46</v>
      </c>
      <c r="K959" s="103">
        <v>10</v>
      </c>
      <c r="L959" s="104">
        <v>64700</v>
      </c>
      <c r="M959" s="104">
        <v>647000</v>
      </c>
      <c r="N959" s="39">
        <v>400000</v>
      </c>
      <c r="O959" s="39"/>
      <c r="P959" s="108">
        <f>+N959+O959</f>
        <v>400000</v>
      </c>
      <c r="Q959" s="39">
        <v>100</v>
      </c>
      <c r="R959" s="39">
        <f t="shared" si="195"/>
        <v>647000</v>
      </c>
      <c r="S959" s="42">
        <f t="shared" si="196"/>
        <v>0</v>
      </c>
    </row>
    <row r="960" spans="1:19">
      <c r="A960" s="99">
        <v>2025</v>
      </c>
      <c r="B960" s="100">
        <v>12</v>
      </c>
      <c r="C960" s="101">
        <v>46007</v>
      </c>
      <c r="D960" s="101" t="str">
        <f t="shared" si="194"/>
        <v>RMF00006155Сирдарё_Фотима опа</v>
      </c>
      <c r="E960" s="99" t="s">
        <v>1454</v>
      </c>
      <c r="F960" s="102" t="s">
        <v>541</v>
      </c>
      <c r="G960" s="102" t="s">
        <v>281</v>
      </c>
      <c r="H960" s="99" t="s">
        <v>1303</v>
      </c>
      <c r="I960" s="102" t="s">
        <v>443</v>
      </c>
      <c r="J960" s="102" t="s">
        <v>466</v>
      </c>
      <c r="K960" s="103">
        <v>20</v>
      </c>
      <c r="L960" s="104">
        <v>120000</v>
      </c>
      <c r="M960" s="104">
        <v>2400000</v>
      </c>
      <c r="N960" s="39">
        <v>666000</v>
      </c>
      <c r="O960" s="39"/>
      <c r="P960" s="108">
        <f>+N960+O960</f>
        <v>666000</v>
      </c>
      <c r="Q960" s="39">
        <v>100</v>
      </c>
      <c r="R960" s="39">
        <f t="shared" si="195"/>
        <v>2400000</v>
      </c>
      <c r="S960" s="42">
        <f t="shared" si="196"/>
        <v>0</v>
      </c>
    </row>
    <row r="961" spans="1:19">
      <c r="A961" s="99">
        <v>2025</v>
      </c>
      <c r="B961" s="100">
        <v>12</v>
      </c>
      <c r="C961" s="101">
        <v>46008</v>
      </c>
      <c r="D961" s="101" t="str">
        <f t="shared" si="194"/>
        <v>RMF00006163Сирдарё_Фотима опа</v>
      </c>
      <c r="E961" s="99" t="s">
        <v>1455</v>
      </c>
      <c r="F961" s="102" t="s">
        <v>284</v>
      </c>
      <c r="G961" s="102" t="s">
        <v>281</v>
      </c>
      <c r="H961" s="99" t="s">
        <v>1303</v>
      </c>
      <c r="I961" s="102" t="s">
        <v>1311</v>
      </c>
      <c r="J961" s="102" t="s">
        <v>21</v>
      </c>
      <c r="K961" s="103">
        <v>20</v>
      </c>
      <c r="L961" s="104">
        <v>40621</v>
      </c>
      <c r="M961" s="104">
        <v>812420</v>
      </c>
      <c r="N961" s="39">
        <v>649000</v>
      </c>
      <c r="O961" s="39"/>
      <c r="P961" s="108">
        <f>+N961+O961</f>
        <v>649000</v>
      </c>
      <c r="Q961" s="39">
        <v>100</v>
      </c>
      <c r="R961" s="39">
        <f t="shared" si="195"/>
        <v>812420</v>
      </c>
      <c r="S961" s="42">
        <f t="shared" si="196"/>
        <v>0</v>
      </c>
    </row>
    <row r="962" spans="1:19">
      <c r="A962" s="99">
        <v>2025</v>
      </c>
      <c r="B962" s="100">
        <v>12</v>
      </c>
      <c r="C962" s="101">
        <v>46009</v>
      </c>
      <c r="D962" s="101" t="str">
        <f t="shared" si="194"/>
        <v>RMF00006180Самарканд_Хуршед ака</v>
      </c>
      <c r="E962" s="99" t="s">
        <v>1456</v>
      </c>
      <c r="F962" s="102" t="s">
        <v>1457</v>
      </c>
      <c r="G962" s="102" t="s">
        <v>272</v>
      </c>
      <c r="H962" s="99" t="s">
        <v>1303</v>
      </c>
      <c r="I962" s="102" t="s">
        <v>1458</v>
      </c>
      <c r="J962" s="102" t="s">
        <v>21</v>
      </c>
      <c r="K962" s="103">
        <v>90</v>
      </c>
      <c r="L962" s="104">
        <v>40621</v>
      </c>
      <c r="M962" s="104">
        <v>3655890</v>
      </c>
      <c r="N962" s="39">
        <v>1320000</v>
      </c>
      <c r="O962" s="39"/>
      <c r="P962" s="108">
        <f>+N962+O962</f>
        <v>1320000</v>
      </c>
      <c r="Q962" s="39">
        <v>100</v>
      </c>
      <c r="R962" s="39">
        <f t="shared" si="195"/>
        <v>3655890</v>
      </c>
      <c r="S962" s="42">
        <f t="shared" si="196"/>
        <v>0</v>
      </c>
    </row>
    <row r="963" spans="1:19">
      <c r="A963" s="99">
        <v>2025</v>
      </c>
      <c r="B963" s="100">
        <v>12</v>
      </c>
      <c r="C963" s="101">
        <v>46009</v>
      </c>
      <c r="D963" s="101" t="str">
        <f t="shared" si="194"/>
        <v>RMF00006182Самарканд_Хуршед ака</v>
      </c>
      <c r="E963" s="99" t="s">
        <v>1459</v>
      </c>
      <c r="F963" s="102" t="s">
        <v>1460</v>
      </c>
      <c r="G963" s="102" t="s">
        <v>272</v>
      </c>
      <c r="H963" s="99" t="s">
        <v>1303</v>
      </c>
      <c r="I963" s="102" t="s">
        <v>1330</v>
      </c>
      <c r="J963" s="102" t="s">
        <v>21</v>
      </c>
      <c r="K963" s="103">
        <v>100</v>
      </c>
      <c r="L963" s="104">
        <v>40621</v>
      </c>
      <c r="M963" s="104">
        <v>4062100</v>
      </c>
      <c r="N963" s="39">
        <v>1374000</v>
      </c>
      <c r="O963" s="39"/>
      <c r="P963" s="108">
        <f>+N963+O963</f>
        <v>1374000</v>
      </c>
      <c r="Q963" s="39">
        <v>100</v>
      </c>
      <c r="R963" s="39">
        <f t="shared" si="195"/>
        <v>4062100</v>
      </c>
      <c r="S963" s="42">
        <f t="shared" si="196"/>
        <v>0</v>
      </c>
    </row>
    <row r="964" spans="1:19">
      <c r="A964" s="99">
        <v>2025</v>
      </c>
      <c r="B964" s="100">
        <v>12</v>
      </c>
      <c r="C964" s="101">
        <v>46013</v>
      </c>
      <c r="D964" s="101" t="str">
        <f t="shared" ref="D964:D1027" si="197">+E964&amp;G964</f>
        <v>RMF00006189Самарканд_Хуршед ака</v>
      </c>
      <c r="E964" s="99" t="s">
        <v>1461</v>
      </c>
      <c r="F964" s="102" t="s">
        <v>1462</v>
      </c>
      <c r="G964" s="102" t="s">
        <v>272</v>
      </c>
      <c r="H964" s="99" t="s">
        <v>1303</v>
      </c>
      <c r="I964" s="102" t="s">
        <v>1445</v>
      </c>
      <c r="J964" s="102" t="s">
        <v>21</v>
      </c>
      <c r="K964" s="103">
        <v>30</v>
      </c>
      <c r="L964" s="104">
        <v>40621.300000000003</v>
      </c>
      <c r="M964" s="104">
        <v>1218639</v>
      </c>
      <c r="N964" s="39">
        <v>929000</v>
      </c>
      <c r="O964" s="39"/>
      <c r="P964" s="108">
        <f>+N964+O964</f>
        <v>929000</v>
      </c>
      <c r="Q964" s="39">
        <v>100</v>
      </c>
      <c r="R964" s="39">
        <f t="shared" ref="R964:R1027" si="198">+M964*Q964%</f>
        <v>1218639</v>
      </c>
      <c r="S964" s="42">
        <f t="shared" ref="S964:S1027" si="199">M964-R964</f>
        <v>0</v>
      </c>
    </row>
    <row r="965" spans="1:19">
      <c r="A965" s="99">
        <v>2025</v>
      </c>
      <c r="B965" s="100">
        <v>12</v>
      </c>
      <c r="C965" s="101">
        <v>46013</v>
      </c>
      <c r="D965" s="101" t="str">
        <f t="shared" si="197"/>
        <v>RMF00006207Хоразм_Улугбек ака</v>
      </c>
      <c r="E965" s="99" t="s">
        <v>1465</v>
      </c>
      <c r="F965" s="102" t="s">
        <v>863</v>
      </c>
      <c r="G965" s="102" t="s">
        <v>864</v>
      </c>
      <c r="H965" s="99" t="s">
        <v>1303</v>
      </c>
      <c r="I965" s="102" t="s">
        <v>865</v>
      </c>
      <c r="J965" s="102" t="s">
        <v>38</v>
      </c>
      <c r="K965" s="103">
        <v>200</v>
      </c>
      <c r="L965" s="104">
        <v>58000</v>
      </c>
      <c r="M965" s="104">
        <v>11600000</v>
      </c>
      <c r="N965" s="39">
        <v>5521000</v>
      </c>
      <c r="O965" s="39"/>
      <c r="P965" s="108">
        <f>+N965+O965</f>
        <v>5521000</v>
      </c>
      <c r="Q965" s="39">
        <v>100</v>
      </c>
      <c r="R965" s="39">
        <f t="shared" si="198"/>
        <v>11600000</v>
      </c>
      <c r="S965" s="42">
        <f t="shared" si="199"/>
        <v>0</v>
      </c>
    </row>
    <row r="966" spans="1:19">
      <c r="A966" s="99">
        <v>2025</v>
      </c>
      <c r="B966" s="100">
        <v>12</v>
      </c>
      <c r="C966" s="101">
        <v>46014</v>
      </c>
      <c r="D966" s="101" t="str">
        <f t="shared" si="197"/>
        <v>RMF00006221Нукус_Мехрибон опа</v>
      </c>
      <c r="E966" s="99" t="s">
        <v>1466</v>
      </c>
      <c r="F966" s="102" t="s">
        <v>1318</v>
      </c>
      <c r="G966" s="102" t="s">
        <v>1319</v>
      </c>
      <c r="H966" s="99" t="s">
        <v>1303</v>
      </c>
      <c r="I966" s="102" t="s">
        <v>1339</v>
      </c>
      <c r="J966" s="102" t="s">
        <v>41</v>
      </c>
      <c r="K966" s="103">
        <v>50</v>
      </c>
      <c r="L966" s="104">
        <v>90000</v>
      </c>
      <c r="M966" s="104">
        <v>4500000</v>
      </c>
      <c r="N966" s="39">
        <v>459000</v>
      </c>
      <c r="O966" s="39"/>
      <c r="P966" s="108">
        <f>+N966+O966</f>
        <v>459000</v>
      </c>
      <c r="Q966" s="39">
        <v>100</v>
      </c>
      <c r="R966" s="39">
        <f t="shared" si="198"/>
        <v>4500000</v>
      </c>
      <c r="S966" s="42">
        <f t="shared" si="199"/>
        <v>0</v>
      </c>
    </row>
    <row r="967" spans="1:19">
      <c r="A967" s="99">
        <v>2025</v>
      </c>
      <c r="B967" s="100">
        <v>12</v>
      </c>
      <c r="C967" s="101">
        <v>46015</v>
      </c>
      <c r="D967" s="101" t="str">
        <f t="shared" si="197"/>
        <v>RMF00006241Кукон_Бахромжон ака</v>
      </c>
      <c r="E967" s="99" t="s">
        <v>1467</v>
      </c>
      <c r="F967" s="102" t="s">
        <v>1468</v>
      </c>
      <c r="G967" s="102" t="s">
        <v>1359</v>
      </c>
      <c r="H967" s="99" t="s">
        <v>1303</v>
      </c>
      <c r="I967" s="102" t="s">
        <v>1360</v>
      </c>
      <c r="J967" s="102" t="s">
        <v>466</v>
      </c>
      <c r="K967" s="103">
        <v>10</v>
      </c>
      <c r="L967" s="104">
        <v>120000</v>
      </c>
      <c r="M967" s="104">
        <v>1200000</v>
      </c>
      <c r="N967" s="39">
        <v>605000</v>
      </c>
      <c r="O967" s="39"/>
      <c r="P967" s="108">
        <f>+N967+O967</f>
        <v>605000</v>
      </c>
      <c r="Q967" s="39">
        <v>100</v>
      </c>
      <c r="R967" s="39">
        <f t="shared" si="198"/>
        <v>1200000</v>
      </c>
      <c r="S967" s="42">
        <f t="shared" si="199"/>
        <v>0</v>
      </c>
    </row>
    <row r="968" spans="1:19">
      <c r="A968" s="99">
        <v>2025</v>
      </c>
      <c r="B968" s="100">
        <v>12</v>
      </c>
      <c r="C968" s="101">
        <v>46015</v>
      </c>
      <c r="D968" s="101" t="str">
        <f t="shared" si="197"/>
        <v>RMF00006250Хоразм_Улугбек ака</v>
      </c>
      <c r="E968" s="99" t="s">
        <v>1470</v>
      </c>
      <c r="F968" s="102" t="s">
        <v>863</v>
      </c>
      <c r="G968" s="102" t="s">
        <v>864</v>
      </c>
      <c r="H968" s="99" t="s">
        <v>1303</v>
      </c>
      <c r="I968" s="102" t="s">
        <v>865</v>
      </c>
      <c r="J968" s="102" t="s">
        <v>466</v>
      </c>
      <c r="K968" s="103">
        <v>100</v>
      </c>
      <c r="L968" s="104">
        <v>105000</v>
      </c>
      <c r="M968" s="104">
        <v>10500000</v>
      </c>
      <c r="N968" s="39">
        <v>6074000</v>
      </c>
      <c r="O968" s="39"/>
      <c r="P968" s="108">
        <f>+N968+O968</f>
        <v>6074000</v>
      </c>
      <c r="Q968" s="39">
        <v>100</v>
      </c>
      <c r="R968" s="39">
        <f t="shared" si="198"/>
        <v>10500000</v>
      </c>
      <c r="S968" s="42">
        <f t="shared" si="199"/>
        <v>0</v>
      </c>
    </row>
    <row r="969" spans="1:19">
      <c r="A969" s="99">
        <v>2025</v>
      </c>
      <c r="B969" s="100">
        <v>12</v>
      </c>
      <c r="C969" s="101">
        <v>46016</v>
      </c>
      <c r="D969" s="101" t="str">
        <f t="shared" si="197"/>
        <v>RMF00006263Сирдарё_Фотима опа</v>
      </c>
      <c r="E969" s="99" t="s">
        <v>1472</v>
      </c>
      <c r="F969" s="102" t="s">
        <v>284</v>
      </c>
      <c r="G969" s="102" t="s">
        <v>281</v>
      </c>
      <c r="H969" s="99" t="s">
        <v>1303</v>
      </c>
      <c r="I969" s="102" t="s">
        <v>25</v>
      </c>
      <c r="J969" s="102" t="s">
        <v>21</v>
      </c>
      <c r="K969" s="103">
        <v>20</v>
      </c>
      <c r="L969" s="104">
        <v>40621</v>
      </c>
      <c r="M969" s="104">
        <v>812420</v>
      </c>
      <c r="N969" s="39">
        <v>542000</v>
      </c>
      <c r="O969" s="39"/>
      <c r="P969" s="108">
        <f>+N969+O969</f>
        <v>542000</v>
      </c>
      <c r="Q969" s="39">
        <v>100</v>
      </c>
      <c r="R969" s="39">
        <f t="shared" si="198"/>
        <v>812420</v>
      </c>
      <c r="S969" s="42">
        <f t="shared" si="199"/>
        <v>0</v>
      </c>
    </row>
    <row r="970" spans="1:19">
      <c r="A970" s="99">
        <v>2025</v>
      </c>
      <c r="B970" s="100">
        <v>12</v>
      </c>
      <c r="C970" s="101">
        <v>46016</v>
      </c>
      <c r="D970" s="101" t="str">
        <f t="shared" si="197"/>
        <v>RMF00006263Сирдарё_Фотима опа</v>
      </c>
      <c r="E970" s="99" t="s">
        <v>1472</v>
      </c>
      <c r="F970" s="102" t="s">
        <v>284</v>
      </c>
      <c r="G970" s="102" t="s">
        <v>281</v>
      </c>
      <c r="H970" s="99" t="s">
        <v>1303</v>
      </c>
      <c r="I970" s="102" t="s">
        <v>25</v>
      </c>
      <c r="J970" s="102" t="s">
        <v>21</v>
      </c>
      <c r="K970" s="103">
        <v>80</v>
      </c>
      <c r="L970" s="104">
        <v>40621</v>
      </c>
      <c r="M970" s="104">
        <v>3249680</v>
      </c>
      <c r="N970" s="39">
        <v>542000</v>
      </c>
      <c r="O970" s="39"/>
      <c r="P970" s="108">
        <f>+N970+O970</f>
        <v>542000</v>
      </c>
      <c r="Q970" s="39">
        <v>100</v>
      </c>
      <c r="R970" s="39">
        <f t="shared" si="198"/>
        <v>3249680</v>
      </c>
      <c r="S970" s="42">
        <f t="shared" si="199"/>
        <v>0</v>
      </c>
    </row>
    <row r="971" spans="1:19">
      <c r="A971" s="99">
        <v>2025</v>
      </c>
      <c r="B971" s="100">
        <v>12</v>
      </c>
      <c r="C971" s="101">
        <v>46016</v>
      </c>
      <c r="D971" s="101" t="str">
        <f t="shared" si="197"/>
        <v>RMF00006270Сирдарё_Фотима опа</v>
      </c>
      <c r="E971" s="99" t="s">
        <v>1473</v>
      </c>
      <c r="F971" s="102" t="s">
        <v>284</v>
      </c>
      <c r="G971" s="102" t="s">
        <v>281</v>
      </c>
      <c r="H971" s="99" t="s">
        <v>1303</v>
      </c>
      <c r="I971" s="102" t="s">
        <v>492</v>
      </c>
      <c r="J971" s="102" t="s">
        <v>21</v>
      </c>
      <c r="K971" s="103">
        <v>50</v>
      </c>
      <c r="L971" s="104">
        <v>40621</v>
      </c>
      <c r="M971" s="104">
        <v>2031050</v>
      </c>
      <c r="N971" s="39">
        <v>166000</v>
      </c>
      <c r="O971" s="39"/>
      <c r="P971" s="108">
        <f>+N971+O971</f>
        <v>166000</v>
      </c>
      <c r="Q971" s="39">
        <v>100</v>
      </c>
      <c r="R971" s="39">
        <f t="shared" si="198"/>
        <v>2031050</v>
      </c>
      <c r="S971" s="42">
        <f t="shared" si="199"/>
        <v>0</v>
      </c>
    </row>
    <row r="972" spans="1:19">
      <c r="A972" s="99">
        <v>2025</v>
      </c>
      <c r="B972" s="100">
        <v>12</v>
      </c>
      <c r="C972" s="101">
        <v>46016</v>
      </c>
      <c r="D972" s="101" t="str">
        <f t="shared" si="197"/>
        <v>RMF00006270Сирдарё_Фотима опа</v>
      </c>
      <c r="E972" s="99" t="s">
        <v>1473</v>
      </c>
      <c r="F972" s="102" t="s">
        <v>284</v>
      </c>
      <c r="G972" s="102" t="s">
        <v>281</v>
      </c>
      <c r="H972" s="99" t="s">
        <v>1303</v>
      </c>
      <c r="I972" s="102" t="s">
        <v>492</v>
      </c>
      <c r="J972" s="102" t="s">
        <v>466</v>
      </c>
      <c r="K972" s="103">
        <v>20</v>
      </c>
      <c r="L972" s="104">
        <v>120000</v>
      </c>
      <c r="M972" s="104">
        <v>2400000</v>
      </c>
      <c r="N972" s="39">
        <v>188000</v>
      </c>
      <c r="O972" s="39"/>
      <c r="P972" s="108">
        <f>+N972+O972</f>
        <v>188000</v>
      </c>
      <c r="Q972" s="39">
        <v>100</v>
      </c>
      <c r="R972" s="39">
        <f t="shared" si="198"/>
        <v>2400000</v>
      </c>
      <c r="S972" s="42">
        <f t="shared" si="199"/>
        <v>0</v>
      </c>
    </row>
    <row r="973" spans="1:19">
      <c r="A973" s="99">
        <v>2025</v>
      </c>
      <c r="B973" s="100">
        <v>12</v>
      </c>
      <c r="C973" s="101">
        <v>46017</v>
      </c>
      <c r="D973" s="101" t="str">
        <f t="shared" si="197"/>
        <v>RMF00006274Андижон_Жонибек ака (S)</v>
      </c>
      <c r="E973" s="99" t="s">
        <v>1474</v>
      </c>
      <c r="F973" s="102" t="s">
        <v>1383</v>
      </c>
      <c r="G973" s="102" t="s">
        <v>1280</v>
      </c>
      <c r="H973" s="99" t="s">
        <v>1303</v>
      </c>
      <c r="I973" s="102" t="s">
        <v>1294</v>
      </c>
      <c r="J973" s="102" t="s">
        <v>466</v>
      </c>
      <c r="K973" s="103">
        <v>50</v>
      </c>
      <c r="L973" s="104">
        <v>120000</v>
      </c>
      <c r="M973" s="104">
        <v>6000000</v>
      </c>
      <c r="N973" s="39">
        <v>885000</v>
      </c>
      <c r="O973" s="39"/>
      <c r="P973" s="108">
        <f>+N973+O973</f>
        <v>885000</v>
      </c>
      <c r="Q973" s="39">
        <v>100</v>
      </c>
      <c r="R973" s="39">
        <f t="shared" si="198"/>
        <v>6000000</v>
      </c>
      <c r="S973" s="42">
        <f t="shared" si="199"/>
        <v>0</v>
      </c>
    </row>
    <row r="974" spans="1:19">
      <c r="A974" s="99">
        <v>2025</v>
      </c>
      <c r="B974" s="100">
        <v>12</v>
      </c>
      <c r="C974" s="101">
        <v>46017</v>
      </c>
      <c r="D974" s="101" t="str">
        <f t="shared" si="197"/>
        <v>RMF00006281Самарканд_Хуршед ака</v>
      </c>
      <c r="E974" s="99" t="s">
        <v>1475</v>
      </c>
      <c r="F974" s="102" t="s">
        <v>1462</v>
      </c>
      <c r="G974" s="102" t="s">
        <v>272</v>
      </c>
      <c r="H974" s="99" t="s">
        <v>1303</v>
      </c>
      <c r="I974" s="102" t="s">
        <v>1426</v>
      </c>
      <c r="J974" s="102" t="s">
        <v>21</v>
      </c>
      <c r="K974" s="103">
        <v>50</v>
      </c>
      <c r="L974" s="104">
        <v>40621.300000000003</v>
      </c>
      <c r="M974" s="104">
        <v>2031065</v>
      </c>
      <c r="N974" s="39">
        <v>293000</v>
      </c>
      <c r="O974" s="39"/>
      <c r="P974" s="108">
        <f>+N974+O974</f>
        <v>293000</v>
      </c>
      <c r="Q974" s="39">
        <v>100</v>
      </c>
      <c r="R974" s="39">
        <f t="shared" si="198"/>
        <v>2031065</v>
      </c>
      <c r="S974" s="42">
        <f t="shared" si="199"/>
        <v>0</v>
      </c>
    </row>
    <row r="975" spans="1:19">
      <c r="A975" s="99">
        <v>2025</v>
      </c>
      <c r="B975" s="100">
        <v>12</v>
      </c>
      <c r="C975" s="101">
        <v>46021</v>
      </c>
      <c r="D975" s="101" t="str">
        <f t="shared" si="197"/>
        <v>RMF00006298Кукон_Баходирхон ака</v>
      </c>
      <c r="E975" s="99" t="s">
        <v>1476</v>
      </c>
      <c r="F975" s="102" t="s">
        <v>1451</v>
      </c>
      <c r="G975" s="102" t="s">
        <v>1264</v>
      </c>
      <c r="H975" s="99" t="s">
        <v>1303</v>
      </c>
      <c r="I975" s="102" t="s">
        <v>1265</v>
      </c>
      <c r="J975" s="102" t="s">
        <v>38</v>
      </c>
      <c r="K975" s="103">
        <v>20</v>
      </c>
      <c r="L975" s="104">
        <v>65000</v>
      </c>
      <c r="M975" s="104">
        <v>1300000</v>
      </c>
      <c r="N975" s="39">
        <v>759000</v>
      </c>
      <c r="O975" s="39"/>
      <c r="P975" s="108">
        <f>+N975+O975</f>
        <v>759000</v>
      </c>
      <c r="Q975" s="39">
        <v>100</v>
      </c>
      <c r="R975" s="39">
        <f t="shared" si="198"/>
        <v>1300000</v>
      </c>
      <c r="S975" s="42">
        <f t="shared" si="199"/>
        <v>0</v>
      </c>
    </row>
    <row r="976" spans="1:19">
      <c r="A976" s="99">
        <v>2025</v>
      </c>
      <c r="B976" s="100">
        <v>12</v>
      </c>
      <c r="C976" s="101">
        <v>46021</v>
      </c>
      <c r="D976" s="101" t="str">
        <f t="shared" si="197"/>
        <v>RMF00006299Сирдарё_Фотима опа</v>
      </c>
      <c r="E976" s="99" t="s">
        <v>1477</v>
      </c>
      <c r="F976" s="102" t="s">
        <v>284</v>
      </c>
      <c r="G976" s="102" t="s">
        <v>281</v>
      </c>
      <c r="H976" s="99" t="s">
        <v>1303</v>
      </c>
      <c r="I976" s="102" t="s">
        <v>25</v>
      </c>
      <c r="J976" s="102" t="s">
        <v>21</v>
      </c>
      <c r="K976" s="103">
        <v>30</v>
      </c>
      <c r="L976" s="104">
        <v>40621</v>
      </c>
      <c r="M976" s="104">
        <v>1218630</v>
      </c>
      <c r="N976" s="39">
        <v>382000</v>
      </c>
      <c r="O976" s="39"/>
      <c r="P976" s="108">
        <f>+N976+O976</f>
        <v>382000</v>
      </c>
      <c r="Q976" s="39">
        <v>100</v>
      </c>
      <c r="R976" s="39">
        <f t="shared" si="198"/>
        <v>1218630</v>
      </c>
      <c r="S976" s="42">
        <f t="shared" si="199"/>
        <v>0</v>
      </c>
    </row>
    <row r="977" spans="1:19">
      <c r="A977" s="99">
        <v>2025</v>
      </c>
      <c r="B977" s="100">
        <v>12</v>
      </c>
      <c r="C977" s="101">
        <v>46021</v>
      </c>
      <c r="D977" s="101" t="str">
        <f t="shared" si="197"/>
        <v>RMF00006299Сирдарё_Фотима опа</v>
      </c>
      <c r="E977" s="99" t="s">
        <v>1477</v>
      </c>
      <c r="F977" s="102" t="s">
        <v>284</v>
      </c>
      <c r="G977" s="102" t="s">
        <v>281</v>
      </c>
      <c r="H977" s="99" t="s">
        <v>1303</v>
      </c>
      <c r="I977" s="102" t="s">
        <v>25</v>
      </c>
      <c r="J977" s="102" t="s">
        <v>21</v>
      </c>
      <c r="K977" s="103">
        <v>70</v>
      </c>
      <c r="L977" s="104">
        <v>40621</v>
      </c>
      <c r="M977" s="104">
        <v>2843470</v>
      </c>
      <c r="N977" s="39">
        <v>382000</v>
      </c>
      <c r="O977" s="39"/>
      <c r="P977" s="108">
        <f>+N977+O977</f>
        <v>382000</v>
      </c>
      <c r="Q977" s="39">
        <v>100</v>
      </c>
      <c r="R977" s="39">
        <f t="shared" si="198"/>
        <v>2843470</v>
      </c>
      <c r="S977" s="42">
        <f t="shared" si="199"/>
        <v>0</v>
      </c>
    </row>
    <row r="978" spans="1:19">
      <c r="A978" s="99">
        <v>2026</v>
      </c>
      <c r="B978" s="100">
        <v>1</v>
      </c>
      <c r="C978" s="101">
        <v>46027</v>
      </c>
      <c r="D978" s="101" t="str">
        <f t="shared" si="197"/>
        <v>RMF00000001Самарканд_Хуршед ака</v>
      </c>
      <c r="E978" s="99" t="s">
        <v>1478</v>
      </c>
      <c r="F978" s="102" t="s">
        <v>1462</v>
      </c>
      <c r="G978" s="102" t="s">
        <v>272</v>
      </c>
      <c r="H978" s="99" t="s">
        <v>1303</v>
      </c>
      <c r="I978" s="102" t="s">
        <v>1445</v>
      </c>
      <c r="J978" s="102" t="s">
        <v>21</v>
      </c>
      <c r="K978" s="103">
        <v>30</v>
      </c>
      <c r="L978" s="104">
        <v>40621.300000000003</v>
      </c>
      <c r="M978" s="104">
        <v>1218639</v>
      </c>
      <c r="N978" s="39">
        <v>929000</v>
      </c>
      <c r="O978" s="39"/>
      <c r="P978" s="108">
        <f>+N978+O978</f>
        <v>929000</v>
      </c>
      <c r="Q978" s="39">
        <v>100</v>
      </c>
      <c r="R978" s="39">
        <f t="shared" si="198"/>
        <v>1218639</v>
      </c>
      <c r="S978" s="42">
        <f t="shared" si="199"/>
        <v>0</v>
      </c>
    </row>
    <row r="979" spans="1:19">
      <c r="A979" s="99">
        <v>2026</v>
      </c>
      <c r="B979" s="100">
        <v>1</v>
      </c>
      <c r="C979" s="101">
        <v>46027</v>
      </c>
      <c r="D979" s="101" t="str">
        <f t="shared" si="197"/>
        <v>RMF00000003Самарканд_Хуршед ака</v>
      </c>
      <c r="E979" s="99" t="s">
        <v>1479</v>
      </c>
      <c r="F979" s="102" t="s">
        <v>1462</v>
      </c>
      <c r="G979" s="102" t="s">
        <v>272</v>
      </c>
      <c r="H979" s="99" t="s">
        <v>1303</v>
      </c>
      <c r="I979" s="102" t="s">
        <v>1458</v>
      </c>
      <c r="J979" s="102" t="s">
        <v>21</v>
      </c>
      <c r="K979" s="103">
        <v>120</v>
      </c>
      <c r="L979" s="104">
        <v>40621.300000000003</v>
      </c>
      <c r="M979" s="104">
        <v>4874556</v>
      </c>
      <c r="N979" s="39">
        <v>3717000</v>
      </c>
      <c r="O979" s="39"/>
      <c r="P979" s="108">
        <f>+N979+O979</f>
        <v>3717000</v>
      </c>
      <c r="Q979" s="39">
        <v>100</v>
      </c>
      <c r="R979" s="39">
        <f t="shared" si="198"/>
        <v>4874556</v>
      </c>
      <c r="S979" s="42">
        <f t="shared" si="199"/>
        <v>0</v>
      </c>
    </row>
    <row r="980" spans="1:19">
      <c r="A980" s="99">
        <v>2026</v>
      </c>
      <c r="B980" s="100">
        <v>1</v>
      </c>
      <c r="C980" s="101">
        <v>46027</v>
      </c>
      <c r="D980" s="101" t="str">
        <f t="shared" si="197"/>
        <v>RMF00000011Бухоро_Нафосат опа</v>
      </c>
      <c r="E980" s="99" t="s">
        <v>1480</v>
      </c>
      <c r="F980" s="102" t="s">
        <v>893</v>
      </c>
      <c r="G980" s="102" t="s">
        <v>894</v>
      </c>
      <c r="H980" s="99" t="s">
        <v>1303</v>
      </c>
      <c r="I980" s="102" t="s">
        <v>1351</v>
      </c>
      <c r="J980" s="102" t="s">
        <v>38</v>
      </c>
      <c r="K980" s="103">
        <v>20</v>
      </c>
      <c r="L980" s="104">
        <v>65000</v>
      </c>
      <c r="M980" s="104">
        <v>1300000</v>
      </c>
      <c r="N980" s="39">
        <v>155000</v>
      </c>
      <c r="O980" s="39"/>
      <c r="P980" s="108">
        <f>+N980+O980</f>
        <v>155000</v>
      </c>
      <c r="Q980" s="39">
        <v>100</v>
      </c>
      <c r="R980" s="39">
        <f t="shared" si="198"/>
        <v>1300000</v>
      </c>
      <c r="S980" s="42">
        <f t="shared" si="199"/>
        <v>0</v>
      </c>
    </row>
    <row r="981" spans="1:19">
      <c r="A981" s="99">
        <v>2026</v>
      </c>
      <c r="B981" s="100">
        <v>1</v>
      </c>
      <c r="C981" s="101">
        <v>46027</v>
      </c>
      <c r="D981" s="101" t="str">
        <f t="shared" si="197"/>
        <v>RMF00000011Бухоро_Нафосат опа</v>
      </c>
      <c r="E981" s="99" t="s">
        <v>1480</v>
      </c>
      <c r="F981" s="102" t="s">
        <v>893</v>
      </c>
      <c r="G981" s="102" t="s">
        <v>894</v>
      </c>
      <c r="H981" s="99" t="s">
        <v>1303</v>
      </c>
      <c r="I981" s="102" t="s">
        <v>1351</v>
      </c>
      <c r="J981" s="102" t="s">
        <v>41</v>
      </c>
      <c r="K981" s="103">
        <v>50</v>
      </c>
      <c r="L981" s="104">
        <v>90000</v>
      </c>
      <c r="M981" s="104">
        <v>4500000</v>
      </c>
      <c r="N981" s="39">
        <v>585000</v>
      </c>
      <c r="O981" s="39"/>
      <c r="P981" s="108">
        <f>+N981+O981</f>
        <v>585000</v>
      </c>
      <c r="Q981" s="39">
        <v>100</v>
      </c>
      <c r="R981" s="39">
        <f t="shared" si="198"/>
        <v>4500000</v>
      </c>
      <c r="S981" s="42">
        <f t="shared" si="199"/>
        <v>0</v>
      </c>
    </row>
    <row r="982" spans="1:19">
      <c r="A982" s="99">
        <v>2026</v>
      </c>
      <c r="B982" s="100">
        <v>1</v>
      </c>
      <c r="C982" s="101">
        <v>46028</v>
      </c>
      <c r="D982" s="101" t="str">
        <f t="shared" si="197"/>
        <v>RMF00000017Самарканд_Хуршед ака</v>
      </c>
      <c r="E982" s="99" t="s">
        <v>1481</v>
      </c>
      <c r="F982" s="102" t="s">
        <v>1302</v>
      </c>
      <c r="G982" s="102" t="s">
        <v>272</v>
      </c>
      <c r="H982" s="99" t="s">
        <v>1303</v>
      </c>
      <c r="I982" s="102" t="s">
        <v>483</v>
      </c>
      <c r="J982" s="102" t="s">
        <v>466</v>
      </c>
      <c r="K982" s="103">
        <v>200</v>
      </c>
      <c r="L982" s="104">
        <v>120000</v>
      </c>
      <c r="M982" s="104">
        <v>24000000</v>
      </c>
      <c r="N982" s="39">
        <v>7212000</v>
      </c>
      <c r="O982" s="39"/>
      <c r="P982" s="108">
        <f>+N982+O982</f>
        <v>7212000</v>
      </c>
      <c r="Q982" s="39">
        <v>100</v>
      </c>
      <c r="R982" s="39">
        <f t="shared" si="198"/>
        <v>24000000</v>
      </c>
      <c r="S982" s="42">
        <f t="shared" si="199"/>
        <v>0</v>
      </c>
    </row>
    <row r="983" spans="1:19">
      <c r="A983" s="99">
        <v>2026</v>
      </c>
      <c r="B983" s="100">
        <v>1</v>
      </c>
      <c r="C983" s="101">
        <v>46028</v>
      </c>
      <c r="D983" s="101" t="str">
        <f t="shared" si="197"/>
        <v>RMF00000018Самарканд_Хуршед ака</v>
      </c>
      <c r="E983" s="99" t="s">
        <v>1482</v>
      </c>
      <c r="F983" s="102" t="s">
        <v>1302</v>
      </c>
      <c r="G983" s="102" t="s">
        <v>272</v>
      </c>
      <c r="H983" s="99" t="s">
        <v>1303</v>
      </c>
      <c r="I983" s="102" t="s">
        <v>1316</v>
      </c>
      <c r="J983" s="102" t="s">
        <v>21</v>
      </c>
      <c r="K983" s="103">
        <v>240</v>
      </c>
      <c r="L983" s="104">
        <v>40621.300000000003</v>
      </c>
      <c r="M983" s="104">
        <v>9749112</v>
      </c>
      <c r="N983" s="39">
        <v>3750000</v>
      </c>
      <c r="O983" s="39"/>
      <c r="P983" s="108">
        <f>+N983+O983</f>
        <v>3750000</v>
      </c>
      <c r="Q983" s="39">
        <v>100</v>
      </c>
      <c r="R983" s="39">
        <f t="shared" si="198"/>
        <v>9749112</v>
      </c>
      <c r="S983" s="42">
        <f t="shared" si="199"/>
        <v>0</v>
      </c>
    </row>
    <row r="984" spans="1:19">
      <c r="A984" s="99">
        <v>2026</v>
      </c>
      <c r="B984" s="100">
        <v>1</v>
      </c>
      <c r="C984" s="101">
        <v>46031</v>
      </c>
      <c r="D984" s="101" t="str">
        <f t="shared" si="197"/>
        <v>RMF00000071Самарканд_Хуршед ака</v>
      </c>
      <c r="E984" s="99" t="s">
        <v>1486</v>
      </c>
      <c r="F984" s="102" t="s">
        <v>1302</v>
      </c>
      <c r="G984" s="102" t="s">
        <v>272</v>
      </c>
      <c r="H984" s="99" t="s">
        <v>1303</v>
      </c>
      <c r="I984" s="102" t="s">
        <v>1487</v>
      </c>
      <c r="J984" s="102" t="s">
        <v>41</v>
      </c>
      <c r="K984" s="103">
        <v>30</v>
      </c>
      <c r="L984" s="104">
        <v>90000</v>
      </c>
      <c r="M984" s="104">
        <v>2700000</v>
      </c>
      <c r="N984" s="39">
        <v>756000</v>
      </c>
      <c r="O984" s="39"/>
      <c r="P984" s="108">
        <f>+N984+O984</f>
        <v>756000</v>
      </c>
      <c r="Q984" s="39">
        <v>100</v>
      </c>
      <c r="R984" s="39">
        <f t="shared" si="198"/>
        <v>2700000</v>
      </c>
      <c r="S984" s="42">
        <f t="shared" si="199"/>
        <v>0</v>
      </c>
    </row>
    <row r="985" spans="1:19">
      <c r="A985" s="99">
        <v>2026</v>
      </c>
      <c r="B985" s="100">
        <v>1</v>
      </c>
      <c r="C985" s="101">
        <v>46031</v>
      </c>
      <c r="D985" s="101" t="str">
        <f t="shared" si="197"/>
        <v>RMF00000073Фаргона_Зафаржон ака</v>
      </c>
      <c r="E985" s="99" t="s">
        <v>1488</v>
      </c>
      <c r="F985" s="102" t="s">
        <v>1489</v>
      </c>
      <c r="G985" s="102" t="s">
        <v>1291</v>
      </c>
      <c r="H985" s="99" t="s">
        <v>1303</v>
      </c>
      <c r="I985" s="102" t="s">
        <v>1490</v>
      </c>
      <c r="J985" s="102" t="s">
        <v>38</v>
      </c>
      <c r="K985" s="103">
        <v>100</v>
      </c>
      <c r="L985" s="104">
        <v>65000</v>
      </c>
      <c r="M985" s="104">
        <v>6500000</v>
      </c>
      <c r="N985" s="39">
        <v>1805000</v>
      </c>
      <c r="O985" s="39"/>
      <c r="P985" s="108">
        <f>+N985+O985</f>
        <v>1805000</v>
      </c>
      <c r="Q985" s="39">
        <v>100</v>
      </c>
      <c r="R985" s="39">
        <f t="shared" si="198"/>
        <v>6500000</v>
      </c>
      <c r="S985" s="42">
        <f t="shared" si="199"/>
        <v>0</v>
      </c>
    </row>
    <row r="986" spans="1:19">
      <c r="A986" s="99">
        <v>2026</v>
      </c>
      <c r="B986" s="100">
        <v>1</v>
      </c>
      <c r="C986" s="101">
        <v>46031</v>
      </c>
      <c r="D986" s="101" t="str">
        <f t="shared" si="197"/>
        <v>RMF00000076Сирдарё_Фотима опа</v>
      </c>
      <c r="E986" s="99" t="s">
        <v>1491</v>
      </c>
      <c r="F986" s="102" t="s">
        <v>284</v>
      </c>
      <c r="G986" s="102" t="s">
        <v>281</v>
      </c>
      <c r="H986" s="99" t="s">
        <v>1303</v>
      </c>
      <c r="I986" s="102" t="s">
        <v>1492</v>
      </c>
      <c r="J986" s="102" t="s">
        <v>21</v>
      </c>
      <c r="K986" s="103">
        <v>100</v>
      </c>
      <c r="L986" s="104">
        <v>40621</v>
      </c>
      <c r="M986" s="104">
        <v>4062100</v>
      </c>
      <c r="N986" s="39">
        <v>1495000</v>
      </c>
      <c r="O986" s="39"/>
      <c r="P986" s="108">
        <f>+N986+O986</f>
        <v>1495000</v>
      </c>
      <c r="Q986" s="39">
        <v>100</v>
      </c>
      <c r="R986" s="39">
        <f t="shared" si="198"/>
        <v>4062100</v>
      </c>
      <c r="S986" s="42">
        <f t="shared" si="199"/>
        <v>0</v>
      </c>
    </row>
    <row r="987" spans="1:19">
      <c r="A987" s="99">
        <v>2026</v>
      </c>
      <c r="B987" s="100">
        <v>1</v>
      </c>
      <c r="C987" s="101">
        <v>46034</v>
      </c>
      <c r="D987" s="101" t="str">
        <f t="shared" si="197"/>
        <v>RMF00000080Хоразм_Улугбек ака</v>
      </c>
      <c r="E987" s="99" t="s">
        <v>1493</v>
      </c>
      <c r="F987" s="102" t="s">
        <v>1494</v>
      </c>
      <c r="G987" s="102" t="s">
        <v>864</v>
      </c>
      <c r="H987" s="99" t="s">
        <v>1303</v>
      </c>
      <c r="I987" s="102" t="s">
        <v>865</v>
      </c>
      <c r="J987" s="102" t="s">
        <v>41</v>
      </c>
      <c r="K987" s="103">
        <v>200</v>
      </c>
      <c r="L987" s="104">
        <v>90000</v>
      </c>
      <c r="M987" s="104">
        <v>18000000</v>
      </c>
      <c r="N987" s="39">
        <v>1644000</v>
      </c>
      <c r="O987" s="39"/>
      <c r="P987" s="108">
        <f>+N987+O987</f>
        <v>1644000</v>
      </c>
      <c r="Q987" s="39">
        <v>100</v>
      </c>
      <c r="R987" s="39">
        <f t="shared" si="198"/>
        <v>18000000</v>
      </c>
      <c r="S987" s="42">
        <f t="shared" si="199"/>
        <v>0</v>
      </c>
    </row>
    <row r="988" spans="1:19">
      <c r="A988" s="99">
        <v>2026</v>
      </c>
      <c r="B988" s="100">
        <v>1</v>
      </c>
      <c r="C988" s="101">
        <v>46034</v>
      </c>
      <c r="D988" s="101" t="str">
        <f t="shared" si="197"/>
        <v>RMF00000089Самарканд_Хуршед ака</v>
      </c>
      <c r="E988" s="99" t="s">
        <v>1495</v>
      </c>
      <c r="F988" s="102" t="s">
        <v>994</v>
      </c>
      <c r="G988" s="102" t="s">
        <v>272</v>
      </c>
      <c r="H988" s="99" t="s">
        <v>1303</v>
      </c>
      <c r="I988" s="102" t="s">
        <v>913</v>
      </c>
      <c r="J988" s="102" t="s">
        <v>41</v>
      </c>
      <c r="K988" s="103">
        <v>40</v>
      </c>
      <c r="L988" s="104">
        <v>90000</v>
      </c>
      <c r="M988" s="104">
        <v>3600000</v>
      </c>
      <c r="N988" s="39">
        <v>831000</v>
      </c>
      <c r="O988" s="39"/>
      <c r="P988" s="108">
        <f>+N988+O988</f>
        <v>831000</v>
      </c>
      <c r="Q988" s="39">
        <v>100</v>
      </c>
      <c r="R988" s="39">
        <f t="shared" si="198"/>
        <v>3600000</v>
      </c>
      <c r="S988" s="42">
        <f t="shared" si="199"/>
        <v>0</v>
      </c>
    </row>
    <row r="989" spans="1:19">
      <c r="A989" s="99">
        <v>2026</v>
      </c>
      <c r="B989" s="100">
        <v>1</v>
      </c>
      <c r="C989" s="101">
        <v>46034</v>
      </c>
      <c r="D989" s="101" t="str">
        <f t="shared" si="197"/>
        <v>RMF00000091Самарканд_Хуршед ака</v>
      </c>
      <c r="E989" s="99" t="s">
        <v>1496</v>
      </c>
      <c r="F989" s="102" t="s">
        <v>1462</v>
      </c>
      <c r="G989" s="102" t="s">
        <v>272</v>
      </c>
      <c r="H989" s="99" t="s">
        <v>1303</v>
      </c>
      <c r="I989" s="102" t="s">
        <v>1445</v>
      </c>
      <c r="J989" s="102" t="s">
        <v>21</v>
      </c>
      <c r="K989" s="103">
        <v>30</v>
      </c>
      <c r="L989" s="104">
        <v>40621.300000000003</v>
      </c>
      <c r="M989" s="104">
        <v>1218639</v>
      </c>
      <c r="N989" s="39">
        <v>929000</v>
      </c>
      <c r="O989" s="39"/>
      <c r="P989" s="108">
        <f>+N989+O989</f>
        <v>929000</v>
      </c>
      <c r="Q989" s="39">
        <v>100</v>
      </c>
      <c r="R989" s="39">
        <f t="shared" si="198"/>
        <v>1218639</v>
      </c>
      <c r="S989" s="42">
        <f t="shared" si="199"/>
        <v>0</v>
      </c>
    </row>
    <row r="990" spans="1:19">
      <c r="A990" s="99">
        <v>2026</v>
      </c>
      <c r="B990" s="100">
        <v>1</v>
      </c>
      <c r="C990" s="101">
        <v>46034</v>
      </c>
      <c r="D990" s="101" t="str">
        <f t="shared" si="197"/>
        <v>RMF00000107Таш.Обл_Рустам ака (S)</v>
      </c>
      <c r="E990" s="99" t="s">
        <v>1498</v>
      </c>
      <c r="F990" s="102" t="s">
        <v>265</v>
      </c>
      <c r="G990" s="102" t="s">
        <v>1499</v>
      </c>
      <c r="H990" s="99" t="s">
        <v>1303</v>
      </c>
      <c r="I990" s="102" t="s">
        <v>1500</v>
      </c>
      <c r="J990" s="102" t="s">
        <v>21</v>
      </c>
      <c r="K990" s="103">
        <v>100</v>
      </c>
      <c r="L990" s="104">
        <v>14000</v>
      </c>
      <c r="M990" s="104">
        <v>1400000</v>
      </c>
      <c r="N990" s="39">
        <v>281000</v>
      </c>
      <c r="O990" s="39"/>
      <c r="P990" s="108">
        <f>+N990+O990</f>
        <v>281000</v>
      </c>
      <c r="Q990" s="39">
        <v>100</v>
      </c>
      <c r="R990" s="39">
        <f t="shared" si="198"/>
        <v>1400000</v>
      </c>
      <c r="S990" s="42">
        <f t="shared" si="199"/>
        <v>0</v>
      </c>
    </row>
    <row r="991" spans="1:19">
      <c r="A991" s="99">
        <v>2026</v>
      </c>
      <c r="B991" s="100">
        <v>1</v>
      </c>
      <c r="C991" s="101">
        <v>46035</v>
      </c>
      <c r="D991" s="101" t="str">
        <f t="shared" si="197"/>
        <v>RMF00000129Самарканд_Хуршед ака</v>
      </c>
      <c r="E991" s="99" t="s">
        <v>1501</v>
      </c>
      <c r="F991" s="102" t="s">
        <v>1302</v>
      </c>
      <c r="G991" s="102" t="s">
        <v>272</v>
      </c>
      <c r="H991" s="99" t="s">
        <v>1303</v>
      </c>
      <c r="I991" s="102" t="s">
        <v>983</v>
      </c>
      <c r="J991" s="102" t="s">
        <v>41</v>
      </c>
      <c r="K991" s="103">
        <v>30</v>
      </c>
      <c r="L991" s="104">
        <v>90000</v>
      </c>
      <c r="M991" s="104">
        <v>2700000</v>
      </c>
      <c r="N991" s="39">
        <v>756000</v>
      </c>
      <c r="O991" s="39"/>
      <c r="P991" s="108">
        <f>+N991+O991</f>
        <v>756000</v>
      </c>
      <c r="Q991" s="39">
        <v>100</v>
      </c>
      <c r="R991" s="39">
        <f t="shared" si="198"/>
        <v>2700000</v>
      </c>
      <c r="S991" s="42">
        <f t="shared" si="199"/>
        <v>0</v>
      </c>
    </row>
    <row r="992" spans="1:19">
      <c r="A992" s="99">
        <v>2026</v>
      </c>
      <c r="B992" s="100">
        <v>1</v>
      </c>
      <c r="C992" s="101">
        <v>46035</v>
      </c>
      <c r="D992" s="101" t="str">
        <f t="shared" si="197"/>
        <v>RMF00000129Самарканд_Хуршед ака</v>
      </c>
      <c r="E992" s="99" t="s">
        <v>1501</v>
      </c>
      <c r="F992" s="102" t="s">
        <v>1302</v>
      </c>
      <c r="G992" s="102" t="s">
        <v>272</v>
      </c>
      <c r="H992" s="99" t="s">
        <v>1303</v>
      </c>
      <c r="I992" s="102" t="s">
        <v>983</v>
      </c>
      <c r="J992" s="102" t="s">
        <v>38</v>
      </c>
      <c r="K992" s="103">
        <v>30</v>
      </c>
      <c r="L992" s="104">
        <v>65000</v>
      </c>
      <c r="M992" s="104">
        <v>1950000</v>
      </c>
      <c r="N992" s="39">
        <v>502000</v>
      </c>
      <c r="O992" s="39"/>
      <c r="P992" s="108">
        <f>+N992+O992</f>
        <v>502000</v>
      </c>
      <c r="Q992" s="39">
        <v>100</v>
      </c>
      <c r="R992" s="39">
        <f t="shared" si="198"/>
        <v>1950000</v>
      </c>
      <c r="S992" s="42">
        <f t="shared" si="199"/>
        <v>0</v>
      </c>
    </row>
    <row r="993" spans="1:19">
      <c r="A993" s="99">
        <v>2026</v>
      </c>
      <c r="B993" s="100">
        <v>1</v>
      </c>
      <c r="C993" s="101">
        <v>46035</v>
      </c>
      <c r="D993" s="101" t="str">
        <f t="shared" si="197"/>
        <v>RMF00000129Самарканд_Хуршед ака</v>
      </c>
      <c r="E993" s="99" t="s">
        <v>1501</v>
      </c>
      <c r="F993" s="102" t="s">
        <v>1302</v>
      </c>
      <c r="G993" s="102" t="s">
        <v>272</v>
      </c>
      <c r="H993" s="99" t="s">
        <v>1303</v>
      </c>
      <c r="I993" s="102" t="s">
        <v>983</v>
      </c>
      <c r="J993" s="102" t="s">
        <v>466</v>
      </c>
      <c r="K993" s="103">
        <v>30</v>
      </c>
      <c r="L993" s="104">
        <v>120000</v>
      </c>
      <c r="M993" s="104">
        <v>3600000</v>
      </c>
      <c r="N993" s="39">
        <v>1083000</v>
      </c>
      <c r="O993" s="39"/>
      <c r="P993" s="108">
        <f>+N993+O993</f>
        <v>1083000</v>
      </c>
      <c r="Q993" s="39">
        <v>100</v>
      </c>
      <c r="R993" s="39">
        <f t="shared" si="198"/>
        <v>3600000</v>
      </c>
      <c r="S993" s="42">
        <f t="shared" si="199"/>
        <v>0</v>
      </c>
    </row>
    <row r="994" spans="1:19">
      <c r="A994" s="99">
        <v>2026</v>
      </c>
      <c r="B994" s="100">
        <v>1</v>
      </c>
      <c r="C994" s="101">
        <v>46035</v>
      </c>
      <c r="D994" s="101" t="str">
        <f t="shared" si="197"/>
        <v>RMF00000131Сирдарё_Фотима опа</v>
      </c>
      <c r="E994" s="99" t="s">
        <v>1502</v>
      </c>
      <c r="F994" s="102" t="s">
        <v>541</v>
      </c>
      <c r="G994" s="102" t="s">
        <v>281</v>
      </c>
      <c r="H994" s="99" t="s">
        <v>1303</v>
      </c>
      <c r="I994" s="102" t="s">
        <v>928</v>
      </c>
      <c r="J994" s="102" t="s">
        <v>466</v>
      </c>
      <c r="K994" s="103">
        <v>20</v>
      </c>
      <c r="L994" s="104">
        <v>120000</v>
      </c>
      <c r="M994" s="104">
        <v>2400000</v>
      </c>
      <c r="N994" s="39">
        <v>163000</v>
      </c>
      <c r="O994" s="39"/>
      <c r="P994" s="108">
        <f>+N994+O994</f>
        <v>163000</v>
      </c>
      <c r="Q994" s="39">
        <v>100</v>
      </c>
      <c r="R994" s="39">
        <f t="shared" si="198"/>
        <v>2400000</v>
      </c>
      <c r="S994" s="42">
        <f t="shared" si="199"/>
        <v>0</v>
      </c>
    </row>
    <row r="995" spans="1:19">
      <c r="A995" s="99">
        <v>2026</v>
      </c>
      <c r="B995" s="100">
        <v>1</v>
      </c>
      <c r="C995" s="101">
        <v>46035</v>
      </c>
      <c r="D995" s="101" t="str">
        <f t="shared" si="197"/>
        <v>RMF00000131Сирдарё_Фотима опа</v>
      </c>
      <c r="E995" s="99" t="s">
        <v>1502</v>
      </c>
      <c r="F995" s="102" t="s">
        <v>541</v>
      </c>
      <c r="G995" s="102" t="s">
        <v>281</v>
      </c>
      <c r="H995" s="99" t="s">
        <v>1303</v>
      </c>
      <c r="I995" s="102" t="s">
        <v>928</v>
      </c>
      <c r="J995" s="102" t="s">
        <v>38</v>
      </c>
      <c r="K995" s="103">
        <v>40</v>
      </c>
      <c r="L995" s="104">
        <v>65000</v>
      </c>
      <c r="M995" s="104">
        <v>2600000</v>
      </c>
      <c r="N995" s="39">
        <v>151000</v>
      </c>
      <c r="O995" s="39"/>
      <c r="P995" s="108">
        <f>+N995+O995</f>
        <v>151000</v>
      </c>
      <c r="Q995" s="39">
        <v>100</v>
      </c>
      <c r="R995" s="39">
        <f t="shared" si="198"/>
        <v>2600000</v>
      </c>
      <c r="S995" s="42">
        <f t="shared" si="199"/>
        <v>0</v>
      </c>
    </row>
    <row r="996" spans="1:19">
      <c r="A996" s="99">
        <v>2026</v>
      </c>
      <c r="B996" s="100">
        <v>1</v>
      </c>
      <c r="C996" s="101">
        <v>46036</v>
      </c>
      <c r="D996" s="101" t="str">
        <f t="shared" si="197"/>
        <v>RMF00000157Самарканд_Хуршед ака</v>
      </c>
      <c r="E996" s="99" t="s">
        <v>1506</v>
      </c>
      <c r="F996" s="102" t="s">
        <v>1302</v>
      </c>
      <c r="G996" s="102" t="s">
        <v>272</v>
      </c>
      <c r="H996" s="99" t="s">
        <v>1303</v>
      </c>
      <c r="I996" s="102" t="s">
        <v>1507</v>
      </c>
      <c r="J996" s="102" t="s">
        <v>41</v>
      </c>
      <c r="K996" s="103">
        <v>30</v>
      </c>
      <c r="L996" s="104">
        <v>90000</v>
      </c>
      <c r="M996" s="104">
        <v>2700000</v>
      </c>
      <c r="N996" s="39">
        <v>1717000</v>
      </c>
      <c r="O996" s="39"/>
      <c r="P996" s="108">
        <f>+N996+O996</f>
        <v>1717000</v>
      </c>
      <c r="Q996" s="39">
        <v>100</v>
      </c>
      <c r="R996" s="39">
        <f t="shared" si="198"/>
        <v>2700000</v>
      </c>
      <c r="S996" s="42">
        <f t="shared" si="199"/>
        <v>0</v>
      </c>
    </row>
    <row r="997" spans="1:19">
      <c r="A997" s="99">
        <v>2026</v>
      </c>
      <c r="B997" s="100">
        <v>1</v>
      </c>
      <c r="C997" s="101">
        <v>46036</v>
      </c>
      <c r="D997" s="101" t="str">
        <f t="shared" si="197"/>
        <v>RMF00000161Самарканд_Хуршед ака</v>
      </c>
      <c r="E997" s="99" t="s">
        <v>1508</v>
      </c>
      <c r="F997" s="102" t="s">
        <v>1462</v>
      </c>
      <c r="G997" s="102" t="s">
        <v>272</v>
      </c>
      <c r="H997" s="99" t="s">
        <v>1303</v>
      </c>
      <c r="I997" s="102" t="s">
        <v>1445</v>
      </c>
      <c r="J997" s="102" t="s">
        <v>21</v>
      </c>
      <c r="K997" s="103">
        <v>30</v>
      </c>
      <c r="L997" s="104">
        <v>40621</v>
      </c>
      <c r="M997" s="104">
        <v>1218630</v>
      </c>
      <c r="N997" s="39">
        <v>929000</v>
      </c>
      <c r="O997" s="39"/>
      <c r="P997" s="108">
        <f>+N997+O997</f>
        <v>929000</v>
      </c>
      <c r="Q997" s="39">
        <v>100</v>
      </c>
      <c r="R997" s="39">
        <f t="shared" si="198"/>
        <v>1218630</v>
      </c>
      <c r="S997" s="42">
        <f t="shared" si="199"/>
        <v>0</v>
      </c>
    </row>
    <row r="998" spans="1:19">
      <c r="A998" s="99">
        <v>2026</v>
      </c>
      <c r="B998" s="100">
        <v>1</v>
      </c>
      <c r="C998" s="101">
        <v>46037</v>
      </c>
      <c r="D998" s="101" t="str">
        <f t="shared" si="197"/>
        <v>RMF00000183Кукон_Баходирхон ака</v>
      </c>
      <c r="E998" s="99" t="s">
        <v>1509</v>
      </c>
      <c r="F998" s="102" t="s">
        <v>1451</v>
      </c>
      <c r="G998" s="102" t="s">
        <v>1264</v>
      </c>
      <c r="H998" s="99" t="s">
        <v>1303</v>
      </c>
      <c r="I998" s="102" t="s">
        <v>1265</v>
      </c>
      <c r="J998" s="102" t="s">
        <v>46</v>
      </c>
      <c r="K998" s="103">
        <v>20</v>
      </c>
      <c r="L998" s="104">
        <v>64700</v>
      </c>
      <c r="M998" s="104">
        <v>1294000</v>
      </c>
      <c r="N998" s="39">
        <v>333000</v>
      </c>
      <c r="O998" s="39"/>
      <c r="P998" s="108">
        <f>+N998+O998</f>
        <v>333000</v>
      </c>
      <c r="Q998" s="39">
        <v>100</v>
      </c>
      <c r="R998" s="39">
        <f t="shared" si="198"/>
        <v>1294000</v>
      </c>
      <c r="S998" s="42">
        <f t="shared" si="199"/>
        <v>0</v>
      </c>
    </row>
    <row r="999" spans="1:19">
      <c r="A999" s="99">
        <v>2026</v>
      </c>
      <c r="B999" s="100">
        <v>1</v>
      </c>
      <c r="C999" s="101">
        <v>46037</v>
      </c>
      <c r="D999" s="101" t="str">
        <f t="shared" si="197"/>
        <v>RMF00000184Фаргона_Умар ака Сух</v>
      </c>
      <c r="E999" s="99" t="s">
        <v>1510</v>
      </c>
      <c r="F999" s="102" t="s">
        <v>1271</v>
      </c>
      <c r="G999" s="102" t="s">
        <v>1272</v>
      </c>
      <c r="H999" s="99" t="s">
        <v>1303</v>
      </c>
      <c r="I999" s="102" t="s">
        <v>1298</v>
      </c>
      <c r="J999" s="102" t="s">
        <v>41</v>
      </c>
      <c r="K999" s="103">
        <v>50</v>
      </c>
      <c r="L999" s="104">
        <v>90000</v>
      </c>
      <c r="M999" s="104">
        <v>4500000</v>
      </c>
      <c r="N999" s="39">
        <v>825000</v>
      </c>
      <c r="O999" s="39"/>
      <c r="P999" s="108">
        <f>+N999+O999</f>
        <v>825000</v>
      </c>
      <c r="Q999" s="39">
        <v>100</v>
      </c>
      <c r="R999" s="39">
        <f t="shared" si="198"/>
        <v>4500000</v>
      </c>
      <c r="S999" s="42">
        <f t="shared" si="199"/>
        <v>0</v>
      </c>
    </row>
    <row r="1000" spans="1:19">
      <c r="A1000" s="99">
        <v>2026</v>
      </c>
      <c r="B1000" s="100">
        <v>1</v>
      </c>
      <c r="C1000" s="101">
        <v>46038</v>
      </c>
      <c r="D1000" s="101" t="str">
        <f t="shared" si="197"/>
        <v>RMF00000188Андижон_Жонибек ака (S)</v>
      </c>
      <c r="E1000" s="99" t="s">
        <v>1511</v>
      </c>
      <c r="F1000" s="102" t="s">
        <v>1383</v>
      </c>
      <c r="G1000" s="102" t="s">
        <v>1280</v>
      </c>
      <c r="H1000" s="99" t="s">
        <v>1303</v>
      </c>
      <c r="I1000" s="102" t="s">
        <v>1410</v>
      </c>
      <c r="J1000" s="102" t="s">
        <v>38</v>
      </c>
      <c r="K1000" s="103">
        <v>100</v>
      </c>
      <c r="L1000" s="104">
        <v>65000</v>
      </c>
      <c r="M1000" s="104">
        <v>6500000</v>
      </c>
      <c r="N1000" s="39">
        <v>3797000</v>
      </c>
      <c r="O1000" s="39"/>
      <c r="P1000" s="108">
        <f>+N1000+O1000</f>
        <v>3797000</v>
      </c>
      <c r="Q1000" s="39">
        <v>100</v>
      </c>
      <c r="R1000" s="39">
        <f t="shared" si="198"/>
        <v>6500000</v>
      </c>
      <c r="S1000" s="42">
        <f t="shared" si="199"/>
        <v>0</v>
      </c>
    </row>
    <row r="1001" spans="1:19">
      <c r="A1001" s="99">
        <v>2026</v>
      </c>
      <c r="B1001" s="100">
        <v>1</v>
      </c>
      <c r="C1001" s="101">
        <v>46038</v>
      </c>
      <c r="D1001" s="101" t="str">
        <f t="shared" si="197"/>
        <v>RMF00000192Таш.Обл_Ноила опа</v>
      </c>
      <c r="E1001" s="99" t="s">
        <v>1512</v>
      </c>
      <c r="F1001" s="102" t="s">
        <v>1414</v>
      </c>
      <c r="G1001" s="102" t="s">
        <v>1101</v>
      </c>
      <c r="H1001" s="99" t="s">
        <v>1303</v>
      </c>
      <c r="I1001" s="102" t="s">
        <v>1513</v>
      </c>
      <c r="J1001" s="102" t="s">
        <v>38</v>
      </c>
      <c r="K1001" s="103">
        <v>50</v>
      </c>
      <c r="L1001" s="104">
        <v>65000</v>
      </c>
      <c r="M1001" s="104">
        <v>3250000</v>
      </c>
      <c r="N1001" s="39">
        <v>483000</v>
      </c>
      <c r="O1001" s="39"/>
      <c r="P1001" s="108">
        <f>+N1001+O1001</f>
        <v>483000</v>
      </c>
      <c r="Q1001" s="39">
        <v>100</v>
      </c>
      <c r="R1001" s="39">
        <f t="shared" si="198"/>
        <v>3250000</v>
      </c>
      <c r="S1001" s="42">
        <f t="shared" si="199"/>
        <v>0</v>
      </c>
    </row>
    <row r="1002" spans="1:19">
      <c r="A1002" s="99">
        <v>2026</v>
      </c>
      <c r="B1002" s="100">
        <v>1</v>
      </c>
      <c r="C1002" s="101">
        <v>46038</v>
      </c>
      <c r="D1002" s="101" t="str">
        <f t="shared" si="197"/>
        <v>RMF00000200Таш.Обл_Ноила опа</v>
      </c>
      <c r="E1002" s="99" t="s">
        <v>1514</v>
      </c>
      <c r="F1002" s="102" t="s">
        <v>1414</v>
      </c>
      <c r="G1002" s="102" t="s">
        <v>1101</v>
      </c>
      <c r="H1002" s="99" t="s">
        <v>1303</v>
      </c>
      <c r="I1002" s="102" t="s">
        <v>1515</v>
      </c>
      <c r="J1002" s="102" t="s">
        <v>38</v>
      </c>
      <c r="K1002" s="103">
        <v>20</v>
      </c>
      <c r="L1002" s="104">
        <v>65000</v>
      </c>
      <c r="M1002" s="104">
        <v>1300000</v>
      </c>
      <c r="N1002" s="39">
        <v>451000</v>
      </c>
      <c r="O1002" s="39"/>
      <c r="P1002" s="108">
        <f>+N1002+O1002</f>
        <v>451000</v>
      </c>
      <c r="Q1002" s="39">
        <v>100</v>
      </c>
      <c r="R1002" s="39">
        <f t="shared" si="198"/>
        <v>1300000</v>
      </c>
      <c r="S1002" s="42">
        <f t="shared" si="199"/>
        <v>0</v>
      </c>
    </row>
    <row r="1003" spans="1:19">
      <c r="A1003" s="99">
        <v>2026</v>
      </c>
      <c r="B1003" s="100">
        <v>1</v>
      </c>
      <c r="C1003" s="101">
        <v>46038</v>
      </c>
      <c r="D1003" s="101" t="str">
        <f t="shared" si="197"/>
        <v>RMF00000201Карши_Дилсўз опа</v>
      </c>
      <c r="E1003" s="99" t="s">
        <v>1516</v>
      </c>
      <c r="F1003" s="102" t="s">
        <v>1026</v>
      </c>
      <c r="G1003" s="102" t="s">
        <v>1027</v>
      </c>
      <c r="H1003" s="99" t="s">
        <v>1303</v>
      </c>
      <c r="I1003" s="102" t="s">
        <v>1517</v>
      </c>
      <c r="J1003" s="102" t="s">
        <v>41</v>
      </c>
      <c r="K1003" s="103">
        <v>50</v>
      </c>
      <c r="L1003" s="104">
        <v>90000</v>
      </c>
      <c r="M1003" s="104">
        <v>4500000</v>
      </c>
      <c r="N1003" s="39">
        <v>1259000</v>
      </c>
      <c r="O1003" s="39"/>
      <c r="P1003" s="108">
        <f>+N1003+O1003</f>
        <v>1259000</v>
      </c>
      <c r="Q1003" s="39">
        <v>100</v>
      </c>
      <c r="R1003" s="39">
        <f t="shared" si="198"/>
        <v>4500000</v>
      </c>
      <c r="S1003" s="42">
        <f t="shared" si="199"/>
        <v>0</v>
      </c>
    </row>
    <row r="1004" spans="1:19">
      <c r="A1004" s="99">
        <v>2026</v>
      </c>
      <c r="B1004" s="100">
        <v>1</v>
      </c>
      <c r="C1004" s="101">
        <v>46041</v>
      </c>
      <c r="D1004" s="101" t="str">
        <f t="shared" si="197"/>
        <v>RMF00000214Таш.Обл_Рустам ака (S)</v>
      </c>
      <c r="E1004" s="99" t="s">
        <v>1519</v>
      </c>
      <c r="F1004" s="102" t="s">
        <v>265</v>
      </c>
      <c r="G1004" s="102" t="s">
        <v>1499</v>
      </c>
      <c r="H1004" s="99" t="s">
        <v>1303</v>
      </c>
      <c r="I1004" s="102" t="s">
        <v>1500</v>
      </c>
      <c r="J1004" s="102" t="s">
        <v>21</v>
      </c>
      <c r="K1004" s="103">
        <v>480</v>
      </c>
      <c r="L1004" s="104">
        <v>14000</v>
      </c>
      <c r="M1004" s="104">
        <v>6720000</v>
      </c>
      <c r="N1004" s="39">
        <v>227000</v>
      </c>
      <c r="O1004" s="39"/>
      <c r="P1004" s="108">
        <f>+N1004+O1004</f>
        <v>227000</v>
      </c>
      <c r="Q1004" s="39">
        <v>26</v>
      </c>
      <c r="R1004" s="39">
        <f t="shared" si="198"/>
        <v>1747200</v>
      </c>
      <c r="S1004" s="42">
        <f t="shared" si="199"/>
        <v>4972800</v>
      </c>
    </row>
    <row r="1005" spans="1:19">
      <c r="A1005" s="99">
        <v>2026</v>
      </c>
      <c r="B1005" s="100">
        <v>1</v>
      </c>
      <c r="C1005" s="101">
        <v>46041</v>
      </c>
      <c r="D1005" s="101" t="str">
        <f t="shared" si="197"/>
        <v>RMF00000243Сирдарё_Фотима опа</v>
      </c>
      <c r="E1005" s="99" t="s">
        <v>1520</v>
      </c>
      <c r="F1005" s="102" t="s">
        <v>284</v>
      </c>
      <c r="G1005" s="102" t="s">
        <v>281</v>
      </c>
      <c r="H1005" s="99" t="s">
        <v>1303</v>
      </c>
      <c r="I1005" s="102" t="s">
        <v>443</v>
      </c>
      <c r="J1005" s="102" t="s">
        <v>21</v>
      </c>
      <c r="K1005" s="103">
        <v>100</v>
      </c>
      <c r="L1005" s="104">
        <v>40621</v>
      </c>
      <c r="M1005" s="104">
        <v>4062100</v>
      </c>
      <c r="N1005" s="39">
        <v>2711000</v>
      </c>
      <c r="O1005" s="39"/>
      <c r="P1005" s="108">
        <f>+N1005+O1005</f>
        <v>2711000</v>
      </c>
      <c r="Q1005" s="39">
        <v>100</v>
      </c>
      <c r="R1005" s="39">
        <f t="shared" si="198"/>
        <v>4062100</v>
      </c>
      <c r="S1005" s="42">
        <f t="shared" si="199"/>
        <v>0</v>
      </c>
    </row>
    <row r="1006" spans="1:19">
      <c r="A1006" s="99">
        <v>2026</v>
      </c>
      <c r="B1006" s="100">
        <v>1</v>
      </c>
      <c r="C1006" s="101">
        <v>46042</v>
      </c>
      <c r="D1006" s="101" t="str">
        <f t="shared" si="197"/>
        <v>RMF00000254Самарканд_Хуршед ака</v>
      </c>
      <c r="E1006" s="99" t="s">
        <v>1522</v>
      </c>
      <c r="F1006" s="102" t="s">
        <v>1302</v>
      </c>
      <c r="G1006" s="102" t="s">
        <v>272</v>
      </c>
      <c r="H1006" s="99" t="s">
        <v>1303</v>
      </c>
      <c r="I1006" s="102" t="s">
        <v>986</v>
      </c>
      <c r="J1006" s="102" t="s">
        <v>466</v>
      </c>
      <c r="K1006" s="103">
        <v>60</v>
      </c>
      <c r="L1006" s="104">
        <v>120000</v>
      </c>
      <c r="M1006" s="104">
        <v>7200000</v>
      </c>
      <c r="N1006" s="39">
        <v>2163000</v>
      </c>
      <c r="O1006" s="39"/>
      <c r="P1006" s="108">
        <f>+N1006+O1006</f>
        <v>2163000</v>
      </c>
      <c r="Q1006" s="39">
        <v>100</v>
      </c>
      <c r="R1006" s="39">
        <f t="shared" si="198"/>
        <v>7200000</v>
      </c>
      <c r="S1006" s="42">
        <f t="shared" si="199"/>
        <v>0</v>
      </c>
    </row>
    <row r="1007" spans="1:19">
      <c r="A1007" s="99">
        <v>2026</v>
      </c>
      <c r="B1007" s="100">
        <v>1</v>
      </c>
      <c r="C1007" s="101">
        <v>46042</v>
      </c>
      <c r="D1007" s="101" t="str">
        <f t="shared" si="197"/>
        <v>RMF00000262Фаргона_Умар ака Сух</v>
      </c>
      <c r="E1007" s="99" t="s">
        <v>1523</v>
      </c>
      <c r="F1007" s="102" t="s">
        <v>1271</v>
      </c>
      <c r="G1007" s="102" t="s">
        <v>1272</v>
      </c>
      <c r="H1007" s="99" t="s">
        <v>1303</v>
      </c>
      <c r="I1007" s="102" t="s">
        <v>1524</v>
      </c>
      <c r="J1007" s="102" t="s">
        <v>41</v>
      </c>
      <c r="K1007" s="103">
        <v>10</v>
      </c>
      <c r="L1007" s="104">
        <v>90000</v>
      </c>
      <c r="M1007" s="104">
        <v>900000</v>
      </c>
      <c r="N1007" s="39">
        <v>213000</v>
      </c>
      <c r="O1007" s="39"/>
      <c r="P1007" s="108">
        <f>+N1007+O1007</f>
        <v>213000</v>
      </c>
      <c r="Q1007" s="39">
        <v>100</v>
      </c>
      <c r="R1007" s="39">
        <f t="shared" si="198"/>
        <v>900000</v>
      </c>
      <c r="S1007" s="42">
        <f t="shared" si="199"/>
        <v>0</v>
      </c>
    </row>
    <row r="1008" spans="1:19">
      <c r="A1008" s="99">
        <v>2026</v>
      </c>
      <c r="B1008" s="100">
        <v>1</v>
      </c>
      <c r="C1008" s="101">
        <v>46042</v>
      </c>
      <c r="D1008" s="101" t="str">
        <f t="shared" si="197"/>
        <v>RMF00000263Сирдарё_Фотима опа</v>
      </c>
      <c r="E1008" s="99" t="s">
        <v>1525</v>
      </c>
      <c r="F1008" s="102" t="s">
        <v>284</v>
      </c>
      <c r="G1008" s="102" t="s">
        <v>281</v>
      </c>
      <c r="H1008" s="99" t="s">
        <v>1303</v>
      </c>
      <c r="I1008" s="102" t="s">
        <v>1335</v>
      </c>
      <c r="J1008" s="102" t="s">
        <v>466</v>
      </c>
      <c r="K1008" s="103">
        <v>20</v>
      </c>
      <c r="L1008" s="104">
        <v>120000</v>
      </c>
      <c r="M1008" s="104">
        <v>2400000</v>
      </c>
      <c r="N1008" s="39">
        <v>425000</v>
      </c>
      <c r="O1008" s="39"/>
      <c r="P1008" s="108">
        <f>+N1008+O1008</f>
        <v>425000</v>
      </c>
      <c r="Q1008" s="39">
        <v>100</v>
      </c>
      <c r="R1008" s="39">
        <f t="shared" si="198"/>
        <v>2400000</v>
      </c>
      <c r="S1008" s="42">
        <f t="shared" si="199"/>
        <v>0</v>
      </c>
    </row>
    <row r="1009" spans="1:19">
      <c r="A1009" s="99">
        <v>2026</v>
      </c>
      <c r="B1009" s="100">
        <v>1</v>
      </c>
      <c r="C1009" s="101">
        <v>46042</v>
      </c>
      <c r="D1009" s="101" t="str">
        <f t="shared" si="197"/>
        <v>RMF00000263Сирдарё_Фотима опа</v>
      </c>
      <c r="E1009" s="99" t="s">
        <v>1525</v>
      </c>
      <c r="F1009" s="102" t="s">
        <v>284</v>
      </c>
      <c r="G1009" s="102" t="s">
        <v>281</v>
      </c>
      <c r="H1009" s="99" t="s">
        <v>1303</v>
      </c>
      <c r="I1009" s="102" t="s">
        <v>1335</v>
      </c>
      <c r="J1009" s="102" t="s">
        <v>21</v>
      </c>
      <c r="K1009" s="103">
        <v>30</v>
      </c>
      <c r="L1009" s="104">
        <v>40621</v>
      </c>
      <c r="M1009" s="104">
        <v>1218630</v>
      </c>
      <c r="N1009" s="39">
        <v>225000</v>
      </c>
      <c r="O1009" s="39"/>
      <c r="P1009" s="108">
        <f>+N1009+O1009</f>
        <v>225000</v>
      </c>
      <c r="Q1009" s="39">
        <v>100</v>
      </c>
      <c r="R1009" s="39">
        <f t="shared" si="198"/>
        <v>1218630</v>
      </c>
      <c r="S1009" s="42">
        <f t="shared" si="199"/>
        <v>0</v>
      </c>
    </row>
    <row r="1010" spans="1:19">
      <c r="A1010" s="99">
        <v>2026</v>
      </c>
      <c r="B1010" s="100">
        <v>1</v>
      </c>
      <c r="C1010" s="101">
        <v>46042</v>
      </c>
      <c r="D1010" s="101" t="str">
        <f t="shared" si="197"/>
        <v>RMF00000273Самарканд_Хуршед ака</v>
      </c>
      <c r="E1010" s="99" t="s">
        <v>1526</v>
      </c>
      <c r="F1010" s="102" t="s">
        <v>1302</v>
      </c>
      <c r="G1010" s="102" t="s">
        <v>272</v>
      </c>
      <c r="H1010" s="99" t="s">
        <v>1303</v>
      </c>
      <c r="I1010" s="102" t="s">
        <v>925</v>
      </c>
      <c r="J1010" s="102" t="s">
        <v>466</v>
      </c>
      <c r="K1010" s="103">
        <v>40</v>
      </c>
      <c r="L1010" s="104">
        <v>120000</v>
      </c>
      <c r="M1010" s="104">
        <v>4800000</v>
      </c>
      <c r="N1010" s="39">
        <v>848000</v>
      </c>
      <c r="O1010" s="39"/>
      <c r="P1010" s="108">
        <f>+N1010+O1010</f>
        <v>848000</v>
      </c>
      <c r="Q1010" s="39">
        <v>100</v>
      </c>
      <c r="R1010" s="39">
        <f t="shared" si="198"/>
        <v>4800000</v>
      </c>
      <c r="S1010" s="42">
        <f t="shared" si="199"/>
        <v>0</v>
      </c>
    </row>
    <row r="1011" spans="1:19">
      <c r="A1011" s="99">
        <v>2026</v>
      </c>
      <c r="B1011" s="100">
        <v>1</v>
      </c>
      <c r="C1011" s="101">
        <v>46042</v>
      </c>
      <c r="D1011" s="101" t="str">
        <f t="shared" si="197"/>
        <v>RMF00000273Самарканд_Хуршед ака</v>
      </c>
      <c r="E1011" s="99" t="s">
        <v>1526</v>
      </c>
      <c r="F1011" s="102" t="s">
        <v>1302</v>
      </c>
      <c r="G1011" s="102" t="s">
        <v>272</v>
      </c>
      <c r="H1011" s="99" t="s">
        <v>1303</v>
      </c>
      <c r="I1011" s="102" t="s">
        <v>925</v>
      </c>
      <c r="J1011" s="102" t="s">
        <v>38</v>
      </c>
      <c r="K1011" s="103">
        <v>50</v>
      </c>
      <c r="L1011" s="104">
        <v>65000</v>
      </c>
      <c r="M1011" s="104">
        <v>3250000</v>
      </c>
      <c r="N1011" s="39">
        <v>478000</v>
      </c>
      <c r="O1011" s="39"/>
      <c r="P1011" s="108">
        <f>+N1011+O1011</f>
        <v>478000</v>
      </c>
      <c r="Q1011" s="39">
        <v>100</v>
      </c>
      <c r="R1011" s="39">
        <f t="shared" si="198"/>
        <v>3250000</v>
      </c>
      <c r="S1011" s="42">
        <f t="shared" si="199"/>
        <v>0</v>
      </c>
    </row>
    <row r="1012" spans="1:19">
      <c r="A1012" s="99">
        <v>2026</v>
      </c>
      <c r="B1012" s="100">
        <v>1</v>
      </c>
      <c r="C1012" s="101">
        <v>46042</v>
      </c>
      <c r="D1012" s="101" t="str">
        <f t="shared" si="197"/>
        <v>RMF00000273Самарканд_Хуршед ака</v>
      </c>
      <c r="E1012" s="99" t="s">
        <v>1526</v>
      </c>
      <c r="F1012" s="102" t="s">
        <v>1302</v>
      </c>
      <c r="G1012" s="102" t="s">
        <v>272</v>
      </c>
      <c r="H1012" s="99" t="s">
        <v>1303</v>
      </c>
      <c r="I1012" s="102" t="s">
        <v>925</v>
      </c>
      <c r="J1012" s="102" t="s">
        <v>46</v>
      </c>
      <c r="K1012" s="103">
        <v>40</v>
      </c>
      <c r="L1012" s="104">
        <v>64700</v>
      </c>
      <c r="M1012" s="104">
        <v>2588000</v>
      </c>
      <c r="N1012" s="39">
        <v>407000</v>
      </c>
      <c r="O1012" s="39"/>
      <c r="P1012" s="108">
        <f>+N1012+O1012</f>
        <v>407000</v>
      </c>
      <c r="Q1012" s="39">
        <v>100</v>
      </c>
      <c r="R1012" s="39">
        <f t="shared" si="198"/>
        <v>2588000</v>
      </c>
      <c r="S1012" s="42">
        <f t="shared" si="199"/>
        <v>0</v>
      </c>
    </row>
    <row r="1013" spans="1:19">
      <c r="A1013" s="99">
        <v>2026</v>
      </c>
      <c r="B1013" s="100">
        <v>1</v>
      </c>
      <c r="C1013" s="101">
        <v>46042</v>
      </c>
      <c r="D1013" s="101" t="str">
        <f t="shared" si="197"/>
        <v>RMF00000278Сирдарё_Фотима опа</v>
      </c>
      <c r="E1013" s="99" t="s">
        <v>1527</v>
      </c>
      <c r="F1013" s="102" t="s">
        <v>541</v>
      </c>
      <c r="G1013" s="102" t="s">
        <v>281</v>
      </c>
      <c r="H1013" s="99" t="s">
        <v>1303</v>
      </c>
      <c r="I1013" s="102" t="s">
        <v>928</v>
      </c>
      <c r="J1013" s="102" t="s">
        <v>21</v>
      </c>
      <c r="K1013" s="103">
        <v>50</v>
      </c>
      <c r="L1013" s="104">
        <v>40621</v>
      </c>
      <c r="M1013" s="104">
        <v>2031050</v>
      </c>
      <c r="N1013" s="39">
        <v>937000</v>
      </c>
      <c r="O1013" s="39"/>
      <c r="P1013" s="108">
        <f>+N1013+O1013</f>
        <v>937000</v>
      </c>
      <c r="Q1013" s="39">
        <v>100</v>
      </c>
      <c r="R1013" s="39">
        <f t="shared" si="198"/>
        <v>2031050</v>
      </c>
      <c r="S1013" s="42">
        <f t="shared" si="199"/>
        <v>0</v>
      </c>
    </row>
    <row r="1014" spans="1:19">
      <c r="A1014" s="99">
        <v>2026</v>
      </c>
      <c r="B1014" s="100">
        <v>1</v>
      </c>
      <c r="C1014" s="101">
        <v>46043</v>
      </c>
      <c r="D1014" s="101" t="str">
        <f t="shared" si="197"/>
        <v>RMF00000280Бухоро_Нафосат опа</v>
      </c>
      <c r="E1014" s="99" t="s">
        <v>1528</v>
      </c>
      <c r="F1014" s="102" t="s">
        <v>893</v>
      </c>
      <c r="G1014" s="102" t="s">
        <v>894</v>
      </c>
      <c r="H1014" s="99" t="s">
        <v>1303</v>
      </c>
      <c r="I1014" s="102" t="s">
        <v>1351</v>
      </c>
      <c r="J1014" s="102" t="s">
        <v>41</v>
      </c>
      <c r="K1014" s="103">
        <v>50</v>
      </c>
      <c r="L1014" s="104">
        <v>90000</v>
      </c>
      <c r="M1014" s="104">
        <v>4500000</v>
      </c>
      <c r="N1014" s="39">
        <v>756000</v>
      </c>
      <c r="O1014" s="39"/>
      <c r="P1014" s="108">
        <f>+N1014+O1014</f>
        <v>756000</v>
      </c>
      <c r="Q1014" s="39">
        <v>100</v>
      </c>
      <c r="R1014" s="39">
        <f t="shared" si="198"/>
        <v>4500000</v>
      </c>
      <c r="S1014" s="42">
        <f t="shared" si="199"/>
        <v>0</v>
      </c>
    </row>
    <row r="1015" spans="1:19">
      <c r="A1015" s="99">
        <v>2026</v>
      </c>
      <c r="B1015" s="100">
        <v>1</v>
      </c>
      <c r="C1015" s="101">
        <v>46043</v>
      </c>
      <c r="D1015" s="101" t="str">
        <f t="shared" si="197"/>
        <v>RMF00000292Самарканд_Хуршед ака</v>
      </c>
      <c r="E1015" s="99" t="s">
        <v>1529</v>
      </c>
      <c r="F1015" s="102" t="s">
        <v>1302</v>
      </c>
      <c r="G1015" s="102" t="s">
        <v>272</v>
      </c>
      <c r="H1015" s="99" t="s">
        <v>1303</v>
      </c>
      <c r="I1015" s="102" t="s">
        <v>1316</v>
      </c>
      <c r="J1015" s="102" t="s">
        <v>21</v>
      </c>
      <c r="K1015" s="103">
        <v>240</v>
      </c>
      <c r="L1015" s="104">
        <v>40621</v>
      </c>
      <c r="M1015" s="104">
        <v>9749040</v>
      </c>
      <c r="N1015" s="39">
        <v>2077000</v>
      </c>
      <c r="O1015" s="39"/>
      <c r="P1015" s="108">
        <f>+N1015+O1015</f>
        <v>2077000</v>
      </c>
      <c r="Q1015" s="39">
        <v>100</v>
      </c>
      <c r="R1015" s="39">
        <f t="shared" si="198"/>
        <v>9749040</v>
      </c>
      <c r="S1015" s="42">
        <f t="shared" si="199"/>
        <v>0</v>
      </c>
    </row>
    <row r="1016" spans="1:19">
      <c r="A1016" s="99">
        <v>2026</v>
      </c>
      <c r="B1016" s="100">
        <v>1</v>
      </c>
      <c r="C1016" s="101">
        <v>46043</v>
      </c>
      <c r="D1016" s="101" t="str">
        <f t="shared" si="197"/>
        <v>RMF00000293Самарканд_Хуршед ака</v>
      </c>
      <c r="E1016" s="99" t="s">
        <v>1530</v>
      </c>
      <c r="F1016" s="102" t="s">
        <v>1460</v>
      </c>
      <c r="G1016" s="102" t="s">
        <v>272</v>
      </c>
      <c r="H1016" s="99" t="s">
        <v>1303</v>
      </c>
      <c r="I1016" s="102" t="s">
        <v>417</v>
      </c>
      <c r="J1016" s="102" t="s">
        <v>41</v>
      </c>
      <c r="K1016" s="103">
        <v>200</v>
      </c>
      <c r="L1016" s="104">
        <v>90000</v>
      </c>
      <c r="M1016" s="104">
        <v>18000000</v>
      </c>
      <c r="N1016" s="39">
        <v>4892000</v>
      </c>
      <c r="O1016" s="39"/>
      <c r="P1016" s="108">
        <f>+N1016+O1016</f>
        <v>4892000</v>
      </c>
      <c r="Q1016" s="39">
        <v>100</v>
      </c>
      <c r="R1016" s="39">
        <f t="shared" si="198"/>
        <v>18000000</v>
      </c>
      <c r="S1016" s="42">
        <f t="shared" si="199"/>
        <v>0</v>
      </c>
    </row>
    <row r="1017" spans="1:19">
      <c r="A1017" s="99">
        <v>2026</v>
      </c>
      <c r="B1017" s="100">
        <v>1</v>
      </c>
      <c r="C1017" s="101">
        <v>46043</v>
      </c>
      <c r="D1017" s="101" t="str">
        <f t="shared" si="197"/>
        <v>RMF00000297Сирдарё_Фотима опа</v>
      </c>
      <c r="E1017" s="99" t="s">
        <v>1531</v>
      </c>
      <c r="F1017" s="102" t="s">
        <v>284</v>
      </c>
      <c r="G1017" s="102" t="s">
        <v>281</v>
      </c>
      <c r="H1017" s="99" t="s">
        <v>1303</v>
      </c>
      <c r="I1017" s="102" t="s">
        <v>23</v>
      </c>
      <c r="J1017" s="102" t="s">
        <v>38</v>
      </c>
      <c r="K1017" s="103">
        <v>30</v>
      </c>
      <c r="L1017" s="104">
        <v>65000</v>
      </c>
      <c r="M1017" s="104">
        <v>1950000</v>
      </c>
      <c r="N1017" s="39">
        <v>1139000</v>
      </c>
      <c r="O1017" s="39"/>
      <c r="P1017" s="108">
        <f>+N1017+O1017</f>
        <v>1139000</v>
      </c>
      <c r="Q1017" s="39">
        <v>100</v>
      </c>
      <c r="R1017" s="39">
        <f t="shared" si="198"/>
        <v>1950000</v>
      </c>
      <c r="S1017" s="42">
        <f t="shared" si="199"/>
        <v>0</v>
      </c>
    </row>
    <row r="1018" spans="1:19">
      <c r="A1018" s="99">
        <v>2026</v>
      </c>
      <c r="B1018" s="100">
        <v>1</v>
      </c>
      <c r="C1018" s="101">
        <v>46043</v>
      </c>
      <c r="D1018" s="101" t="str">
        <f t="shared" si="197"/>
        <v>RMF00000302Карши_Дилсўз опа</v>
      </c>
      <c r="E1018" s="99" t="s">
        <v>1532</v>
      </c>
      <c r="F1018" s="102" t="s">
        <v>1026</v>
      </c>
      <c r="G1018" s="102" t="s">
        <v>1027</v>
      </c>
      <c r="H1018" s="99" t="s">
        <v>1303</v>
      </c>
      <c r="I1018" s="102" t="s">
        <v>1533</v>
      </c>
      <c r="J1018" s="102" t="s">
        <v>46</v>
      </c>
      <c r="K1018" s="103">
        <v>20</v>
      </c>
      <c r="L1018" s="104">
        <v>64700</v>
      </c>
      <c r="M1018" s="104">
        <v>1294000</v>
      </c>
      <c r="N1018" s="39">
        <v>799000</v>
      </c>
      <c r="O1018" s="39"/>
      <c r="P1018" s="108">
        <f>+N1018+O1018</f>
        <v>799000</v>
      </c>
      <c r="Q1018" s="39">
        <v>100</v>
      </c>
      <c r="R1018" s="39">
        <f t="shared" si="198"/>
        <v>1294000</v>
      </c>
      <c r="S1018" s="42">
        <f t="shared" si="199"/>
        <v>0</v>
      </c>
    </row>
    <row r="1019" spans="1:19">
      <c r="A1019" s="99">
        <v>2026</v>
      </c>
      <c r="B1019" s="100">
        <v>1</v>
      </c>
      <c r="C1019" s="101">
        <v>46043</v>
      </c>
      <c r="D1019" s="101" t="str">
        <f t="shared" si="197"/>
        <v>RMF00000302Карши_Дилсўз опа</v>
      </c>
      <c r="E1019" s="99" t="s">
        <v>1532</v>
      </c>
      <c r="F1019" s="102" t="s">
        <v>1026</v>
      </c>
      <c r="G1019" s="102" t="s">
        <v>1027</v>
      </c>
      <c r="H1019" s="99" t="s">
        <v>1303</v>
      </c>
      <c r="I1019" s="102" t="s">
        <v>1533</v>
      </c>
      <c r="J1019" s="102" t="s">
        <v>41</v>
      </c>
      <c r="K1019" s="103">
        <v>20</v>
      </c>
      <c r="L1019" s="104">
        <v>90000</v>
      </c>
      <c r="M1019" s="104">
        <v>1800000</v>
      </c>
      <c r="N1019" s="39">
        <v>1144000</v>
      </c>
      <c r="O1019" s="39"/>
      <c r="P1019" s="108">
        <f>+N1019+O1019</f>
        <v>1144000</v>
      </c>
      <c r="Q1019" s="39">
        <v>100</v>
      </c>
      <c r="R1019" s="39">
        <f t="shared" si="198"/>
        <v>1800000</v>
      </c>
      <c r="S1019" s="42">
        <f t="shared" si="199"/>
        <v>0</v>
      </c>
    </row>
    <row r="1020" spans="1:19">
      <c r="A1020" s="99">
        <v>2026</v>
      </c>
      <c r="B1020" s="100">
        <v>1</v>
      </c>
      <c r="C1020" s="101">
        <v>46043</v>
      </c>
      <c r="D1020" s="101" t="str">
        <f t="shared" si="197"/>
        <v>RMF00000310Карши_Дилсўз опа</v>
      </c>
      <c r="E1020" s="99" t="s">
        <v>1534</v>
      </c>
      <c r="F1020" s="102" t="s">
        <v>1026</v>
      </c>
      <c r="G1020" s="102" t="s">
        <v>1027</v>
      </c>
      <c r="H1020" s="99" t="s">
        <v>1303</v>
      </c>
      <c r="I1020" s="102" t="s">
        <v>522</v>
      </c>
      <c r="J1020" s="102" t="s">
        <v>46</v>
      </c>
      <c r="K1020" s="103">
        <v>50</v>
      </c>
      <c r="L1020" s="104">
        <v>64700</v>
      </c>
      <c r="M1020" s="104">
        <v>3235000</v>
      </c>
      <c r="N1020" s="39">
        <v>1438000</v>
      </c>
      <c r="O1020" s="39"/>
      <c r="P1020" s="108">
        <f>+N1020+O1020</f>
        <v>1438000</v>
      </c>
      <c r="Q1020" s="39">
        <v>100</v>
      </c>
      <c r="R1020" s="39">
        <f t="shared" si="198"/>
        <v>3235000</v>
      </c>
      <c r="S1020" s="42">
        <f t="shared" si="199"/>
        <v>0</v>
      </c>
    </row>
    <row r="1021" spans="1:19">
      <c r="A1021" s="99">
        <v>2026</v>
      </c>
      <c r="B1021" s="100">
        <v>1</v>
      </c>
      <c r="C1021" s="101">
        <v>46043</v>
      </c>
      <c r="D1021" s="101" t="str">
        <f t="shared" si="197"/>
        <v>RMF00000310Карши_Дилсўз опа</v>
      </c>
      <c r="E1021" s="99" t="s">
        <v>1534</v>
      </c>
      <c r="F1021" s="102" t="s">
        <v>1026</v>
      </c>
      <c r="G1021" s="102" t="s">
        <v>1027</v>
      </c>
      <c r="H1021" s="99" t="s">
        <v>1303</v>
      </c>
      <c r="I1021" s="102" t="s">
        <v>522</v>
      </c>
      <c r="J1021" s="102" t="s">
        <v>41</v>
      </c>
      <c r="K1021" s="103">
        <v>40</v>
      </c>
      <c r="L1021" s="104">
        <v>90000</v>
      </c>
      <c r="M1021" s="104">
        <v>3600000</v>
      </c>
      <c r="N1021" s="39">
        <v>1647000</v>
      </c>
      <c r="O1021" s="39"/>
      <c r="P1021" s="108">
        <f>+N1021+O1021</f>
        <v>1647000</v>
      </c>
      <c r="Q1021" s="39">
        <v>100</v>
      </c>
      <c r="R1021" s="39">
        <f t="shared" si="198"/>
        <v>3600000</v>
      </c>
      <c r="S1021" s="42">
        <f t="shared" si="199"/>
        <v>0</v>
      </c>
    </row>
    <row r="1022" spans="1:19">
      <c r="A1022" s="99">
        <v>2026</v>
      </c>
      <c r="B1022" s="100">
        <v>1</v>
      </c>
      <c r="C1022" s="101">
        <v>46044</v>
      </c>
      <c r="D1022" s="101" t="str">
        <f t="shared" si="197"/>
        <v>RMF00000315Кукон_Баходирхон ака</v>
      </c>
      <c r="E1022" s="99" t="s">
        <v>1535</v>
      </c>
      <c r="F1022" s="102" t="s">
        <v>1451</v>
      </c>
      <c r="G1022" s="102" t="s">
        <v>1264</v>
      </c>
      <c r="H1022" s="99" t="s">
        <v>1303</v>
      </c>
      <c r="I1022" s="102" t="s">
        <v>1265</v>
      </c>
      <c r="J1022" s="102" t="s">
        <v>46</v>
      </c>
      <c r="K1022" s="103">
        <v>10</v>
      </c>
      <c r="L1022" s="104">
        <v>64700</v>
      </c>
      <c r="M1022" s="104">
        <v>647000</v>
      </c>
      <c r="N1022" s="39">
        <v>156000</v>
      </c>
      <c r="O1022" s="39"/>
      <c r="P1022" s="108">
        <f>+N1022+O1022</f>
        <v>156000</v>
      </c>
      <c r="Q1022" s="39">
        <v>100</v>
      </c>
      <c r="R1022" s="39">
        <f t="shared" si="198"/>
        <v>647000</v>
      </c>
      <c r="S1022" s="42">
        <f t="shared" si="199"/>
        <v>0</v>
      </c>
    </row>
    <row r="1023" spans="1:19">
      <c r="A1023" s="99">
        <v>2026</v>
      </c>
      <c r="B1023" s="100">
        <v>1</v>
      </c>
      <c r="C1023" s="101">
        <v>46044</v>
      </c>
      <c r="D1023" s="101" t="str">
        <f t="shared" si="197"/>
        <v>RMF00000315Кукон_Баходирхон ака</v>
      </c>
      <c r="E1023" s="99" t="s">
        <v>1535</v>
      </c>
      <c r="F1023" s="102" t="s">
        <v>1451</v>
      </c>
      <c r="G1023" s="102" t="s">
        <v>1264</v>
      </c>
      <c r="H1023" s="99" t="s">
        <v>1303</v>
      </c>
      <c r="I1023" s="102" t="s">
        <v>1265</v>
      </c>
      <c r="J1023" s="102" t="s">
        <v>38</v>
      </c>
      <c r="K1023" s="103">
        <v>10</v>
      </c>
      <c r="L1023" s="104">
        <v>65000</v>
      </c>
      <c r="M1023" s="104">
        <v>650000</v>
      </c>
      <c r="N1023" s="39">
        <v>148000</v>
      </c>
      <c r="O1023" s="39"/>
      <c r="P1023" s="108">
        <f>+N1023+O1023</f>
        <v>148000</v>
      </c>
      <c r="Q1023" s="39">
        <v>100</v>
      </c>
      <c r="R1023" s="39">
        <f t="shared" si="198"/>
        <v>650000</v>
      </c>
      <c r="S1023" s="42">
        <f t="shared" si="199"/>
        <v>0</v>
      </c>
    </row>
    <row r="1024" spans="1:19">
      <c r="A1024" s="99">
        <v>2026</v>
      </c>
      <c r="B1024" s="100">
        <v>1</v>
      </c>
      <c r="C1024" s="101">
        <v>46044</v>
      </c>
      <c r="D1024" s="101" t="str">
        <f t="shared" si="197"/>
        <v>RMF00000318Карши_Дилсўз опа</v>
      </c>
      <c r="E1024" s="99" t="s">
        <v>1536</v>
      </c>
      <c r="F1024" s="102" t="s">
        <v>1026</v>
      </c>
      <c r="G1024" s="102" t="s">
        <v>1027</v>
      </c>
      <c r="H1024" s="99" t="s">
        <v>1303</v>
      </c>
      <c r="I1024" s="102" t="s">
        <v>651</v>
      </c>
      <c r="J1024" s="102" t="s">
        <v>46</v>
      </c>
      <c r="K1024" s="103">
        <v>20</v>
      </c>
      <c r="L1024" s="104">
        <v>64700</v>
      </c>
      <c r="M1024" s="104">
        <v>1294000</v>
      </c>
      <c r="N1024" s="39">
        <v>799000</v>
      </c>
      <c r="O1024" s="39"/>
      <c r="P1024" s="108">
        <f>+N1024+O1024</f>
        <v>799000</v>
      </c>
      <c r="Q1024" s="39">
        <v>100</v>
      </c>
      <c r="R1024" s="39">
        <f t="shared" si="198"/>
        <v>1294000</v>
      </c>
      <c r="S1024" s="42">
        <f t="shared" si="199"/>
        <v>0</v>
      </c>
    </row>
    <row r="1025" spans="1:19">
      <c r="A1025" s="99">
        <v>2026</v>
      </c>
      <c r="B1025" s="100">
        <v>1</v>
      </c>
      <c r="C1025" s="101">
        <v>46044</v>
      </c>
      <c r="D1025" s="101" t="str">
        <f t="shared" si="197"/>
        <v>RMF00000318Карши_Дилсўз опа</v>
      </c>
      <c r="E1025" s="99" t="s">
        <v>1536</v>
      </c>
      <c r="F1025" s="102" t="s">
        <v>1026</v>
      </c>
      <c r="G1025" s="102" t="s">
        <v>1027</v>
      </c>
      <c r="H1025" s="99" t="s">
        <v>1303</v>
      </c>
      <c r="I1025" s="102" t="s">
        <v>651</v>
      </c>
      <c r="J1025" s="102" t="s">
        <v>41</v>
      </c>
      <c r="K1025" s="103">
        <v>20</v>
      </c>
      <c r="L1025" s="104">
        <v>90000</v>
      </c>
      <c r="M1025" s="104">
        <v>1800000</v>
      </c>
      <c r="N1025" s="39">
        <v>1144000</v>
      </c>
      <c r="O1025" s="39"/>
      <c r="P1025" s="108">
        <f>+N1025+O1025</f>
        <v>1144000</v>
      </c>
      <c r="Q1025" s="39">
        <v>100</v>
      </c>
      <c r="R1025" s="39">
        <f t="shared" si="198"/>
        <v>1800000</v>
      </c>
      <c r="S1025" s="42">
        <f t="shared" si="199"/>
        <v>0</v>
      </c>
    </row>
    <row r="1026" spans="1:19">
      <c r="A1026" s="99">
        <v>2026</v>
      </c>
      <c r="B1026" s="100">
        <v>1</v>
      </c>
      <c r="C1026" s="101">
        <v>46044</v>
      </c>
      <c r="D1026" s="101" t="str">
        <f t="shared" si="197"/>
        <v>RMF00000329Самарканд_Хуршед ака</v>
      </c>
      <c r="E1026" s="99" t="s">
        <v>1537</v>
      </c>
      <c r="F1026" s="102" t="s">
        <v>1302</v>
      </c>
      <c r="G1026" s="102" t="s">
        <v>272</v>
      </c>
      <c r="H1026" s="99" t="s">
        <v>1303</v>
      </c>
      <c r="I1026" s="102" t="s">
        <v>900</v>
      </c>
      <c r="J1026" s="102" t="s">
        <v>21</v>
      </c>
      <c r="K1026" s="103">
        <v>50</v>
      </c>
      <c r="L1026" s="104">
        <v>40621</v>
      </c>
      <c r="M1026" s="104">
        <v>2031050</v>
      </c>
      <c r="N1026" s="39">
        <v>1549000</v>
      </c>
      <c r="O1026" s="39"/>
      <c r="P1026" s="108">
        <f>+N1026+O1026</f>
        <v>1549000</v>
      </c>
      <c r="Q1026" s="39">
        <v>100</v>
      </c>
      <c r="R1026" s="39">
        <f t="shared" si="198"/>
        <v>2031050</v>
      </c>
      <c r="S1026" s="42">
        <f t="shared" si="199"/>
        <v>0</v>
      </c>
    </row>
    <row r="1027" spans="1:19">
      <c r="A1027" s="99">
        <v>2026</v>
      </c>
      <c r="B1027" s="100">
        <v>1</v>
      </c>
      <c r="C1027" s="101">
        <v>46045</v>
      </c>
      <c r="D1027" s="101" t="str">
        <f t="shared" si="197"/>
        <v>RMF00000341Самарканд_Хуршед ака</v>
      </c>
      <c r="E1027" s="99" t="s">
        <v>1538</v>
      </c>
      <c r="F1027" s="102" t="s">
        <v>1302</v>
      </c>
      <c r="G1027" s="102" t="s">
        <v>272</v>
      </c>
      <c r="H1027" s="99" t="s">
        <v>1303</v>
      </c>
      <c r="I1027" s="102" t="s">
        <v>1330</v>
      </c>
      <c r="J1027" s="102" t="s">
        <v>41</v>
      </c>
      <c r="K1027" s="103">
        <v>20</v>
      </c>
      <c r="L1027" s="104">
        <v>90000</v>
      </c>
      <c r="M1027" s="104">
        <v>1800000</v>
      </c>
      <c r="N1027" s="39">
        <v>248000</v>
      </c>
      <c r="O1027" s="39"/>
      <c r="P1027" s="108">
        <f>+N1027+O1027</f>
        <v>248000</v>
      </c>
      <c r="Q1027" s="39">
        <v>100</v>
      </c>
      <c r="R1027" s="39">
        <f t="shared" si="198"/>
        <v>1800000</v>
      </c>
      <c r="S1027" s="42">
        <f t="shared" si="199"/>
        <v>0</v>
      </c>
    </row>
    <row r="1028" spans="1:19">
      <c r="A1028" s="99">
        <v>2026</v>
      </c>
      <c r="B1028" s="100">
        <v>1</v>
      </c>
      <c r="C1028" s="101">
        <v>46045</v>
      </c>
      <c r="D1028" s="101" t="str">
        <f t="shared" ref="D1028:D1091" si="200">+E1028&amp;G1028</f>
        <v>RMF00000341Самарканд_Хуршед ака</v>
      </c>
      <c r="E1028" s="99" t="s">
        <v>1538</v>
      </c>
      <c r="F1028" s="102" t="s">
        <v>1302</v>
      </c>
      <c r="G1028" s="102" t="s">
        <v>272</v>
      </c>
      <c r="H1028" s="99" t="s">
        <v>1303</v>
      </c>
      <c r="I1028" s="102" t="s">
        <v>1330</v>
      </c>
      <c r="J1028" s="102" t="s">
        <v>38</v>
      </c>
      <c r="K1028" s="103">
        <v>20</v>
      </c>
      <c r="L1028" s="104">
        <v>65000</v>
      </c>
      <c r="M1028" s="104">
        <v>1300000</v>
      </c>
      <c r="N1028" s="39">
        <v>165000</v>
      </c>
      <c r="O1028" s="39"/>
      <c r="P1028" s="108">
        <f>+N1028+O1028</f>
        <v>165000</v>
      </c>
      <c r="Q1028" s="39">
        <v>100</v>
      </c>
      <c r="R1028" s="39">
        <f t="shared" ref="R1028:R1091" si="201">+M1028*Q1028%</f>
        <v>1300000</v>
      </c>
      <c r="S1028" s="42">
        <f t="shared" ref="S1028:S1091" si="202">M1028-R1028</f>
        <v>0</v>
      </c>
    </row>
    <row r="1029" spans="1:19">
      <c r="A1029" s="99">
        <v>2026</v>
      </c>
      <c r="B1029" s="100">
        <v>1</v>
      </c>
      <c r="C1029" s="101">
        <v>46045</v>
      </c>
      <c r="D1029" s="101" t="str">
        <f t="shared" si="200"/>
        <v>RMF00000342Самарканд_Хуршед ака</v>
      </c>
      <c r="E1029" s="99" t="s">
        <v>1539</v>
      </c>
      <c r="F1029" s="102" t="s">
        <v>1540</v>
      </c>
      <c r="G1029" s="102" t="s">
        <v>272</v>
      </c>
      <c r="H1029" s="99" t="s">
        <v>1303</v>
      </c>
      <c r="I1029" s="102" t="s">
        <v>1330</v>
      </c>
      <c r="J1029" s="102" t="s">
        <v>466</v>
      </c>
      <c r="K1029" s="103">
        <v>20</v>
      </c>
      <c r="L1029" s="104">
        <v>120000</v>
      </c>
      <c r="M1029" s="104">
        <v>2400000</v>
      </c>
      <c r="N1029" s="39">
        <v>415000</v>
      </c>
      <c r="O1029" s="39"/>
      <c r="P1029" s="108">
        <f>+N1029+O1029</f>
        <v>415000</v>
      </c>
      <c r="Q1029" s="39">
        <v>100</v>
      </c>
      <c r="R1029" s="39">
        <f t="shared" si="201"/>
        <v>2400000</v>
      </c>
      <c r="S1029" s="42">
        <f t="shared" si="202"/>
        <v>0</v>
      </c>
    </row>
    <row r="1030" spans="1:19">
      <c r="A1030" s="99">
        <v>2026</v>
      </c>
      <c r="B1030" s="100">
        <v>1</v>
      </c>
      <c r="C1030" s="101">
        <v>46045</v>
      </c>
      <c r="D1030" s="101" t="str">
        <f t="shared" si="200"/>
        <v>RMF00000348Кукон_Баходирхон ака</v>
      </c>
      <c r="E1030" s="99" t="s">
        <v>1541</v>
      </c>
      <c r="F1030" s="102" t="s">
        <v>1451</v>
      </c>
      <c r="G1030" s="102" t="s">
        <v>1264</v>
      </c>
      <c r="H1030" s="99" t="s">
        <v>1303</v>
      </c>
      <c r="I1030" s="102" t="s">
        <v>1283</v>
      </c>
      <c r="J1030" s="102" t="s">
        <v>46</v>
      </c>
      <c r="K1030" s="103">
        <v>10</v>
      </c>
      <c r="L1030" s="104">
        <v>64700</v>
      </c>
      <c r="M1030" s="104">
        <v>647000</v>
      </c>
      <c r="N1030" s="39">
        <v>380000</v>
      </c>
      <c r="O1030" s="39"/>
      <c r="P1030" s="108">
        <f>+N1030+O1030</f>
        <v>380000</v>
      </c>
      <c r="Q1030" s="39">
        <v>100</v>
      </c>
      <c r="R1030" s="39">
        <f t="shared" si="201"/>
        <v>647000</v>
      </c>
      <c r="S1030" s="42">
        <f t="shared" si="202"/>
        <v>0</v>
      </c>
    </row>
    <row r="1031" spans="1:19">
      <c r="A1031" s="99">
        <v>2026</v>
      </c>
      <c r="B1031" s="100">
        <v>1</v>
      </c>
      <c r="C1031" s="101">
        <v>46045</v>
      </c>
      <c r="D1031" s="101" t="str">
        <f t="shared" si="200"/>
        <v>RMF00000348Кукон_Баходирхон ака</v>
      </c>
      <c r="E1031" s="99" t="s">
        <v>1541</v>
      </c>
      <c r="F1031" s="102" t="s">
        <v>1451</v>
      </c>
      <c r="G1031" s="102" t="s">
        <v>1264</v>
      </c>
      <c r="H1031" s="99" t="s">
        <v>1303</v>
      </c>
      <c r="I1031" s="102" t="s">
        <v>1283</v>
      </c>
      <c r="J1031" s="102" t="s">
        <v>38</v>
      </c>
      <c r="K1031" s="103">
        <v>10</v>
      </c>
      <c r="L1031" s="104">
        <v>65000</v>
      </c>
      <c r="M1031" s="104">
        <v>650000</v>
      </c>
      <c r="N1031" s="39">
        <v>362000</v>
      </c>
      <c r="O1031" s="39"/>
      <c r="P1031" s="108">
        <f>+N1031+O1031</f>
        <v>362000</v>
      </c>
      <c r="Q1031" s="39">
        <v>100</v>
      </c>
      <c r="R1031" s="39">
        <f t="shared" si="201"/>
        <v>650000</v>
      </c>
      <c r="S1031" s="42">
        <f t="shared" si="202"/>
        <v>0</v>
      </c>
    </row>
    <row r="1032" spans="1:19">
      <c r="A1032" s="99">
        <v>2026</v>
      </c>
      <c r="B1032" s="100">
        <v>1</v>
      </c>
      <c r="C1032" s="101">
        <v>46048</v>
      </c>
      <c r="D1032" s="101" t="str">
        <f t="shared" si="200"/>
        <v>RMF00000359Сирдарё_Фотима опа</v>
      </c>
      <c r="E1032" s="99" t="s">
        <v>1543</v>
      </c>
      <c r="F1032" s="102" t="s">
        <v>284</v>
      </c>
      <c r="G1032" s="102" t="s">
        <v>281</v>
      </c>
      <c r="H1032" s="99" t="s">
        <v>1303</v>
      </c>
      <c r="I1032" s="102" t="s">
        <v>867</v>
      </c>
      <c r="J1032" s="102" t="s">
        <v>21</v>
      </c>
      <c r="K1032" s="103">
        <v>10</v>
      </c>
      <c r="L1032" s="104">
        <v>40621</v>
      </c>
      <c r="M1032" s="104">
        <v>406210</v>
      </c>
      <c r="N1032" s="39">
        <v>128000</v>
      </c>
      <c r="O1032" s="39"/>
      <c r="P1032" s="108">
        <f>+N1032+O1032</f>
        <v>128000</v>
      </c>
      <c r="Q1032" s="39">
        <v>100</v>
      </c>
      <c r="R1032" s="39">
        <f t="shared" si="201"/>
        <v>406210</v>
      </c>
      <c r="S1032" s="42">
        <f t="shared" si="202"/>
        <v>0</v>
      </c>
    </row>
    <row r="1033" spans="1:19">
      <c r="A1033" s="99">
        <v>2026</v>
      </c>
      <c r="B1033" s="100">
        <v>1</v>
      </c>
      <c r="C1033" s="101">
        <v>46048</v>
      </c>
      <c r="D1033" s="101" t="str">
        <f t="shared" si="200"/>
        <v>RMF00000367Самарканд_Хуршед ака</v>
      </c>
      <c r="E1033" s="99" t="s">
        <v>1544</v>
      </c>
      <c r="F1033" s="102" t="s">
        <v>1302</v>
      </c>
      <c r="G1033" s="102" t="s">
        <v>272</v>
      </c>
      <c r="H1033" s="99" t="s">
        <v>1303</v>
      </c>
      <c r="I1033" s="102" t="s">
        <v>1545</v>
      </c>
      <c r="J1033" s="102" t="s">
        <v>38</v>
      </c>
      <c r="K1033" s="103">
        <v>100</v>
      </c>
      <c r="L1033" s="104">
        <v>65000</v>
      </c>
      <c r="M1033" s="104">
        <v>6500000</v>
      </c>
      <c r="N1033" s="39">
        <v>3797000</v>
      </c>
      <c r="O1033" s="39"/>
      <c r="P1033" s="108">
        <f>+N1033+O1033</f>
        <v>3797000</v>
      </c>
      <c r="Q1033" s="39">
        <v>100</v>
      </c>
      <c r="R1033" s="39">
        <f t="shared" si="201"/>
        <v>6500000</v>
      </c>
      <c r="S1033" s="42">
        <f t="shared" si="202"/>
        <v>0</v>
      </c>
    </row>
    <row r="1034" spans="1:19">
      <c r="A1034" s="99">
        <v>2026</v>
      </c>
      <c r="B1034" s="100">
        <v>1</v>
      </c>
      <c r="C1034" s="101">
        <v>46048</v>
      </c>
      <c r="D1034" s="101" t="str">
        <f t="shared" si="200"/>
        <v>RMF00000368Самарканд_Хуршед ака</v>
      </c>
      <c r="E1034" s="99" t="s">
        <v>1546</v>
      </c>
      <c r="F1034" s="102" t="s">
        <v>1302</v>
      </c>
      <c r="G1034" s="102" t="s">
        <v>272</v>
      </c>
      <c r="H1034" s="99" t="s">
        <v>1303</v>
      </c>
      <c r="I1034" s="102" t="s">
        <v>1075</v>
      </c>
      <c r="J1034" s="102" t="s">
        <v>38</v>
      </c>
      <c r="K1034" s="103">
        <v>50</v>
      </c>
      <c r="L1034" s="104">
        <v>65000</v>
      </c>
      <c r="M1034" s="104">
        <v>3250000</v>
      </c>
      <c r="N1034" s="39">
        <v>1060000</v>
      </c>
      <c r="O1034" s="39"/>
      <c r="P1034" s="108">
        <f>+N1034+O1034</f>
        <v>1060000</v>
      </c>
      <c r="Q1034" s="39">
        <v>100</v>
      </c>
      <c r="R1034" s="39">
        <f t="shared" si="201"/>
        <v>3250000</v>
      </c>
      <c r="S1034" s="42">
        <f t="shared" si="202"/>
        <v>0</v>
      </c>
    </row>
    <row r="1035" spans="1:19">
      <c r="A1035" s="99">
        <v>2026</v>
      </c>
      <c r="B1035" s="100">
        <v>1</v>
      </c>
      <c r="C1035" s="101">
        <v>46048</v>
      </c>
      <c r="D1035" s="101" t="str">
        <f t="shared" si="200"/>
        <v>RMF00000368Самарканд_Хуршед ака</v>
      </c>
      <c r="E1035" s="99" t="s">
        <v>1546</v>
      </c>
      <c r="F1035" s="102" t="s">
        <v>1302</v>
      </c>
      <c r="G1035" s="102" t="s">
        <v>272</v>
      </c>
      <c r="H1035" s="99" t="s">
        <v>1303</v>
      </c>
      <c r="I1035" s="102" t="s">
        <v>1075</v>
      </c>
      <c r="J1035" s="102" t="s">
        <v>21</v>
      </c>
      <c r="K1035" s="103">
        <v>240</v>
      </c>
      <c r="L1035" s="104">
        <v>40621</v>
      </c>
      <c r="M1035" s="104">
        <v>9749040</v>
      </c>
      <c r="N1035" s="39">
        <v>4628000</v>
      </c>
      <c r="O1035" s="39"/>
      <c r="P1035" s="108">
        <f>+N1035+O1035</f>
        <v>4628000</v>
      </c>
      <c r="Q1035" s="39">
        <v>100</v>
      </c>
      <c r="R1035" s="39">
        <f t="shared" si="201"/>
        <v>9749040</v>
      </c>
      <c r="S1035" s="42">
        <f t="shared" si="202"/>
        <v>0</v>
      </c>
    </row>
    <row r="1036" spans="1:19">
      <c r="A1036" s="99">
        <v>2026</v>
      </c>
      <c r="B1036" s="100">
        <v>1</v>
      </c>
      <c r="C1036" s="101">
        <v>46048</v>
      </c>
      <c r="D1036" s="101" t="str">
        <f t="shared" si="200"/>
        <v>RMF00000368Самарканд_Хуршед ака</v>
      </c>
      <c r="E1036" s="99" t="s">
        <v>1546</v>
      </c>
      <c r="F1036" s="102" t="s">
        <v>1302</v>
      </c>
      <c r="G1036" s="102" t="s">
        <v>272</v>
      </c>
      <c r="H1036" s="99" t="s">
        <v>1303</v>
      </c>
      <c r="I1036" s="102" t="s">
        <v>1075</v>
      </c>
      <c r="J1036" s="102" t="s">
        <v>466</v>
      </c>
      <c r="K1036" s="103">
        <v>50</v>
      </c>
      <c r="L1036" s="104">
        <v>120000</v>
      </c>
      <c r="M1036" s="104">
        <v>6000000</v>
      </c>
      <c r="N1036" s="39">
        <v>2349000</v>
      </c>
      <c r="O1036" s="39"/>
      <c r="P1036" s="108">
        <f>+N1036+O1036</f>
        <v>2349000</v>
      </c>
      <c r="Q1036" s="39">
        <v>100</v>
      </c>
      <c r="R1036" s="39">
        <f t="shared" si="201"/>
        <v>6000000</v>
      </c>
      <c r="S1036" s="42">
        <f t="shared" si="202"/>
        <v>0</v>
      </c>
    </row>
    <row r="1037" spans="1:19">
      <c r="A1037" s="99">
        <v>2026</v>
      </c>
      <c r="B1037" s="100">
        <v>1</v>
      </c>
      <c r="C1037" s="101">
        <v>46048</v>
      </c>
      <c r="D1037" s="101" t="str">
        <f t="shared" si="200"/>
        <v>RMF00000368Самарканд_Хуршед ака</v>
      </c>
      <c r="E1037" s="99" t="s">
        <v>1546</v>
      </c>
      <c r="F1037" s="102" t="s">
        <v>1302</v>
      </c>
      <c r="G1037" s="102" t="s">
        <v>272</v>
      </c>
      <c r="H1037" s="99" t="s">
        <v>1303</v>
      </c>
      <c r="I1037" s="102" t="s">
        <v>1075</v>
      </c>
      <c r="J1037" s="102" t="s">
        <v>41</v>
      </c>
      <c r="K1037" s="103">
        <v>50</v>
      </c>
      <c r="L1037" s="104">
        <v>90000</v>
      </c>
      <c r="M1037" s="104">
        <v>4500000</v>
      </c>
      <c r="N1037" s="39">
        <v>1621000</v>
      </c>
      <c r="O1037" s="39"/>
      <c r="P1037" s="108">
        <f>+N1037+O1037</f>
        <v>1621000</v>
      </c>
      <c r="Q1037" s="39">
        <v>100</v>
      </c>
      <c r="R1037" s="39">
        <f t="shared" si="201"/>
        <v>4500000</v>
      </c>
      <c r="S1037" s="42">
        <f t="shared" si="202"/>
        <v>0</v>
      </c>
    </row>
    <row r="1038" spans="1:19">
      <c r="A1038" s="99">
        <v>2026</v>
      </c>
      <c r="B1038" s="100">
        <v>1</v>
      </c>
      <c r="C1038" s="101">
        <v>46048</v>
      </c>
      <c r="D1038" s="101" t="str">
        <f t="shared" si="200"/>
        <v>RMF00000368Самарканд_Хуршед ака</v>
      </c>
      <c r="E1038" s="99" t="s">
        <v>1546</v>
      </c>
      <c r="F1038" s="102" t="s">
        <v>1302</v>
      </c>
      <c r="G1038" s="102" t="s">
        <v>272</v>
      </c>
      <c r="H1038" s="99" t="s">
        <v>1303</v>
      </c>
      <c r="I1038" s="102" t="s">
        <v>1075</v>
      </c>
      <c r="J1038" s="102" t="s">
        <v>46</v>
      </c>
      <c r="K1038" s="103">
        <v>20</v>
      </c>
      <c r="L1038" s="104">
        <v>64700</v>
      </c>
      <c r="M1038" s="104">
        <v>1294000</v>
      </c>
      <c r="N1038" s="39">
        <v>676000</v>
      </c>
      <c r="O1038" s="39"/>
      <c r="P1038" s="108">
        <f>+N1038+O1038</f>
        <v>676000</v>
      </c>
      <c r="Q1038" s="39">
        <v>100</v>
      </c>
      <c r="R1038" s="39">
        <f t="shared" si="201"/>
        <v>1294000</v>
      </c>
      <c r="S1038" s="42">
        <f t="shared" si="202"/>
        <v>0</v>
      </c>
    </row>
    <row r="1039" spans="1:19">
      <c r="A1039" s="99">
        <v>2026</v>
      </c>
      <c r="B1039" s="100">
        <v>1</v>
      </c>
      <c r="C1039" s="101">
        <v>46048</v>
      </c>
      <c r="D1039" s="101" t="str">
        <f t="shared" si="200"/>
        <v>RMF00000368Самарканд_Хуршед ака</v>
      </c>
      <c r="E1039" s="99" t="s">
        <v>1546</v>
      </c>
      <c r="F1039" s="102" t="s">
        <v>1302</v>
      </c>
      <c r="G1039" s="102" t="s">
        <v>272</v>
      </c>
      <c r="H1039" s="99" t="s">
        <v>1303</v>
      </c>
      <c r="I1039" s="102" t="s">
        <v>1075</v>
      </c>
      <c r="J1039" s="102" t="s">
        <v>46</v>
      </c>
      <c r="K1039" s="103">
        <v>30</v>
      </c>
      <c r="L1039" s="104">
        <v>64700</v>
      </c>
      <c r="M1039" s="104">
        <v>1941000</v>
      </c>
      <c r="N1039" s="39">
        <v>676000</v>
      </c>
      <c r="O1039" s="39"/>
      <c r="P1039" s="108">
        <f>+N1039+O1039</f>
        <v>676000</v>
      </c>
      <c r="Q1039" s="39">
        <v>100</v>
      </c>
      <c r="R1039" s="39">
        <f t="shared" si="201"/>
        <v>1941000</v>
      </c>
      <c r="S1039" s="42">
        <f t="shared" si="202"/>
        <v>0</v>
      </c>
    </row>
    <row r="1040" spans="1:19">
      <c r="A1040" s="99">
        <v>2026</v>
      </c>
      <c r="B1040" s="100">
        <v>1</v>
      </c>
      <c r="C1040" s="101">
        <v>46048</v>
      </c>
      <c r="D1040" s="101" t="str">
        <f t="shared" si="200"/>
        <v>RMF00000372Сирдарё_Фотима опа</v>
      </c>
      <c r="E1040" s="99" t="s">
        <v>1547</v>
      </c>
      <c r="F1040" s="102" t="s">
        <v>284</v>
      </c>
      <c r="G1040" s="102" t="s">
        <v>281</v>
      </c>
      <c r="H1040" s="99" t="s">
        <v>1303</v>
      </c>
      <c r="I1040" s="102" t="s">
        <v>20</v>
      </c>
      <c r="J1040" s="102" t="s">
        <v>38</v>
      </c>
      <c r="K1040" s="103">
        <v>20</v>
      </c>
      <c r="L1040" s="104">
        <v>65000</v>
      </c>
      <c r="M1040" s="104">
        <v>1300000</v>
      </c>
      <c r="N1040" s="39">
        <v>145000</v>
      </c>
      <c r="O1040" s="39"/>
      <c r="P1040" s="108">
        <f>+N1040+O1040</f>
        <v>145000</v>
      </c>
      <c r="Q1040" s="39">
        <v>100</v>
      </c>
      <c r="R1040" s="39">
        <f t="shared" si="201"/>
        <v>1300000</v>
      </c>
      <c r="S1040" s="42">
        <f t="shared" si="202"/>
        <v>0</v>
      </c>
    </row>
    <row r="1041" spans="1:19">
      <c r="A1041" s="99">
        <v>2026</v>
      </c>
      <c r="B1041" s="100">
        <v>1</v>
      </c>
      <c r="C1041" s="101">
        <v>46048</v>
      </c>
      <c r="D1041" s="101" t="str">
        <f t="shared" si="200"/>
        <v>RMF00000382Бухоро_Нафосат опа</v>
      </c>
      <c r="E1041" s="99" t="s">
        <v>1548</v>
      </c>
      <c r="F1041" s="102" t="s">
        <v>893</v>
      </c>
      <c r="G1041" s="102" t="s">
        <v>894</v>
      </c>
      <c r="H1041" s="99" t="s">
        <v>1303</v>
      </c>
      <c r="I1041" s="102" t="s">
        <v>665</v>
      </c>
      <c r="J1041" s="102" t="s">
        <v>41</v>
      </c>
      <c r="K1041" s="103">
        <v>50</v>
      </c>
      <c r="L1041" s="104">
        <v>90000</v>
      </c>
      <c r="M1041" s="104">
        <v>4500000</v>
      </c>
      <c r="N1041" s="39">
        <v>628000</v>
      </c>
      <c r="O1041" s="39"/>
      <c r="P1041" s="108">
        <f>+N1041+O1041</f>
        <v>628000</v>
      </c>
      <c r="Q1041" s="39">
        <v>100</v>
      </c>
      <c r="R1041" s="39">
        <f t="shared" si="201"/>
        <v>4500000</v>
      </c>
      <c r="S1041" s="42">
        <f t="shared" si="202"/>
        <v>0</v>
      </c>
    </row>
    <row r="1042" spans="1:19">
      <c r="A1042" s="99">
        <v>2026</v>
      </c>
      <c r="B1042" s="100">
        <v>1</v>
      </c>
      <c r="C1042" s="101">
        <v>46048</v>
      </c>
      <c r="D1042" s="101" t="str">
        <f t="shared" si="200"/>
        <v>RMF00000385Сирдарё_Фотима опа</v>
      </c>
      <c r="E1042" s="99" t="s">
        <v>1549</v>
      </c>
      <c r="F1042" s="102" t="s">
        <v>284</v>
      </c>
      <c r="G1042" s="102" t="s">
        <v>281</v>
      </c>
      <c r="H1042" s="99" t="s">
        <v>1303</v>
      </c>
      <c r="I1042" s="102" t="s">
        <v>1432</v>
      </c>
      <c r="J1042" s="102" t="s">
        <v>21</v>
      </c>
      <c r="K1042" s="103">
        <v>15</v>
      </c>
      <c r="L1042" s="104">
        <v>40621</v>
      </c>
      <c r="M1042" s="104">
        <v>609315</v>
      </c>
      <c r="N1042" s="39">
        <v>80000</v>
      </c>
      <c r="O1042" s="39"/>
      <c r="P1042" s="108">
        <f>+N1042+O1042</f>
        <v>80000</v>
      </c>
      <c r="Q1042" s="39">
        <v>100</v>
      </c>
      <c r="R1042" s="39">
        <f t="shared" si="201"/>
        <v>609315</v>
      </c>
      <c r="S1042" s="42">
        <f t="shared" si="202"/>
        <v>0</v>
      </c>
    </row>
    <row r="1043" spans="1:19">
      <c r="A1043" s="99">
        <v>2026</v>
      </c>
      <c r="B1043" s="100">
        <v>1</v>
      </c>
      <c r="C1043" s="101">
        <v>46049</v>
      </c>
      <c r="D1043" s="101" t="str">
        <f t="shared" si="200"/>
        <v>RMF00000388Самарканд_Хуршед ака</v>
      </c>
      <c r="E1043" s="99" t="s">
        <v>1550</v>
      </c>
      <c r="F1043" s="102" t="s">
        <v>1302</v>
      </c>
      <c r="G1043" s="102" t="s">
        <v>272</v>
      </c>
      <c r="H1043" s="99" t="s">
        <v>1303</v>
      </c>
      <c r="I1043" s="102" t="s">
        <v>1487</v>
      </c>
      <c r="J1043" s="102" t="s">
        <v>38</v>
      </c>
      <c r="K1043" s="103">
        <v>10</v>
      </c>
      <c r="L1043" s="104">
        <v>65000</v>
      </c>
      <c r="M1043" s="104">
        <v>650000</v>
      </c>
      <c r="N1043" s="39">
        <v>154000</v>
      </c>
      <c r="O1043" s="39"/>
      <c r="P1043" s="108">
        <f>+N1043+O1043</f>
        <v>154000</v>
      </c>
      <c r="Q1043" s="39">
        <v>100</v>
      </c>
      <c r="R1043" s="39">
        <f t="shared" si="201"/>
        <v>650000</v>
      </c>
      <c r="S1043" s="42">
        <f t="shared" si="202"/>
        <v>0</v>
      </c>
    </row>
    <row r="1044" spans="1:19">
      <c r="A1044" s="99">
        <v>2026</v>
      </c>
      <c r="B1044" s="100">
        <v>1</v>
      </c>
      <c r="C1044" s="101">
        <v>46049</v>
      </c>
      <c r="D1044" s="101" t="str">
        <f t="shared" si="200"/>
        <v>RMF00000388Самарканд_Хуршед ака</v>
      </c>
      <c r="E1044" s="99" t="s">
        <v>1550</v>
      </c>
      <c r="F1044" s="102" t="s">
        <v>1302</v>
      </c>
      <c r="G1044" s="102" t="s">
        <v>272</v>
      </c>
      <c r="H1044" s="99" t="s">
        <v>1303</v>
      </c>
      <c r="I1044" s="102" t="s">
        <v>1487</v>
      </c>
      <c r="J1044" s="102" t="s">
        <v>41</v>
      </c>
      <c r="K1044" s="103">
        <v>30</v>
      </c>
      <c r="L1044" s="104">
        <v>90000</v>
      </c>
      <c r="M1044" s="104">
        <v>2700000</v>
      </c>
      <c r="N1044" s="39">
        <v>696000</v>
      </c>
      <c r="O1044" s="39"/>
      <c r="P1044" s="108">
        <f>+N1044+O1044</f>
        <v>696000</v>
      </c>
      <c r="Q1044" s="39">
        <v>100</v>
      </c>
      <c r="R1044" s="39">
        <f t="shared" si="201"/>
        <v>2700000</v>
      </c>
      <c r="S1044" s="42">
        <f t="shared" si="202"/>
        <v>0</v>
      </c>
    </row>
    <row r="1045" spans="1:19">
      <c r="A1045" s="99">
        <v>2026</v>
      </c>
      <c r="B1045" s="100">
        <v>1</v>
      </c>
      <c r="C1045" s="101">
        <v>46049</v>
      </c>
      <c r="D1045" s="101" t="str">
        <f t="shared" si="200"/>
        <v>RMF00000390Самарканд_Хуршед ака</v>
      </c>
      <c r="E1045" s="99" t="s">
        <v>1551</v>
      </c>
      <c r="F1045" s="102" t="s">
        <v>1302</v>
      </c>
      <c r="G1045" s="102" t="s">
        <v>272</v>
      </c>
      <c r="H1045" s="99" t="s">
        <v>1303</v>
      </c>
      <c r="I1045" s="102" t="s">
        <v>913</v>
      </c>
      <c r="J1045" s="102" t="s">
        <v>41</v>
      </c>
      <c r="K1045" s="103">
        <v>100</v>
      </c>
      <c r="L1045" s="104">
        <v>90000</v>
      </c>
      <c r="M1045" s="104">
        <v>9000000</v>
      </c>
      <c r="N1045" s="39">
        <v>2520000</v>
      </c>
      <c r="O1045" s="39"/>
      <c r="P1045" s="108">
        <f>+N1045+O1045</f>
        <v>2520000</v>
      </c>
      <c r="Q1045" s="39">
        <v>100</v>
      </c>
      <c r="R1045" s="39">
        <f t="shared" si="201"/>
        <v>9000000</v>
      </c>
      <c r="S1045" s="42">
        <f t="shared" si="202"/>
        <v>0</v>
      </c>
    </row>
    <row r="1046" spans="1:19">
      <c r="A1046" s="99">
        <v>2026</v>
      </c>
      <c r="B1046" s="100">
        <v>1</v>
      </c>
      <c r="C1046" s="101">
        <v>46049</v>
      </c>
      <c r="D1046" s="101" t="str">
        <f t="shared" si="200"/>
        <v>RMF00000397Фаргона_Зафаржон ака</v>
      </c>
      <c r="E1046" s="99" t="s">
        <v>1552</v>
      </c>
      <c r="F1046" s="102" t="s">
        <v>1553</v>
      </c>
      <c r="G1046" s="102" t="s">
        <v>1291</v>
      </c>
      <c r="H1046" s="99" t="s">
        <v>1303</v>
      </c>
      <c r="I1046" s="102" t="s">
        <v>1490</v>
      </c>
      <c r="J1046" s="102" t="s">
        <v>38</v>
      </c>
      <c r="K1046" s="103">
        <v>100</v>
      </c>
      <c r="L1046" s="104">
        <v>65000</v>
      </c>
      <c r="M1046" s="104">
        <v>6500000</v>
      </c>
      <c r="N1046" s="39">
        <v>1805000</v>
      </c>
      <c r="O1046" s="39"/>
      <c r="P1046" s="108">
        <f>+N1046+O1046</f>
        <v>1805000</v>
      </c>
      <c r="Q1046" s="39">
        <v>100</v>
      </c>
      <c r="R1046" s="39">
        <f t="shared" si="201"/>
        <v>6500000</v>
      </c>
      <c r="S1046" s="42">
        <f t="shared" si="202"/>
        <v>0</v>
      </c>
    </row>
    <row r="1047" spans="1:19">
      <c r="A1047" s="99">
        <v>2026</v>
      </c>
      <c r="B1047" s="100">
        <v>1</v>
      </c>
      <c r="C1047" s="101">
        <v>46049</v>
      </c>
      <c r="D1047" s="101" t="str">
        <f t="shared" si="200"/>
        <v>RMF00000398Самарканд_Хуршед ака</v>
      </c>
      <c r="E1047" s="99" t="s">
        <v>1554</v>
      </c>
      <c r="F1047" s="102" t="s">
        <v>1462</v>
      </c>
      <c r="G1047" s="102" t="s">
        <v>272</v>
      </c>
      <c r="H1047" s="99" t="s">
        <v>1303</v>
      </c>
      <c r="I1047" s="102" t="s">
        <v>1445</v>
      </c>
      <c r="J1047" s="102" t="s">
        <v>21</v>
      </c>
      <c r="K1047" s="103">
        <v>30</v>
      </c>
      <c r="L1047" s="104">
        <v>40621</v>
      </c>
      <c r="M1047" s="104">
        <v>1218630</v>
      </c>
      <c r="N1047" s="39">
        <v>929000</v>
      </c>
      <c r="O1047" s="39"/>
      <c r="P1047" s="108">
        <f>+N1047+O1047</f>
        <v>929000</v>
      </c>
      <c r="Q1047" s="39">
        <v>100</v>
      </c>
      <c r="R1047" s="39">
        <f t="shared" si="201"/>
        <v>1218630</v>
      </c>
      <c r="S1047" s="42">
        <f t="shared" si="202"/>
        <v>0</v>
      </c>
    </row>
    <row r="1048" spans="1:19">
      <c r="A1048" s="99">
        <v>2026</v>
      </c>
      <c r="B1048" s="100">
        <v>1</v>
      </c>
      <c r="C1048" s="101">
        <v>46049</v>
      </c>
      <c r="D1048" s="101" t="str">
        <f t="shared" si="200"/>
        <v>RMF00000401Карши_Дилсўз опа</v>
      </c>
      <c r="E1048" s="99" t="s">
        <v>1555</v>
      </c>
      <c r="F1048" s="102" t="s">
        <v>1026</v>
      </c>
      <c r="G1048" s="102" t="s">
        <v>1027</v>
      </c>
      <c r="H1048" s="99" t="s">
        <v>1303</v>
      </c>
      <c r="I1048" s="102" t="s">
        <v>1556</v>
      </c>
      <c r="J1048" s="102" t="s">
        <v>41</v>
      </c>
      <c r="K1048" s="103">
        <v>50</v>
      </c>
      <c r="L1048" s="104">
        <v>90000</v>
      </c>
      <c r="M1048" s="104">
        <v>4500000</v>
      </c>
      <c r="N1048" s="39">
        <v>1272000</v>
      </c>
      <c r="O1048" s="39"/>
      <c r="P1048" s="108">
        <f>+N1048+O1048</f>
        <v>1272000</v>
      </c>
      <c r="Q1048" s="39">
        <v>100</v>
      </c>
      <c r="R1048" s="39">
        <f t="shared" si="201"/>
        <v>4500000</v>
      </c>
      <c r="S1048" s="42">
        <f t="shared" si="202"/>
        <v>0</v>
      </c>
    </row>
    <row r="1049" spans="1:19">
      <c r="A1049" s="99">
        <v>2026</v>
      </c>
      <c r="B1049" s="100">
        <v>1</v>
      </c>
      <c r="C1049" s="101">
        <v>46050</v>
      </c>
      <c r="D1049" s="101" t="str">
        <f t="shared" si="200"/>
        <v>RMF00000408Самарканд_Хуршед ака</v>
      </c>
      <c r="E1049" s="99" t="s">
        <v>1557</v>
      </c>
      <c r="F1049" s="102" t="s">
        <v>1302</v>
      </c>
      <c r="G1049" s="102" t="s">
        <v>272</v>
      </c>
      <c r="H1049" s="99" t="s">
        <v>1303</v>
      </c>
      <c r="I1049" s="102" t="s">
        <v>989</v>
      </c>
      <c r="J1049" s="102" t="s">
        <v>466</v>
      </c>
      <c r="K1049" s="103">
        <v>10</v>
      </c>
      <c r="L1049" s="104">
        <v>120000</v>
      </c>
      <c r="M1049" s="104">
        <v>1200000</v>
      </c>
      <c r="N1049" s="39">
        <v>513000</v>
      </c>
      <c r="O1049" s="39"/>
      <c r="P1049" s="108">
        <f>+N1049+O1049</f>
        <v>513000</v>
      </c>
      <c r="Q1049" s="39">
        <v>100</v>
      </c>
      <c r="R1049" s="39">
        <f t="shared" si="201"/>
        <v>1200000</v>
      </c>
      <c r="S1049" s="42">
        <f t="shared" si="202"/>
        <v>0</v>
      </c>
    </row>
    <row r="1050" spans="1:19">
      <c r="A1050" s="99">
        <v>2026</v>
      </c>
      <c r="B1050" s="100">
        <v>1</v>
      </c>
      <c r="C1050" s="101">
        <v>46050</v>
      </c>
      <c r="D1050" s="101" t="str">
        <f t="shared" si="200"/>
        <v>RMF00000408Самарканд_Хуршед ака</v>
      </c>
      <c r="E1050" s="99" t="s">
        <v>1557</v>
      </c>
      <c r="F1050" s="102" t="s">
        <v>1302</v>
      </c>
      <c r="G1050" s="102" t="s">
        <v>272</v>
      </c>
      <c r="H1050" s="99" t="s">
        <v>1303</v>
      </c>
      <c r="I1050" s="102" t="s">
        <v>989</v>
      </c>
      <c r="J1050" s="102" t="s">
        <v>41</v>
      </c>
      <c r="K1050" s="103">
        <v>10</v>
      </c>
      <c r="L1050" s="104">
        <v>90000</v>
      </c>
      <c r="M1050" s="104">
        <v>900000</v>
      </c>
      <c r="N1050" s="39">
        <v>358000</v>
      </c>
      <c r="O1050" s="39"/>
      <c r="P1050" s="108">
        <f>+N1050+O1050</f>
        <v>358000</v>
      </c>
      <c r="Q1050" s="39">
        <v>100</v>
      </c>
      <c r="R1050" s="39">
        <f t="shared" si="201"/>
        <v>900000</v>
      </c>
      <c r="S1050" s="42">
        <f t="shared" si="202"/>
        <v>0</v>
      </c>
    </row>
    <row r="1051" spans="1:19">
      <c r="A1051" s="99">
        <v>2026</v>
      </c>
      <c r="B1051" s="100">
        <v>1</v>
      </c>
      <c r="C1051" s="101">
        <v>46050</v>
      </c>
      <c r="D1051" s="101" t="str">
        <f t="shared" si="200"/>
        <v>RMF00000408Самарканд_Хуршед ака</v>
      </c>
      <c r="E1051" s="99" t="s">
        <v>1557</v>
      </c>
      <c r="F1051" s="102" t="s">
        <v>1302</v>
      </c>
      <c r="G1051" s="102" t="s">
        <v>272</v>
      </c>
      <c r="H1051" s="99" t="s">
        <v>1303</v>
      </c>
      <c r="I1051" s="102" t="s">
        <v>989</v>
      </c>
      <c r="J1051" s="102" t="s">
        <v>21</v>
      </c>
      <c r="K1051" s="103">
        <v>20</v>
      </c>
      <c r="L1051" s="104">
        <v>40621</v>
      </c>
      <c r="M1051" s="104">
        <v>812420</v>
      </c>
      <c r="N1051" s="39">
        <v>388000</v>
      </c>
      <c r="O1051" s="39"/>
      <c r="P1051" s="108">
        <f>+N1051+O1051</f>
        <v>388000</v>
      </c>
      <c r="Q1051" s="39">
        <v>100</v>
      </c>
      <c r="R1051" s="39">
        <f t="shared" si="201"/>
        <v>812420</v>
      </c>
      <c r="S1051" s="42">
        <f t="shared" si="202"/>
        <v>0</v>
      </c>
    </row>
    <row r="1052" spans="1:19">
      <c r="A1052" s="99">
        <v>2026</v>
      </c>
      <c r="B1052" s="100">
        <v>1</v>
      </c>
      <c r="C1052" s="101">
        <v>46050</v>
      </c>
      <c r="D1052" s="101" t="str">
        <f t="shared" si="200"/>
        <v>RMF00000415Хоразм_Улугбек ака</v>
      </c>
      <c r="E1052" s="99" t="s">
        <v>1558</v>
      </c>
      <c r="F1052" s="102" t="s">
        <v>863</v>
      </c>
      <c r="G1052" s="102" t="s">
        <v>864</v>
      </c>
      <c r="H1052" s="99" t="s">
        <v>1303</v>
      </c>
      <c r="I1052" s="102" t="s">
        <v>865</v>
      </c>
      <c r="J1052" s="102" t="s">
        <v>46</v>
      </c>
      <c r="K1052" s="103">
        <v>400</v>
      </c>
      <c r="L1052" s="104">
        <v>64700</v>
      </c>
      <c r="M1052" s="104">
        <v>25880000</v>
      </c>
      <c r="N1052" s="39">
        <v>3896000</v>
      </c>
      <c r="O1052" s="39"/>
      <c r="P1052" s="108">
        <f>+N1052+O1052</f>
        <v>3896000</v>
      </c>
      <c r="Q1052" s="39">
        <v>100</v>
      </c>
      <c r="R1052" s="39">
        <f t="shared" si="201"/>
        <v>25880000</v>
      </c>
      <c r="S1052" s="42">
        <f t="shared" si="202"/>
        <v>0</v>
      </c>
    </row>
    <row r="1053" spans="1:19">
      <c r="A1053" s="99">
        <v>2026</v>
      </c>
      <c r="B1053" s="100">
        <v>1</v>
      </c>
      <c r="C1053" s="101">
        <v>46050</v>
      </c>
      <c r="D1053" s="101" t="str">
        <f t="shared" si="200"/>
        <v>RMF00000428Самарканд_Хуршед ака</v>
      </c>
      <c r="E1053" s="99" t="s">
        <v>1559</v>
      </c>
      <c r="F1053" s="102" t="s">
        <v>1302</v>
      </c>
      <c r="G1053" s="102" t="s">
        <v>272</v>
      </c>
      <c r="H1053" s="99" t="s">
        <v>1303</v>
      </c>
      <c r="I1053" s="102" t="s">
        <v>1560</v>
      </c>
      <c r="J1053" s="102" t="s">
        <v>21</v>
      </c>
      <c r="K1053" s="103">
        <v>120</v>
      </c>
      <c r="L1053" s="104">
        <v>40621</v>
      </c>
      <c r="M1053" s="104">
        <v>4874520</v>
      </c>
      <c r="N1053" s="39">
        <v>1760000</v>
      </c>
      <c r="O1053" s="39"/>
      <c r="P1053" s="108">
        <f>+N1053+O1053</f>
        <v>1760000</v>
      </c>
      <c r="Q1053" s="39">
        <v>100</v>
      </c>
      <c r="R1053" s="39">
        <f t="shared" si="201"/>
        <v>4874520</v>
      </c>
      <c r="S1053" s="42">
        <f t="shared" si="202"/>
        <v>0</v>
      </c>
    </row>
    <row r="1054" spans="1:19">
      <c r="A1054" s="99">
        <v>2026</v>
      </c>
      <c r="B1054" s="100">
        <v>1</v>
      </c>
      <c r="C1054" s="101">
        <v>46051</v>
      </c>
      <c r="D1054" s="101" t="str">
        <f t="shared" si="200"/>
        <v>RMF00000457Сирдарё_Фотима опа</v>
      </c>
      <c r="E1054" s="99" t="s">
        <v>1561</v>
      </c>
      <c r="F1054" s="102" t="s">
        <v>284</v>
      </c>
      <c r="G1054" s="102" t="s">
        <v>281</v>
      </c>
      <c r="H1054" s="99" t="s">
        <v>1303</v>
      </c>
      <c r="I1054" s="102" t="s">
        <v>1406</v>
      </c>
      <c r="J1054" s="102" t="s">
        <v>21</v>
      </c>
      <c r="K1054" s="103">
        <v>50</v>
      </c>
      <c r="L1054" s="104">
        <v>40621</v>
      </c>
      <c r="M1054" s="104">
        <v>2031050</v>
      </c>
      <c r="N1054" s="39">
        <v>384000</v>
      </c>
      <c r="O1054" s="39"/>
      <c r="P1054" s="108">
        <f>+N1054+O1054</f>
        <v>384000</v>
      </c>
      <c r="Q1054" s="39">
        <v>100</v>
      </c>
      <c r="R1054" s="39">
        <f t="shared" si="201"/>
        <v>2031050</v>
      </c>
      <c r="S1054" s="42">
        <f t="shared" si="202"/>
        <v>0</v>
      </c>
    </row>
    <row r="1055" spans="1:19">
      <c r="A1055" s="99">
        <v>2026</v>
      </c>
      <c r="B1055" s="100">
        <v>1</v>
      </c>
      <c r="C1055" s="101">
        <v>46051</v>
      </c>
      <c r="D1055" s="101" t="str">
        <f t="shared" si="200"/>
        <v>RMF00000459Самарканд_Хуршед ака</v>
      </c>
      <c r="E1055" s="99" t="s">
        <v>1562</v>
      </c>
      <c r="F1055" s="102" t="s">
        <v>1302</v>
      </c>
      <c r="G1055" s="102" t="s">
        <v>272</v>
      </c>
      <c r="H1055" s="99" t="s">
        <v>1303</v>
      </c>
      <c r="I1055" s="102" t="s">
        <v>1330</v>
      </c>
      <c r="J1055" s="102" t="s">
        <v>38</v>
      </c>
      <c r="K1055" s="103">
        <v>30</v>
      </c>
      <c r="L1055" s="104">
        <v>65000</v>
      </c>
      <c r="M1055" s="104">
        <v>1950000</v>
      </c>
      <c r="N1055" s="39">
        <v>409000</v>
      </c>
      <c r="O1055" s="39"/>
      <c r="P1055" s="108">
        <f>+N1055+O1055</f>
        <v>409000</v>
      </c>
      <c r="Q1055" s="39">
        <v>100</v>
      </c>
      <c r="R1055" s="39">
        <f t="shared" si="201"/>
        <v>1950000</v>
      </c>
      <c r="S1055" s="42">
        <f t="shared" si="202"/>
        <v>0</v>
      </c>
    </row>
    <row r="1056" spans="1:19">
      <c r="A1056" s="99">
        <v>2026</v>
      </c>
      <c r="B1056" s="100">
        <v>1</v>
      </c>
      <c r="C1056" s="101">
        <v>46052</v>
      </c>
      <c r="D1056" s="101" t="str">
        <f t="shared" si="200"/>
        <v>RMF00000461Нукус_Мехрибон опа</v>
      </c>
      <c r="E1056" s="99" t="s">
        <v>1563</v>
      </c>
      <c r="F1056" s="102" t="s">
        <v>1420</v>
      </c>
      <c r="G1056" s="102" t="s">
        <v>1319</v>
      </c>
      <c r="H1056" s="99" t="s">
        <v>1303</v>
      </c>
      <c r="I1056" s="102" t="s">
        <v>1320</v>
      </c>
      <c r="J1056" s="102" t="s">
        <v>41</v>
      </c>
      <c r="K1056" s="103">
        <v>100</v>
      </c>
      <c r="L1056" s="104">
        <v>90000</v>
      </c>
      <c r="M1056" s="104">
        <v>9000000</v>
      </c>
      <c r="N1056" s="39">
        <v>990000</v>
      </c>
      <c r="O1056" s="39"/>
      <c r="P1056" s="108">
        <f>+N1056+O1056</f>
        <v>990000</v>
      </c>
      <c r="Q1056" s="39">
        <v>100</v>
      </c>
      <c r="R1056" s="39">
        <f t="shared" si="201"/>
        <v>9000000</v>
      </c>
      <c r="S1056" s="42">
        <f t="shared" si="202"/>
        <v>0</v>
      </c>
    </row>
    <row r="1057" spans="1:19">
      <c r="A1057" s="99">
        <v>2026</v>
      </c>
      <c r="B1057" s="100">
        <v>1</v>
      </c>
      <c r="C1057" s="101">
        <v>46052</v>
      </c>
      <c r="D1057" s="101" t="str">
        <f t="shared" si="200"/>
        <v>RMF00000463Фаргона_Зафаржон ака</v>
      </c>
      <c r="E1057" s="99" t="s">
        <v>1564</v>
      </c>
      <c r="F1057" s="102" t="s">
        <v>1489</v>
      </c>
      <c r="G1057" s="102" t="s">
        <v>1291</v>
      </c>
      <c r="H1057" s="99" t="s">
        <v>1303</v>
      </c>
      <c r="I1057" s="102" t="s">
        <v>1565</v>
      </c>
      <c r="J1057" s="102" t="s">
        <v>38</v>
      </c>
      <c r="K1057" s="103">
        <v>50</v>
      </c>
      <c r="L1057" s="104">
        <v>65000</v>
      </c>
      <c r="M1057" s="104">
        <v>3250000</v>
      </c>
      <c r="N1057" s="39">
        <v>940000</v>
      </c>
      <c r="O1057" s="39"/>
      <c r="P1057" s="108">
        <f>+N1057+O1057</f>
        <v>940000</v>
      </c>
      <c r="Q1057" s="39">
        <v>100</v>
      </c>
      <c r="R1057" s="39">
        <f t="shared" si="201"/>
        <v>3250000</v>
      </c>
      <c r="S1057" s="42">
        <f t="shared" si="202"/>
        <v>0</v>
      </c>
    </row>
    <row r="1058" spans="1:19">
      <c r="A1058" s="99">
        <v>2026</v>
      </c>
      <c r="B1058" s="100">
        <v>1</v>
      </c>
      <c r="C1058" s="101">
        <v>46052</v>
      </c>
      <c r="D1058" s="101" t="str">
        <f t="shared" si="200"/>
        <v>RMF00000472Сирдарё_Фотима опа</v>
      </c>
      <c r="E1058" s="99" t="s">
        <v>1566</v>
      </c>
      <c r="F1058" s="102" t="s">
        <v>284</v>
      </c>
      <c r="G1058" s="102" t="s">
        <v>281</v>
      </c>
      <c r="H1058" s="99" t="s">
        <v>1303</v>
      </c>
      <c r="I1058" s="102" t="s">
        <v>1311</v>
      </c>
      <c r="J1058" s="102" t="s">
        <v>21</v>
      </c>
      <c r="K1058" s="103">
        <v>35</v>
      </c>
      <c r="L1058" s="104">
        <v>40621</v>
      </c>
      <c r="M1058" s="104">
        <v>1421735</v>
      </c>
      <c r="N1058" s="39">
        <v>446000</v>
      </c>
      <c r="O1058" s="39"/>
      <c r="P1058" s="108">
        <f>+N1058+O1058</f>
        <v>446000</v>
      </c>
      <c r="Q1058" s="39">
        <v>100</v>
      </c>
      <c r="R1058" s="39">
        <f t="shared" si="201"/>
        <v>1421735</v>
      </c>
      <c r="S1058" s="42">
        <f t="shared" si="202"/>
        <v>0</v>
      </c>
    </row>
    <row r="1059" spans="1:19">
      <c r="A1059" s="99">
        <v>2026</v>
      </c>
      <c r="B1059" s="100">
        <v>1</v>
      </c>
      <c r="C1059" s="101">
        <v>46052</v>
      </c>
      <c r="D1059" s="101" t="str">
        <f t="shared" si="200"/>
        <v>RMF00000473Карши_Дилсўз опа</v>
      </c>
      <c r="E1059" s="99" t="s">
        <v>1567</v>
      </c>
      <c r="F1059" s="102" t="s">
        <v>1026</v>
      </c>
      <c r="G1059" s="102" t="s">
        <v>1027</v>
      </c>
      <c r="H1059" s="99" t="s">
        <v>1303</v>
      </c>
      <c r="I1059" s="102" t="s">
        <v>1568</v>
      </c>
      <c r="J1059" s="102" t="s">
        <v>41</v>
      </c>
      <c r="K1059" s="103">
        <v>50</v>
      </c>
      <c r="L1059" s="104">
        <v>90000</v>
      </c>
      <c r="M1059" s="104">
        <v>4500000</v>
      </c>
      <c r="N1059" s="39">
        <v>1403000</v>
      </c>
      <c r="O1059" s="39"/>
      <c r="P1059" s="108">
        <f>+N1059+O1059</f>
        <v>1403000</v>
      </c>
      <c r="Q1059" s="39">
        <v>100</v>
      </c>
      <c r="R1059" s="39">
        <f t="shared" si="201"/>
        <v>4500000</v>
      </c>
      <c r="S1059" s="42">
        <f t="shared" si="202"/>
        <v>0</v>
      </c>
    </row>
    <row r="1060" spans="1:19">
      <c r="A1060" s="99">
        <v>2026</v>
      </c>
      <c r="B1060" s="100">
        <v>1</v>
      </c>
      <c r="C1060" s="101">
        <v>46052</v>
      </c>
      <c r="D1060" s="101" t="str">
        <f t="shared" si="200"/>
        <v>RMF00000476Самарканд_Хуршед ака</v>
      </c>
      <c r="E1060" s="99" t="s">
        <v>1569</v>
      </c>
      <c r="F1060" s="102" t="s">
        <v>1302</v>
      </c>
      <c r="G1060" s="102" t="s">
        <v>272</v>
      </c>
      <c r="H1060" s="99" t="s">
        <v>1303</v>
      </c>
      <c r="I1060" s="102" t="s">
        <v>983</v>
      </c>
      <c r="J1060" s="102" t="s">
        <v>38</v>
      </c>
      <c r="K1060" s="103">
        <v>50</v>
      </c>
      <c r="L1060" s="104">
        <v>65000</v>
      </c>
      <c r="M1060" s="104">
        <v>3250000</v>
      </c>
      <c r="N1060" s="39">
        <v>1899000</v>
      </c>
      <c r="O1060" s="39"/>
      <c r="P1060" s="108">
        <f>+N1060+O1060</f>
        <v>1899000</v>
      </c>
      <c r="Q1060" s="39">
        <v>100</v>
      </c>
      <c r="R1060" s="39">
        <f t="shared" si="201"/>
        <v>3250000</v>
      </c>
      <c r="S1060" s="42">
        <f t="shared" si="202"/>
        <v>0</v>
      </c>
    </row>
    <row r="1061" spans="1:19">
      <c r="A1061" s="99">
        <v>2026</v>
      </c>
      <c r="B1061" s="100">
        <v>2</v>
      </c>
      <c r="C1061" s="101">
        <v>46055</v>
      </c>
      <c r="D1061" s="101" t="str">
        <f t="shared" si="200"/>
        <v>RMF00000492Сирдарё_Фотима опа</v>
      </c>
      <c r="E1061" s="99" t="s">
        <v>1570</v>
      </c>
      <c r="F1061" s="102" t="s">
        <v>284</v>
      </c>
      <c r="G1061" s="102" t="s">
        <v>281</v>
      </c>
      <c r="H1061" s="99" t="s">
        <v>1303</v>
      </c>
      <c r="I1061" s="102" t="s">
        <v>443</v>
      </c>
      <c r="J1061" s="102" t="s">
        <v>466</v>
      </c>
      <c r="K1061" s="103">
        <v>20</v>
      </c>
      <c r="L1061" s="104">
        <v>120000</v>
      </c>
      <c r="M1061" s="104">
        <v>2400000</v>
      </c>
      <c r="N1061" s="39">
        <v>697000</v>
      </c>
      <c r="O1061" s="39"/>
      <c r="P1061" s="108">
        <f>+N1061+O1061</f>
        <v>697000</v>
      </c>
      <c r="Q1061" s="39">
        <v>100</v>
      </c>
      <c r="R1061" s="39">
        <f t="shared" si="201"/>
        <v>2400000</v>
      </c>
      <c r="S1061" s="42">
        <f t="shared" si="202"/>
        <v>0</v>
      </c>
    </row>
    <row r="1062" spans="1:19">
      <c r="A1062" s="99">
        <v>2026</v>
      </c>
      <c r="B1062" s="100">
        <v>2</v>
      </c>
      <c r="C1062" s="101">
        <v>46056</v>
      </c>
      <c r="D1062" s="101" t="str">
        <f t="shared" si="200"/>
        <v>RMF00000512Кукон_Баходирхон ака</v>
      </c>
      <c r="E1062" s="99" t="s">
        <v>1571</v>
      </c>
      <c r="F1062" s="102" t="s">
        <v>1451</v>
      </c>
      <c r="G1062" s="102" t="s">
        <v>1264</v>
      </c>
      <c r="H1062" s="99" t="s">
        <v>1303</v>
      </c>
      <c r="I1062" s="102" t="s">
        <v>1265</v>
      </c>
      <c r="J1062" s="102" t="s">
        <v>46</v>
      </c>
      <c r="K1062" s="103">
        <v>10</v>
      </c>
      <c r="L1062" s="104">
        <v>64700</v>
      </c>
      <c r="M1062" s="104">
        <v>647000</v>
      </c>
      <c r="N1062" s="39">
        <v>400000</v>
      </c>
      <c r="O1062" s="39"/>
      <c r="P1062" s="108">
        <f>+N1062+O1062</f>
        <v>400000</v>
      </c>
      <c r="Q1062" s="39">
        <v>100</v>
      </c>
      <c r="R1062" s="39">
        <f t="shared" si="201"/>
        <v>647000</v>
      </c>
      <c r="S1062" s="42">
        <f t="shared" si="202"/>
        <v>0</v>
      </c>
    </row>
    <row r="1063" spans="1:19">
      <c r="A1063" s="99">
        <v>2026</v>
      </c>
      <c r="B1063" s="100">
        <v>2</v>
      </c>
      <c r="C1063" s="101">
        <v>46056</v>
      </c>
      <c r="D1063" s="101" t="str">
        <f t="shared" si="200"/>
        <v>RMF00000513Кукон_Баходирхон ака</v>
      </c>
      <c r="E1063" s="99" t="s">
        <v>1572</v>
      </c>
      <c r="F1063" s="102" t="s">
        <v>1451</v>
      </c>
      <c r="G1063" s="102" t="s">
        <v>1264</v>
      </c>
      <c r="H1063" s="99" t="s">
        <v>1303</v>
      </c>
      <c r="I1063" s="102" t="s">
        <v>1265</v>
      </c>
      <c r="J1063" s="102" t="s">
        <v>46</v>
      </c>
      <c r="K1063" s="103">
        <v>40</v>
      </c>
      <c r="L1063" s="104">
        <v>64700</v>
      </c>
      <c r="M1063" s="104">
        <v>2588000</v>
      </c>
      <c r="N1063" s="39">
        <v>550000</v>
      </c>
      <c r="O1063" s="39"/>
      <c r="P1063" s="108">
        <f>+N1063+O1063</f>
        <v>550000</v>
      </c>
      <c r="Q1063" s="39">
        <v>100</v>
      </c>
      <c r="R1063" s="39">
        <f t="shared" si="201"/>
        <v>2588000</v>
      </c>
      <c r="S1063" s="42">
        <f t="shared" si="202"/>
        <v>0</v>
      </c>
    </row>
    <row r="1064" spans="1:19">
      <c r="A1064" s="99">
        <v>2026</v>
      </c>
      <c r="B1064" s="100">
        <v>2</v>
      </c>
      <c r="C1064" s="101">
        <v>46057</v>
      </c>
      <c r="D1064" s="101" t="str">
        <f t="shared" si="200"/>
        <v>RMF00000517Самарканд_Хуршед ака</v>
      </c>
      <c r="E1064" s="99" t="s">
        <v>1574</v>
      </c>
      <c r="F1064" s="102" t="s">
        <v>1302</v>
      </c>
      <c r="G1064" s="102" t="s">
        <v>272</v>
      </c>
      <c r="H1064" s="99" t="s">
        <v>1303</v>
      </c>
      <c r="I1064" s="102" t="s">
        <v>989</v>
      </c>
      <c r="J1064" s="102" t="s">
        <v>21</v>
      </c>
      <c r="K1064" s="103">
        <v>30</v>
      </c>
      <c r="L1064" s="104">
        <v>40621</v>
      </c>
      <c r="M1064" s="104">
        <v>1218630</v>
      </c>
      <c r="N1064" s="39">
        <v>929000</v>
      </c>
      <c r="O1064" s="39"/>
      <c r="P1064" s="108">
        <f>+N1064+O1064</f>
        <v>929000</v>
      </c>
      <c r="Q1064" s="39">
        <v>100</v>
      </c>
      <c r="R1064" s="39">
        <f t="shared" si="201"/>
        <v>1218630</v>
      </c>
      <c r="S1064" s="42">
        <f t="shared" si="202"/>
        <v>0</v>
      </c>
    </row>
    <row r="1065" spans="1:19">
      <c r="A1065" s="99">
        <v>2026</v>
      </c>
      <c r="B1065" s="100">
        <v>2</v>
      </c>
      <c r="C1065" s="101">
        <v>46057</v>
      </c>
      <c r="D1065" s="101" t="str">
        <f t="shared" si="200"/>
        <v>RMF00000525Фаргона_Умар ака Сух</v>
      </c>
      <c r="E1065" s="99" t="s">
        <v>1575</v>
      </c>
      <c r="F1065" s="102" t="s">
        <v>1271</v>
      </c>
      <c r="G1065" s="102" t="s">
        <v>1272</v>
      </c>
      <c r="H1065" s="99" t="s">
        <v>1303</v>
      </c>
      <c r="I1065" s="102" t="s">
        <v>1524</v>
      </c>
      <c r="J1065" s="102" t="s">
        <v>41</v>
      </c>
      <c r="K1065" s="103">
        <v>20</v>
      </c>
      <c r="L1065" s="104">
        <v>90000</v>
      </c>
      <c r="M1065" s="104">
        <v>1800000</v>
      </c>
      <c r="N1065" s="39">
        <v>208000</v>
      </c>
      <c r="O1065" s="39"/>
      <c r="P1065" s="108">
        <f>+N1065+O1065</f>
        <v>208000</v>
      </c>
      <c r="Q1065" s="39">
        <v>100</v>
      </c>
      <c r="R1065" s="39">
        <f t="shared" si="201"/>
        <v>1800000</v>
      </c>
      <c r="S1065" s="42">
        <f t="shared" si="202"/>
        <v>0</v>
      </c>
    </row>
    <row r="1066" spans="1:19">
      <c r="A1066" s="99">
        <v>2026</v>
      </c>
      <c r="B1066" s="100">
        <v>2</v>
      </c>
      <c r="C1066" s="101">
        <v>46058</v>
      </c>
      <c r="D1066" s="101" t="str">
        <f t="shared" si="200"/>
        <v>RMF00000528Самарканд_Хуршед ака</v>
      </c>
      <c r="E1066" s="99" t="s">
        <v>1576</v>
      </c>
      <c r="F1066" s="102" t="s">
        <v>1462</v>
      </c>
      <c r="G1066" s="102" t="s">
        <v>272</v>
      </c>
      <c r="H1066" s="99" t="s">
        <v>1303</v>
      </c>
      <c r="I1066" s="102" t="s">
        <v>1445</v>
      </c>
      <c r="J1066" s="102" t="s">
        <v>21</v>
      </c>
      <c r="K1066" s="103">
        <v>30</v>
      </c>
      <c r="L1066" s="104">
        <v>40621</v>
      </c>
      <c r="M1066" s="104">
        <v>1218630</v>
      </c>
      <c r="N1066" s="39">
        <v>929000</v>
      </c>
      <c r="O1066" s="39"/>
      <c r="P1066" s="108">
        <f>+N1066+O1066</f>
        <v>929000</v>
      </c>
      <c r="Q1066" s="39">
        <v>100</v>
      </c>
      <c r="R1066" s="39">
        <f t="shared" si="201"/>
        <v>1218630</v>
      </c>
      <c r="S1066" s="42">
        <f t="shared" si="202"/>
        <v>0</v>
      </c>
    </row>
    <row r="1067" spans="1:19">
      <c r="A1067" s="99">
        <v>2026</v>
      </c>
      <c r="B1067" s="100">
        <v>2</v>
      </c>
      <c r="C1067" s="101">
        <v>46058</v>
      </c>
      <c r="D1067" s="101" t="str">
        <f t="shared" si="200"/>
        <v>RMF00000529Сурхондарьё_Анвар ака</v>
      </c>
      <c r="E1067" s="99" t="s">
        <v>1577</v>
      </c>
      <c r="F1067" s="102" t="s">
        <v>1578</v>
      </c>
      <c r="G1067" s="102" t="s">
        <v>875</v>
      </c>
      <c r="H1067" s="99" t="s">
        <v>1303</v>
      </c>
      <c r="I1067" s="102" t="s">
        <v>1579</v>
      </c>
      <c r="J1067" s="102" t="s">
        <v>38</v>
      </c>
      <c r="K1067" s="103">
        <v>50</v>
      </c>
      <c r="L1067" s="104">
        <v>65000</v>
      </c>
      <c r="M1067" s="104">
        <v>3250000</v>
      </c>
      <c r="N1067" s="39">
        <v>577000</v>
      </c>
      <c r="O1067" s="39"/>
      <c r="P1067" s="108">
        <f>+N1067+O1067</f>
        <v>577000</v>
      </c>
      <c r="Q1067" s="39">
        <v>100</v>
      </c>
      <c r="R1067" s="39">
        <f t="shared" si="201"/>
        <v>3250000</v>
      </c>
      <c r="S1067" s="42">
        <f t="shared" si="202"/>
        <v>0</v>
      </c>
    </row>
    <row r="1068" spans="1:19">
      <c r="A1068" s="99">
        <v>2026</v>
      </c>
      <c r="B1068" s="100">
        <v>2</v>
      </c>
      <c r="C1068" s="101">
        <v>46058</v>
      </c>
      <c r="D1068" s="101" t="str">
        <f t="shared" si="200"/>
        <v>RMF00000533Навоий_Гулшода опа</v>
      </c>
      <c r="E1068" s="99" t="s">
        <v>1580</v>
      </c>
      <c r="F1068" s="102" t="s">
        <v>1581</v>
      </c>
      <c r="G1068" s="102" t="s">
        <v>288</v>
      </c>
      <c r="H1068" s="99" t="s">
        <v>1303</v>
      </c>
      <c r="I1068" s="102" t="s">
        <v>358</v>
      </c>
      <c r="J1068" s="102" t="s">
        <v>466</v>
      </c>
      <c r="K1068" s="103">
        <v>20</v>
      </c>
      <c r="L1068" s="104">
        <v>120000</v>
      </c>
      <c r="M1068" s="104">
        <v>2400000</v>
      </c>
      <c r="N1068" s="39">
        <v>721000</v>
      </c>
      <c r="O1068" s="39"/>
      <c r="P1068" s="108">
        <f>+N1068+O1068</f>
        <v>721000</v>
      </c>
      <c r="Q1068" s="39">
        <v>100</v>
      </c>
      <c r="R1068" s="39">
        <f t="shared" si="201"/>
        <v>2400000</v>
      </c>
      <c r="S1068" s="42">
        <f t="shared" si="202"/>
        <v>0</v>
      </c>
    </row>
    <row r="1069" spans="1:19">
      <c r="A1069" s="99">
        <v>2026</v>
      </c>
      <c r="B1069" s="100">
        <v>2</v>
      </c>
      <c r="C1069" s="101">
        <v>46058</v>
      </c>
      <c r="D1069" s="101" t="str">
        <f t="shared" si="200"/>
        <v>RMF00000533Навоий_Гулшода опа</v>
      </c>
      <c r="E1069" s="99" t="s">
        <v>1580</v>
      </c>
      <c r="F1069" s="102" t="s">
        <v>1581</v>
      </c>
      <c r="G1069" s="102" t="s">
        <v>288</v>
      </c>
      <c r="H1069" s="99" t="s">
        <v>1303</v>
      </c>
      <c r="I1069" s="102" t="s">
        <v>358</v>
      </c>
      <c r="J1069" s="102" t="s">
        <v>38</v>
      </c>
      <c r="K1069" s="103">
        <v>10</v>
      </c>
      <c r="L1069" s="104">
        <v>65000</v>
      </c>
      <c r="M1069" s="104">
        <v>650000</v>
      </c>
      <c r="N1069" s="39">
        <v>167000</v>
      </c>
      <c r="O1069" s="39"/>
      <c r="P1069" s="108">
        <f>+N1069+O1069</f>
        <v>167000</v>
      </c>
      <c r="Q1069" s="39">
        <v>100</v>
      </c>
      <c r="R1069" s="39">
        <f t="shared" si="201"/>
        <v>650000</v>
      </c>
      <c r="S1069" s="42">
        <f t="shared" si="202"/>
        <v>0</v>
      </c>
    </row>
    <row r="1070" spans="1:19">
      <c r="A1070" s="99">
        <v>2026</v>
      </c>
      <c r="B1070" s="100">
        <v>2</v>
      </c>
      <c r="C1070" s="101">
        <v>46059</v>
      </c>
      <c r="D1070" s="101" t="str">
        <f t="shared" si="200"/>
        <v>RMF00000431Андижон_Жонибек ака (S)</v>
      </c>
      <c r="E1070" s="99" t="s">
        <v>1582</v>
      </c>
      <c r="F1070" s="102" t="s">
        <v>1383</v>
      </c>
      <c r="G1070" s="102" t="s">
        <v>1280</v>
      </c>
      <c r="H1070" s="99" t="s">
        <v>1303</v>
      </c>
      <c r="I1070" s="102" t="s">
        <v>1155</v>
      </c>
      <c r="J1070" s="102" t="s">
        <v>38</v>
      </c>
      <c r="K1070" s="103">
        <v>50</v>
      </c>
      <c r="L1070" s="104">
        <v>65000</v>
      </c>
      <c r="M1070" s="104">
        <v>3250000</v>
      </c>
      <c r="N1070" s="39">
        <v>1899000</v>
      </c>
      <c r="O1070" s="39"/>
      <c r="P1070" s="108">
        <f>+N1070+O1070</f>
        <v>1899000</v>
      </c>
      <c r="Q1070" s="39">
        <v>100</v>
      </c>
      <c r="R1070" s="39">
        <f t="shared" si="201"/>
        <v>3250000</v>
      </c>
      <c r="S1070" s="42">
        <f t="shared" si="202"/>
        <v>0</v>
      </c>
    </row>
    <row r="1071" spans="1:19">
      <c r="A1071" s="99">
        <v>2026</v>
      </c>
      <c r="B1071" s="100">
        <v>2</v>
      </c>
      <c r="C1071" s="101">
        <v>46059</v>
      </c>
      <c r="D1071" s="101" t="str">
        <f t="shared" si="200"/>
        <v>RMF00000538Самарканд_Хуршед ака</v>
      </c>
      <c r="E1071" s="99" t="s">
        <v>1583</v>
      </c>
      <c r="F1071" s="102" t="s">
        <v>1302</v>
      </c>
      <c r="G1071" s="102" t="s">
        <v>272</v>
      </c>
      <c r="H1071" s="99" t="s">
        <v>1303</v>
      </c>
      <c r="I1071" s="102" t="s">
        <v>1316</v>
      </c>
      <c r="J1071" s="102" t="s">
        <v>21</v>
      </c>
      <c r="K1071" s="103">
        <v>240</v>
      </c>
      <c r="L1071" s="104">
        <v>40621</v>
      </c>
      <c r="M1071" s="104">
        <v>9749040</v>
      </c>
      <c r="N1071" s="39">
        <v>3087000</v>
      </c>
      <c r="O1071" s="39"/>
      <c r="P1071" s="108">
        <f>+N1071+O1071</f>
        <v>3087000</v>
      </c>
      <c r="Q1071" s="39">
        <v>100</v>
      </c>
      <c r="R1071" s="39">
        <f t="shared" si="201"/>
        <v>9749040</v>
      </c>
      <c r="S1071" s="42">
        <f t="shared" si="202"/>
        <v>0</v>
      </c>
    </row>
    <row r="1072" spans="1:19">
      <c r="A1072" s="99">
        <v>2026</v>
      </c>
      <c r="B1072" s="100">
        <v>2</v>
      </c>
      <c r="C1072" s="101">
        <v>46059</v>
      </c>
      <c r="D1072" s="101" t="str">
        <f t="shared" si="200"/>
        <v>RMF00000539Самарканд_Хуршед ака 2</v>
      </c>
      <c r="E1072" s="99" t="s">
        <v>1584</v>
      </c>
      <c r="F1072" s="102" t="s">
        <v>912</v>
      </c>
      <c r="G1072" s="102" t="s">
        <v>871</v>
      </c>
      <c r="H1072" s="99" t="s">
        <v>1303</v>
      </c>
      <c r="I1072" s="102" t="s">
        <v>1545</v>
      </c>
      <c r="J1072" s="102" t="s">
        <v>41</v>
      </c>
      <c r="K1072" s="103">
        <v>50</v>
      </c>
      <c r="L1072" s="104">
        <v>90000</v>
      </c>
      <c r="M1072" s="104">
        <v>4500000</v>
      </c>
      <c r="N1072" s="39">
        <v>1259000</v>
      </c>
      <c r="O1072" s="39"/>
      <c r="P1072" s="108">
        <f>+N1072+O1072</f>
        <v>1259000</v>
      </c>
      <c r="Q1072" s="39">
        <v>100</v>
      </c>
      <c r="R1072" s="39">
        <f t="shared" si="201"/>
        <v>4500000</v>
      </c>
      <c r="S1072" s="42">
        <f t="shared" si="202"/>
        <v>0</v>
      </c>
    </row>
    <row r="1073" spans="1:19">
      <c r="A1073" s="99">
        <v>2026</v>
      </c>
      <c r="B1073" s="100">
        <v>2</v>
      </c>
      <c r="C1073" s="101">
        <v>46059</v>
      </c>
      <c r="D1073" s="101" t="str">
        <f t="shared" si="200"/>
        <v>RMF00000540Сурхондарьё_Анвар ака</v>
      </c>
      <c r="E1073" s="99" t="s">
        <v>1585</v>
      </c>
      <c r="F1073" s="102" t="s">
        <v>1578</v>
      </c>
      <c r="G1073" s="102" t="s">
        <v>875</v>
      </c>
      <c r="H1073" s="99" t="s">
        <v>1303</v>
      </c>
      <c r="I1073" s="102" t="s">
        <v>930</v>
      </c>
      <c r="J1073" s="102" t="s">
        <v>38</v>
      </c>
      <c r="K1073" s="103">
        <v>50</v>
      </c>
      <c r="L1073" s="104">
        <v>65000</v>
      </c>
      <c r="M1073" s="104">
        <v>3250000</v>
      </c>
      <c r="N1073" s="39">
        <v>1899000</v>
      </c>
      <c r="O1073" s="39"/>
      <c r="P1073" s="108">
        <f>+N1073+O1073</f>
        <v>1899000</v>
      </c>
      <c r="Q1073" s="39">
        <v>100</v>
      </c>
      <c r="R1073" s="39">
        <f t="shared" si="201"/>
        <v>3250000</v>
      </c>
      <c r="S1073" s="42">
        <f t="shared" si="202"/>
        <v>0</v>
      </c>
    </row>
    <row r="1074" spans="1:19">
      <c r="A1074" s="99">
        <v>2026</v>
      </c>
      <c r="B1074" s="100">
        <v>2</v>
      </c>
      <c r="C1074" s="101">
        <v>46062</v>
      </c>
      <c r="D1074" s="101" t="str">
        <f t="shared" si="200"/>
        <v>RMF00000546Самарканд_Хуршед ака 2</v>
      </c>
      <c r="E1074" s="99" t="s">
        <v>1586</v>
      </c>
      <c r="F1074" s="102" t="s">
        <v>912</v>
      </c>
      <c r="G1074" s="102" t="s">
        <v>871</v>
      </c>
      <c r="H1074" s="99" t="s">
        <v>1303</v>
      </c>
      <c r="I1074" s="102" t="s">
        <v>913</v>
      </c>
      <c r="J1074" s="102" t="s">
        <v>38</v>
      </c>
      <c r="K1074" s="103">
        <v>100</v>
      </c>
      <c r="L1074" s="104">
        <v>65000</v>
      </c>
      <c r="M1074" s="104">
        <v>6500000</v>
      </c>
      <c r="N1074" s="39">
        <v>787000</v>
      </c>
      <c r="O1074" s="39"/>
      <c r="P1074" s="108">
        <f>+N1074+O1074</f>
        <v>787000</v>
      </c>
      <c r="Q1074" s="39">
        <v>100</v>
      </c>
      <c r="R1074" s="39">
        <f t="shared" si="201"/>
        <v>6500000</v>
      </c>
      <c r="S1074" s="42">
        <f t="shared" si="202"/>
        <v>0</v>
      </c>
    </row>
    <row r="1075" spans="1:19">
      <c r="A1075" s="99">
        <v>2026</v>
      </c>
      <c r="B1075" s="100">
        <v>2</v>
      </c>
      <c r="C1075" s="101">
        <v>46063</v>
      </c>
      <c r="D1075" s="101" t="str">
        <f t="shared" si="200"/>
        <v>RMF00000563Самарканд_Хуршед ака</v>
      </c>
      <c r="E1075" s="99" t="s">
        <v>1587</v>
      </c>
      <c r="F1075" s="102" t="s">
        <v>1302</v>
      </c>
      <c r="G1075" s="102" t="s">
        <v>272</v>
      </c>
      <c r="H1075" s="99" t="s">
        <v>1303</v>
      </c>
      <c r="I1075" s="102" t="s">
        <v>1388</v>
      </c>
      <c r="J1075" s="102" t="s">
        <v>466</v>
      </c>
      <c r="K1075" s="103">
        <v>40</v>
      </c>
      <c r="L1075" s="104">
        <v>120000</v>
      </c>
      <c r="M1075" s="104">
        <v>4800000</v>
      </c>
      <c r="N1075" s="39">
        <v>3278000</v>
      </c>
      <c r="O1075" s="39"/>
      <c r="P1075" s="108">
        <f>+N1075+O1075</f>
        <v>3278000</v>
      </c>
      <c r="Q1075" s="39">
        <v>100</v>
      </c>
      <c r="R1075" s="39">
        <f t="shared" si="201"/>
        <v>4800000</v>
      </c>
      <c r="S1075" s="42">
        <f t="shared" si="202"/>
        <v>0</v>
      </c>
    </row>
    <row r="1076" spans="1:19">
      <c r="A1076" s="99">
        <v>2026</v>
      </c>
      <c r="B1076" s="100">
        <v>2</v>
      </c>
      <c r="C1076" s="101">
        <v>46063</v>
      </c>
      <c r="D1076" s="101" t="str">
        <f t="shared" si="200"/>
        <v>RMF00000564Сирдарё_Фотима опа</v>
      </c>
      <c r="E1076" s="99" t="s">
        <v>1588</v>
      </c>
      <c r="F1076" s="102" t="s">
        <v>284</v>
      </c>
      <c r="G1076" s="102" t="s">
        <v>281</v>
      </c>
      <c r="H1076" s="99" t="s">
        <v>1303</v>
      </c>
      <c r="I1076" s="102" t="s">
        <v>23</v>
      </c>
      <c r="J1076" s="102" t="s">
        <v>38</v>
      </c>
      <c r="K1076" s="103">
        <v>20</v>
      </c>
      <c r="L1076" s="104">
        <v>65000</v>
      </c>
      <c r="M1076" s="104">
        <v>1300000</v>
      </c>
      <c r="N1076" s="39">
        <v>759000</v>
      </c>
      <c r="O1076" s="39"/>
      <c r="P1076" s="108">
        <f>+N1076+O1076</f>
        <v>759000</v>
      </c>
      <c r="Q1076" s="39">
        <v>100</v>
      </c>
      <c r="R1076" s="39">
        <f t="shared" si="201"/>
        <v>1300000</v>
      </c>
      <c r="S1076" s="42">
        <f t="shared" si="202"/>
        <v>0</v>
      </c>
    </row>
    <row r="1077" spans="1:19">
      <c r="A1077" s="99">
        <v>2026</v>
      </c>
      <c r="B1077" s="100">
        <v>2</v>
      </c>
      <c r="C1077" s="101">
        <v>46063</v>
      </c>
      <c r="D1077" s="101" t="str">
        <f t="shared" si="200"/>
        <v>RMF00000566Самарканд_Хуршед ака 2</v>
      </c>
      <c r="E1077" s="99" t="s">
        <v>1589</v>
      </c>
      <c r="F1077" s="102" t="s">
        <v>1590</v>
      </c>
      <c r="G1077" s="102" t="s">
        <v>871</v>
      </c>
      <c r="H1077" s="99" t="s">
        <v>1303</v>
      </c>
      <c r="I1077" s="102" t="s">
        <v>1507</v>
      </c>
      <c r="J1077" s="102" t="s">
        <v>41</v>
      </c>
      <c r="K1077" s="103">
        <v>30</v>
      </c>
      <c r="L1077" s="104">
        <v>90000</v>
      </c>
      <c r="M1077" s="104">
        <v>2700000</v>
      </c>
      <c r="N1077" s="39">
        <v>1717000</v>
      </c>
      <c r="O1077" s="39"/>
      <c r="P1077" s="108">
        <f>+N1077+O1077</f>
        <v>1717000</v>
      </c>
      <c r="Q1077" s="39">
        <v>100</v>
      </c>
      <c r="R1077" s="39">
        <f t="shared" si="201"/>
        <v>2700000</v>
      </c>
      <c r="S1077" s="42">
        <f t="shared" si="202"/>
        <v>0</v>
      </c>
    </row>
    <row r="1078" spans="1:19">
      <c r="A1078" s="99">
        <v>2026</v>
      </c>
      <c r="B1078" s="100">
        <v>2</v>
      </c>
      <c r="C1078" s="101">
        <v>46063</v>
      </c>
      <c r="D1078" s="101" t="str">
        <f t="shared" si="200"/>
        <v>RMF00000570Самарканд_Хуршед ака</v>
      </c>
      <c r="E1078" s="99" t="s">
        <v>1591</v>
      </c>
      <c r="F1078" s="102" t="s">
        <v>1462</v>
      </c>
      <c r="G1078" s="102" t="s">
        <v>272</v>
      </c>
      <c r="H1078" s="99" t="s">
        <v>1303</v>
      </c>
      <c r="I1078" s="102" t="s">
        <v>1445</v>
      </c>
      <c r="J1078" s="102" t="s">
        <v>21</v>
      </c>
      <c r="K1078" s="103">
        <v>30</v>
      </c>
      <c r="L1078" s="104">
        <v>40621</v>
      </c>
      <c r="M1078" s="104">
        <v>1218630</v>
      </c>
      <c r="N1078" s="39">
        <v>353000</v>
      </c>
      <c r="O1078" s="39"/>
      <c r="P1078" s="108">
        <f>+N1078+O1078</f>
        <v>353000</v>
      </c>
      <c r="Q1078" s="39">
        <v>100</v>
      </c>
      <c r="R1078" s="39">
        <f t="shared" si="201"/>
        <v>1218630</v>
      </c>
      <c r="S1078" s="42">
        <f t="shared" si="202"/>
        <v>0</v>
      </c>
    </row>
    <row r="1079" spans="1:19">
      <c r="A1079" s="99">
        <v>2026</v>
      </c>
      <c r="B1079" s="100">
        <v>2</v>
      </c>
      <c r="C1079" s="101">
        <v>46063</v>
      </c>
      <c r="D1079" s="101" t="str">
        <f t="shared" si="200"/>
        <v>RMF00000572Сирдарё_Фотима опа</v>
      </c>
      <c r="E1079" s="99" t="s">
        <v>1592</v>
      </c>
      <c r="F1079" s="102" t="s">
        <v>284</v>
      </c>
      <c r="G1079" s="102" t="s">
        <v>281</v>
      </c>
      <c r="H1079" s="99" t="s">
        <v>1303</v>
      </c>
      <c r="I1079" s="102" t="s">
        <v>531</v>
      </c>
      <c r="J1079" s="102" t="s">
        <v>21</v>
      </c>
      <c r="K1079" s="103">
        <v>100</v>
      </c>
      <c r="L1079" s="104">
        <v>40621</v>
      </c>
      <c r="M1079" s="104">
        <v>4062100</v>
      </c>
      <c r="N1079" s="39">
        <v>1275000</v>
      </c>
      <c r="O1079" s="39"/>
      <c r="P1079" s="108">
        <f>+N1079+O1079</f>
        <v>1275000</v>
      </c>
      <c r="Q1079" s="39">
        <v>100</v>
      </c>
      <c r="R1079" s="39">
        <f t="shared" si="201"/>
        <v>4062100</v>
      </c>
      <c r="S1079" s="42">
        <f t="shared" si="202"/>
        <v>0</v>
      </c>
    </row>
    <row r="1080" spans="1:19">
      <c r="A1080" s="99">
        <v>2026</v>
      </c>
      <c r="B1080" s="100">
        <v>2</v>
      </c>
      <c r="C1080" s="101">
        <v>46063</v>
      </c>
      <c r="D1080" s="101" t="str">
        <f t="shared" si="200"/>
        <v>RMF00000575Самарканд_Хуршед ака</v>
      </c>
      <c r="E1080" s="99" t="s">
        <v>1593</v>
      </c>
      <c r="F1080" s="102" t="s">
        <v>1302</v>
      </c>
      <c r="G1080" s="102" t="s">
        <v>272</v>
      </c>
      <c r="H1080" s="99" t="s">
        <v>1303</v>
      </c>
      <c r="I1080" s="102" t="s">
        <v>907</v>
      </c>
      <c r="J1080" s="102" t="s">
        <v>41</v>
      </c>
      <c r="K1080" s="103">
        <v>5</v>
      </c>
      <c r="L1080" s="104">
        <v>90000</v>
      </c>
      <c r="M1080" s="104">
        <v>450000</v>
      </c>
      <c r="N1080" s="39">
        <v>286000</v>
      </c>
      <c r="O1080" s="39"/>
      <c r="P1080" s="108">
        <f>+N1080+O1080</f>
        <v>286000</v>
      </c>
      <c r="Q1080" s="39">
        <v>100</v>
      </c>
      <c r="R1080" s="39">
        <f t="shared" si="201"/>
        <v>450000</v>
      </c>
      <c r="S1080" s="42">
        <f t="shared" si="202"/>
        <v>0</v>
      </c>
    </row>
    <row r="1081" spans="1:19">
      <c r="A1081" s="99">
        <v>2026</v>
      </c>
      <c r="B1081" s="100">
        <v>2</v>
      </c>
      <c r="C1081" s="101">
        <v>46063</v>
      </c>
      <c r="D1081" s="101" t="str">
        <f t="shared" si="200"/>
        <v>RMF00000575Самарканд_Хуршед ака</v>
      </c>
      <c r="E1081" s="99" t="s">
        <v>1593</v>
      </c>
      <c r="F1081" s="102" t="s">
        <v>1302</v>
      </c>
      <c r="G1081" s="102" t="s">
        <v>272</v>
      </c>
      <c r="H1081" s="99" t="s">
        <v>1303</v>
      </c>
      <c r="I1081" s="102" t="s">
        <v>907</v>
      </c>
      <c r="J1081" s="102" t="s">
        <v>466</v>
      </c>
      <c r="K1081" s="103">
        <v>5</v>
      </c>
      <c r="L1081" s="104">
        <v>120000</v>
      </c>
      <c r="M1081" s="104">
        <v>600000</v>
      </c>
      <c r="N1081" s="39">
        <v>410000</v>
      </c>
      <c r="O1081" s="39"/>
      <c r="P1081" s="108">
        <f>+N1081+O1081</f>
        <v>410000</v>
      </c>
      <c r="Q1081" s="39">
        <v>100</v>
      </c>
      <c r="R1081" s="39">
        <f t="shared" si="201"/>
        <v>600000</v>
      </c>
      <c r="S1081" s="42">
        <f t="shared" si="202"/>
        <v>0</v>
      </c>
    </row>
    <row r="1082" spans="1:19">
      <c r="A1082" s="99">
        <v>2026</v>
      </c>
      <c r="B1082" s="100">
        <v>2</v>
      </c>
      <c r="C1082" s="101">
        <v>46063</v>
      </c>
      <c r="D1082" s="101" t="str">
        <f t="shared" si="200"/>
        <v>RMF00000578Самарканд_Хуршед ака</v>
      </c>
      <c r="E1082" s="99" t="s">
        <v>1594</v>
      </c>
      <c r="F1082" s="102" t="s">
        <v>1302</v>
      </c>
      <c r="G1082" s="102" t="s">
        <v>272</v>
      </c>
      <c r="H1082" s="99" t="s">
        <v>1303</v>
      </c>
      <c r="I1082" s="102" t="s">
        <v>1595</v>
      </c>
      <c r="J1082" s="102" t="s">
        <v>21</v>
      </c>
      <c r="K1082" s="103">
        <v>40</v>
      </c>
      <c r="L1082" s="104">
        <v>40621</v>
      </c>
      <c r="M1082" s="104">
        <v>1624840</v>
      </c>
      <c r="N1082" s="39">
        <v>581000</v>
      </c>
      <c r="O1082" s="39"/>
      <c r="P1082" s="108">
        <f>+N1082+O1082</f>
        <v>581000</v>
      </c>
      <c r="Q1082" s="39">
        <v>100</v>
      </c>
      <c r="R1082" s="39">
        <f t="shared" si="201"/>
        <v>1624840</v>
      </c>
      <c r="S1082" s="42">
        <f t="shared" si="202"/>
        <v>0</v>
      </c>
    </row>
    <row r="1083" spans="1:19">
      <c r="A1083" s="99">
        <v>2026</v>
      </c>
      <c r="B1083" s="100">
        <v>2</v>
      </c>
      <c r="C1083" s="101">
        <v>46063</v>
      </c>
      <c r="D1083" s="101" t="str">
        <f t="shared" si="200"/>
        <v>RMF00000582Самарканд_Хуршед ака 2</v>
      </c>
      <c r="E1083" s="99" t="s">
        <v>1596</v>
      </c>
      <c r="F1083" s="102" t="s">
        <v>1590</v>
      </c>
      <c r="G1083" s="102" t="s">
        <v>871</v>
      </c>
      <c r="H1083" s="99" t="s">
        <v>1303</v>
      </c>
      <c r="I1083" s="102" t="s">
        <v>1330</v>
      </c>
      <c r="J1083" s="102" t="s">
        <v>466</v>
      </c>
      <c r="K1083" s="103">
        <v>20</v>
      </c>
      <c r="L1083" s="104">
        <v>120000</v>
      </c>
      <c r="M1083" s="104">
        <v>2400000</v>
      </c>
      <c r="N1083" s="39">
        <v>694000</v>
      </c>
      <c r="O1083" s="39"/>
      <c r="P1083" s="108">
        <f>+N1083+O1083</f>
        <v>694000</v>
      </c>
      <c r="Q1083" s="39">
        <v>100</v>
      </c>
      <c r="R1083" s="39">
        <f t="shared" si="201"/>
        <v>2400000</v>
      </c>
      <c r="S1083" s="42">
        <f t="shared" si="202"/>
        <v>0</v>
      </c>
    </row>
    <row r="1084" spans="1:19">
      <c r="A1084" s="99">
        <v>2026</v>
      </c>
      <c r="B1084" s="100">
        <v>2</v>
      </c>
      <c r="C1084" s="101">
        <v>46064</v>
      </c>
      <c r="D1084" s="101" t="str">
        <f t="shared" si="200"/>
        <v>RMF00000590Самарканд_Хуршед ака 2</v>
      </c>
      <c r="E1084" s="99" t="s">
        <v>1597</v>
      </c>
      <c r="F1084" s="102" t="s">
        <v>1302</v>
      </c>
      <c r="G1084" s="102" t="s">
        <v>871</v>
      </c>
      <c r="H1084" s="99" t="s">
        <v>1303</v>
      </c>
      <c r="I1084" s="102" t="s">
        <v>1598</v>
      </c>
      <c r="J1084" s="102" t="s">
        <v>466</v>
      </c>
      <c r="K1084" s="103">
        <v>20</v>
      </c>
      <c r="L1084" s="104">
        <v>120000</v>
      </c>
      <c r="M1084" s="104">
        <v>2400000</v>
      </c>
      <c r="N1084" s="39">
        <v>721000</v>
      </c>
      <c r="O1084" s="39"/>
      <c r="P1084" s="108">
        <f>+N1084+O1084</f>
        <v>721000</v>
      </c>
      <c r="Q1084" s="39">
        <v>100</v>
      </c>
      <c r="R1084" s="39">
        <f t="shared" si="201"/>
        <v>2400000</v>
      </c>
      <c r="S1084" s="42">
        <f t="shared" si="202"/>
        <v>0</v>
      </c>
    </row>
    <row r="1085" spans="1:19">
      <c r="A1085" s="99">
        <v>2026</v>
      </c>
      <c r="B1085" s="100">
        <v>2</v>
      </c>
      <c r="C1085" s="101">
        <v>46064</v>
      </c>
      <c r="D1085" s="101" t="str">
        <f t="shared" si="200"/>
        <v>RMF00000590Самарканд_Хуршед ака 2</v>
      </c>
      <c r="E1085" s="99" t="s">
        <v>1597</v>
      </c>
      <c r="F1085" s="102" t="s">
        <v>1302</v>
      </c>
      <c r="G1085" s="102" t="s">
        <v>871</v>
      </c>
      <c r="H1085" s="99" t="s">
        <v>1303</v>
      </c>
      <c r="I1085" s="102" t="s">
        <v>1598</v>
      </c>
      <c r="J1085" s="102" t="s">
        <v>41</v>
      </c>
      <c r="K1085" s="103">
        <v>30</v>
      </c>
      <c r="L1085" s="104">
        <v>90000</v>
      </c>
      <c r="M1085" s="104">
        <v>2700000</v>
      </c>
      <c r="N1085" s="39">
        <v>755000</v>
      </c>
      <c r="O1085" s="39"/>
      <c r="P1085" s="108">
        <f>+N1085+O1085</f>
        <v>755000</v>
      </c>
      <c r="Q1085" s="39">
        <v>100</v>
      </c>
      <c r="R1085" s="39">
        <f t="shared" si="201"/>
        <v>2700000</v>
      </c>
      <c r="S1085" s="42">
        <f t="shared" si="202"/>
        <v>0</v>
      </c>
    </row>
    <row r="1086" spans="1:19">
      <c r="A1086" s="99">
        <v>2026</v>
      </c>
      <c r="B1086" s="100">
        <v>2</v>
      </c>
      <c r="C1086" s="101">
        <v>46064</v>
      </c>
      <c r="D1086" s="101" t="str">
        <f t="shared" si="200"/>
        <v>RMF00000591Кукон_Баходирхон ака</v>
      </c>
      <c r="E1086" s="99" t="s">
        <v>1599</v>
      </c>
      <c r="F1086" s="102" t="s">
        <v>1451</v>
      </c>
      <c r="G1086" s="102" t="s">
        <v>1264</v>
      </c>
      <c r="H1086" s="99" t="s">
        <v>1303</v>
      </c>
      <c r="I1086" s="102" t="s">
        <v>1283</v>
      </c>
      <c r="J1086" s="102" t="s">
        <v>38</v>
      </c>
      <c r="K1086" s="103">
        <v>10</v>
      </c>
      <c r="L1086" s="104">
        <v>65000</v>
      </c>
      <c r="M1086" s="104">
        <v>650000</v>
      </c>
      <c r="N1086" s="39">
        <v>362000</v>
      </c>
      <c r="O1086" s="39"/>
      <c r="P1086" s="108">
        <f>+N1086+O1086</f>
        <v>362000</v>
      </c>
      <c r="Q1086" s="39">
        <v>100</v>
      </c>
      <c r="R1086" s="39">
        <f t="shared" si="201"/>
        <v>650000</v>
      </c>
      <c r="S1086" s="42">
        <f t="shared" si="202"/>
        <v>0</v>
      </c>
    </row>
    <row r="1087" spans="1:19">
      <c r="A1087" s="99">
        <v>2026</v>
      </c>
      <c r="B1087" s="100">
        <v>2</v>
      </c>
      <c r="C1087" s="101">
        <v>46064</v>
      </c>
      <c r="D1087" s="101" t="str">
        <f t="shared" si="200"/>
        <v>RMF00000591Кукон_Баходирхон ака</v>
      </c>
      <c r="E1087" s="99" t="s">
        <v>1599</v>
      </c>
      <c r="F1087" s="102" t="s">
        <v>1451</v>
      </c>
      <c r="G1087" s="102" t="s">
        <v>1264</v>
      </c>
      <c r="H1087" s="99" t="s">
        <v>1303</v>
      </c>
      <c r="I1087" s="102" t="s">
        <v>1283</v>
      </c>
      <c r="J1087" s="102" t="s">
        <v>46</v>
      </c>
      <c r="K1087" s="103">
        <v>10</v>
      </c>
      <c r="L1087" s="104">
        <v>64700</v>
      </c>
      <c r="M1087" s="104">
        <v>647000</v>
      </c>
      <c r="N1087" s="39">
        <v>380000</v>
      </c>
      <c r="O1087" s="39"/>
      <c r="P1087" s="108">
        <f>+N1087+O1087</f>
        <v>380000</v>
      </c>
      <c r="Q1087" s="39">
        <v>100</v>
      </c>
      <c r="R1087" s="39">
        <f t="shared" si="201"/>
        <v>647000</v>
      </c>
      <c r="S1087" s="42">
        <f t="shared" si="202"/>
        <v>0</v>
      </c>
    </row>
    <row r="1088" spans="1:19">
      <c r="A1088" s="99">
        <v>2026</v>
      </c>
      <c r="B1088" s="100">
        <v>2</v>
      </c>
      <c r="C1088" s="101">
        <v>46065</v>
      </c>
      <c r="D1088" s="101" t="str">
        <f t="shared" si="200"/>
        <v>RMF00000603Самарканд_Хуршед ака 2</v>
      </c>
      <c r="E1088" s="99" t="s">
        <v>1600</v>
      </c>
      <c r="F1088" s="102" t="s">
        <v>1590</v>
      </c>
      <c r="G1088" s="102" t="s">
        <v>871</v>
      </c>
      <c r="H1088" s="99" t="s">
        <v>1303</v>
      </c>
      <c r="I1088" s="102" t="s">
        <v>1601</v>
      </c>
      <c r="J1088" s="102" t="s">
        <v>41</v>
      </c>
      <c r="K1088" s="103">
        <v>26</v>
      </c>
      <c r="L1088" s="104">
        <v>90000</v>
      </c>
      <c r="M1088" s="104">
        <v>2340000</v>
      </c>
      <c r="N1088" s="39">
        <v>651000</v>
      </c>
      <c r="O1088" s="39"/>
      <c r="P1088" s="108">
        <f>+N1088+O1088</f>
        <v>651000</v>
      </c>
      <c r="Q1088" s="39">
        <v>100</v>
      </c>
      <c r="R1088" s="39">
        <f t="shared" si="201"/>
        <v>2340000</v>
      </c>
      <c r="S1088" s="42">
        <f t="shared" si="202"/>
        <v>0</v>
      </c>
    </row>
    <row r="1089" spans="1:19">
      <c r="A1089" s="99">
        <v>2026</v>
      </c>
      <c r="B1089" s="100">
        <v>2</v>
      </c>
      <c r="C1089" s="101">
        <v>46065</v>
      </c>
      <c r="D1089" s="101" t="str">
        <f t="shared" si="200"/>
        <v>RMF00000619Сирдарё_Фотима опа</v>
      </c>
      <c r="E1089" s="99" t="s">
        <v>1602</v>
      </c>
      <c r="F1089" s="102" t="s">
        <v>284</v>
      </c>
      <c r="G1089" s="102" t="s">
        <v>281</v>
      </c>
      <c r="H1089" s="99" t="s">
        <v>1303</v>
      </c>
      <c r="I1089" s="102" t="s">
        <v>20</v>
      </c>
      <c r="J1089" s="102" t="s">
        <v>21</v>
      </c>
      <c r="K1089" s="103">
        <v>30</v>
      </c>
      <c r="L1089" s="104">
        <v>40621</v>
      </c>
      <c r="M1089" s="104">
        <v>1218630</v>
      </c>
      <c r="N1089" s="39">
        <v>869000</v>
      </c>
      <c r="O1089" s="39"/>
      <c r="P1089" s="108">
        <f>+N1089+O1089</f>
        <v>869000</v>
      </c>
      <c r="Q1089" s="39">
        <v>100</v>
      </c>
      <c r="R1089" s="39">
        <f t="shared" si="201"/>
        <v>1218630</v>
      </c>
      <c r="S1089" s="42">
        <f t="shared" si="202"/>
        <v>0</v>
      </c>
    </row>
    <row r="1090" spans="1:19">
      <c r="A1090" s="99">
        <v>2026</v>
      </c>
      <c r="B1090" s="100">
        <v>2</v>
      </c>
      <c r="C1090" s="101">
        <v>46065</v>
      </c>
      <c r="D1090" s="101" t="str">
        <f t="shared" si="200"/>
        <v>RMF00000619Сирдарё_Фотима опа</v>
      </c>
      <c r="E1090" s="99" t="s">
        <v>1602</v>
      </c>
      <c r="F1090" s="102" t="s">
        <v>284</v>
      </c>
      <c r="G1090" s="102" t="s">
        <v>281</v>
      </c>
      <c r="H1090" s="99" t="s">
        <v>1303</v>
      </c>
      <c r="I1090" s="102" t="s">
        <v>20</v>
      </c>
      <c r="J1090" s="102" t="s">
        <v>466</v>
      </c>
      <c r="K1090" s="103">
        <v>15</v>
      </c>
      <c r="L1090" s="104">
        <v>120000</v>
      </c>
      <c r="M1090" s="104">
        <v>1800000</v>
      </c>
      <c r="N1090" s="39">
        <v>1229000</v>
      </c>
      <c r="O1090" s="39"/>
      <c r="P1090" s="108">
        <f>+N1090+O1090</f>
        <v>1229000</v>
      </c>
      <c r="Q1090" s="39">
        <v>100</v>
      </c>
      <c r="R1090" s="39">
        <f t="shared" si="201"/>
        <v>1800000</v>
      </c>
      <c r="S1090" s="42">
        <f t="shared" si="202"/>
        <v>0</v>
      </c>
    </row>
    <row r="1091" spans="1:19">
      <c r="A1091" s="99">
        <v>2026</v>
      </c>
      <c r="B1091" s="100">
        <v>2</v>
      </c>
      <c r="C1091" s="101">
        <v>46065</v>
      </c>
      <c r="D1091" s="101" t="str">
        <f t="shared" si="200"/>
        <v>RMF00000620Сурхондарьё_Анвар ака</v>
      </c>
      <c r="E1091" s="99" t="s">
        <v>1603</v>
      </c>
      <c r="F1091" s="102" t="s">
        <v>1578</v>
      </c>
      <c r="G1091" s="102" t="s">
        <v>875</v>
      </c>
      <c r="H1091" s="99" t="s">
        <v>1303</v>
      </c>
      <c r="I1091" s="102" t="s">
        <v>1136</v>
      </c>
      <c r="J1091" s="102" t="s">
        <v>38</v>
      </c>
      <c r="K1091" s="103">
        <v>50</v>
      </c>
      <c r="L1091" s="104">
        <v>65000</v>
      </c>
      <c r="M1091" s="104">
        <v>3250000</v>
      </c>
      <c r="N1091" s="39">
        <v>1255000</v>
      </c>
      <c r="O1091" s="39"/>
      <c r="P1091" s="108">
        <f>+N1091+O1091</f>
        <v>1255000</v>
      </c>
      <c r="Q1091" s="39">
        <v>100</v>
      </c>
      <c r="R1091" s="39">
        <f t="shared" si="201"/>
        <v>3250000</v>
      </c>
      <c r="S1091" s="42">
        <f t="shared" si="202"/>
        <v>0</v>
      </c>
    </row>
    <row r="1092" spans="1:19">
      <c r="A1092" s="99">
        <v>2026</v>
      </c>
      <c r="B1092" s="100">
        <v>2</v>
      </c>
      <c r="C1092" s="101">
        <v>46065</v>
      </c>
      <c r="D1092" s="101" t="str">
        <f t="shared" ref="D1092:D1155" si="203">+E1092&amp;G1092</f>
        <v>RMF00000621Самарканд_Хуршед ака</v>
      </c>
      <c r="E1092" s="99" t="s">
        <v>1604</v>
      </c>
      <c r="F1092" s="102" t="s">
        <v>1302</v>
      </c>
      <c r="G1092" s="102" t="s">
        <v>272</v>
      </c>
      <c r="H1092" s="99" t="s">
        <v>1303</v>
      </c>
      <c r="I1092" s="102" t="s">
        <v>1075</v>
      </c>
      <c r="J1092" s="102" t="s">
        <v>21</v>
      </c>
      <c r="K1092" s="103">
        <v>120</v>
      </c>
      <c r="L1092" s="104">
        <v>40621</v>
      </c>
      <c r="M1092" s="104">
        <v>4874520</v>
      </c>
      <c r="N1092" s="39">
        <v>436000</v>
      </c>
      <c r="O1092" s="39"/>
      <c r="P1092" s="108">
        <f>+N1092+O1092</f>
        <v>436000</v>
      </c>
      <c r="Q1092" s="39">
        <v>51</v>
      </c>
      <c r="R1092" s="39">
        <f t="shared" ref="R1092:R1155" si="204">+M1092*Q1092%</f>
        <v>2486005.2000000002</v>
      </c>
      <c r="S1092" s="42">
        <f t="shared" ref="S1092:S1155" si="205">M1092-R1092</f>
        <v>2388514.7999999998</v>
      </c>
    </row>
    <row r="1093" spans="1:19">
      <c r="A1093" s="99">
        <v>2026</v>
      </c>
      <c r="B1093" s="100">
        <v>2</v>
      </c>
      <c r="C1093" s="101">
        <v>46065</v>
      </c>
      <c r="D1093" s="101" t="str">
        <f t="shared" si="203"/>
        <v>RMF00000621Самарканд_Хуршед ака</v>
      </c>
      <c r="E1093" s="99" t="s">
        <v>1604</v>
      </c>
      <c r="F1093" s="102" t="s">
        <v>1302</v>
      </c>
      <c r="G1093" s="102" t="s">
        <v>272</v>
      </c>
      <c r="H1093" s="99" t="s">
        <v>1303</v>
      </c>
      <c r="I1093" s="102" t="s">
        <v>1075</v>
      </c>
      <c r="J1093" s="102" t="s">
        <v>41</v>
      </c>
      <c r="K1093" s="103">
        <v>50</v>
      </c>
      <c r="L1093" s="104">
        <v>90000</v>
      </c>
      <c r="M1093" s="104">
        <v>4500000</v>
      </c>
      <c r="N1093" s="39">
        <v>305000</v>
      </c>
      <c r="O1093" s="39"/>
      <c r="P1093" s="108">
        <f>+N1093+O1093</f>
        <v>305000</v>
      </c>
      <c r="Q1093" s="39">
        <v>51</v>
      </c>
      <c r="R1093" s="39">
        <f t="shared" si="204"/>
        <v>2295000</v>
      </c>
      <c r="S1093" s="42">
        <f t="shared" si="205"/>
        <v>2205000</v>
      </c>
    </row>
    <row r="1094" spans="1:19">
      <c r="A1094" s="99">
        <v>2026</v>
      </c>
      <c r="B1094" s="100">
        <v>2</v>
      </c>
      <c r="C1094" s="101">
        <v>46065</v>
      </c>
      <c r="D1094" s="101" t="str">
        <f t="shared" si="203"/>
        <v>RMF00000622Самарканд_Хуршед ака 2</v>
      </c>
      <c r="E1094" s="99" t="s">
        <v>1605</v>
      </c>
      <c r="F1094" s="102" t="s">
        <v>1590</v>
      </c>
      <c r="G1094" s="102" t="s">
        <v>871</v>
      </c>
      <c r="H1094" s="99" t="s">
        <v>1303</v>
      </c>
      <c r="I1094" s="102" t="s">
        <v>1487</v>
      </c>
      <c r="J1094" s="102" t="s">
        <v>41</v>
      </c>
      <c r="K1094" s="103">
        <v>30</v>
      </c>
      <c r="L1094" s="104">
        <v>90000</v>
      </c>
      <c r="M1094" s="104">
        <v>2700000</v>
      </c>
      <c r="N1094" s="39">
        <v>1659000</v>
      </c>
      <c r="O1094" s="39"/>
      <c r="P1094" s="108">
        <f>+N1094+O1094</f>
        <v>1659000</v>
      </c>
      <c r="Q1094" s="39">
        <v>100</v>
      </c>
      <c r="R1094" s="39">
        <f t="shared" si="204"/>
        <v>2700000</v>
      </c>
      <c r="S1094" s="42">
        <f t="shared" si="205"/>
        <v>0</v>
      </c>
    </row>
    <row r="1095" spans="1:19">
      <c r="A1095" s="99">
        <v>2026</v>
      </c>
      <c r="B1095" s="100">
        <v>2</v>
      </c>
      <c r="C1095" s="101">
        <v>46065</v>
      </c>
      <c r="D1095" s="101" t="str">
        <f t="shared" si="203"/>
        <v>RMF00000623Самарканд_Хуршед ака 2</v>
      </c>
      <c r="E1095" s="99" t="s">
        <v>1606</v>
      </c>
      <c r="F1095" s="102" t="s">
        <v>1590</v>
      </c>
      <c r="G1095" s="102" t="s">
        <v>871</v>
      </c>
      <c r="H1095" s="99" t="s">
        <v>1303</v>
      </c>
      <c r="I1095" s="102" t="s">
        <v>1487</v>
      </c>
      <c r="J1095" s="102" t="s">
        <v>41</v>
      </c>
      <c r="K1095" s="103">
        <v>20</v>
      </c>
      <c r="L1095" s="104">
        <v>90000</v>
      </c>
      <c r="M1095" s="104">
        <v>1800000</v>
      </c>
      <c r="N1095" s="39">
        <v>504000</v>
      </c>
      <c r="O1095" s="39"/>
      <c r="P1095" s="108">
        <f>+N1095+O1095</f>
        <v>504000</v>
      </c>
      <c r="Q1095" s="39">
        <v>100</v>
      </c>
      <c r="R1095" s="39">
        <f t="shared" si="204"/>
        <v>1800000</v>
      </c>
      <c r="S1095" s="42">
        <f t="shared" si="205"/>
        <v>0</v>
      </c>
    </row>
    <row r="1096" spans="1:19">
      <c r="A1096" s="99">
        <v>2026</v>
      </c>
      <c r="B1096" s="100">
        <v>2</v>
      </c>
      <c r="C1096" s="101">
        <v>46066</v>
      </c>
      <c r="D1096" s="101" t="str">
        <f t="shared" si="203"/>
        <v>RMF00000632Самарканд_Хуршед ака</v>
      </c>
      <c r="E1096" s="99" t="s">
        <v>1607</v>
      </c>
      <c r="F1096" s="102" t="s">
        <v>1462</v>
      </c>
      <c r="G1096" s="102" t="s">
        <v>272</v>
      </c>
      <c r="H1096" s="99" t="s">
        <v>1303</v>
      </c>
      <c r="I1096" s="102" t="s">
        <v>900</v>
      </c>
      <c r="J1096" s="102" t="s">
        <v>21</v>
      </c>
      <c r="K1096" s="103">
        <v>50</v>
      </c>
      <c r="L1096" s="104">
        <v>40621</v>
      </c>
      <c r="M1096" s="104">
        <v>2031050</v>
      </c>
      <c r="N1096" s="39">
        <v>1549000</v>
      </c>
      <c r="O1096" s="39"/>
      <c r="P1096" s="108">
        <f>+N1096+O1096</f>
        <v>1549000</v>
      </c>
      <c r="Q1096" s="39">
        <v>100</v>
      </c>
      <c r="R1096" s="39">
        <f t="shared" si="204"/>
        <v>2031050</v>
      </c>
      <c r="S1096" s="42">
        <f t="shared" si="205"/>
        <v>0</v>
      </c>
    </row>
    <row r="1097" spans="1:19">
      <c r="A1097" s="99">
        <v>2026</v>
      </c>
      <c r="B1097" s="100">
        <v>2</v>
      </c>
      <c r="C1097" s="101">
        <v>46066</v>
      </c>
      <c r="D1097" s="101" t="str">
        <f t="shared" si="203"/>
        <v>RMF00000633Самарканд_Хуршед ака</v>
      </c>
      <c r="E1097" s="99" t="s">
        <v>1608</v>
      </c>
      <c r="F1097" s="102" t="s">
        <v>1462</v>
      </c>
      <c r="G1097" s="102" t="s">
        <v>272</v>
      </c>
      <c r="H1097" s="99" t="s">
        <v>1303</v>
      </c>
      <c r="I1097" s="102" t="s">
        <v>913</v>
      </c>
      <c r="J1097" s="102" t="s">
        <v>21</v>
      </c>
      <c r="K1097" s="103">
        <v>10</v>
      </c>
      <c r="L1097" s="104">
        <v>40621</v>
      </c>
      <c r="M1097" s="104">
        <v>406210</v>
      </c>
      <c r="N1097" s="39">
        <v>137000</v>
      </c>
      <c r="O1097" s="39"/>
      <c r="P1097" s="108">
        <f>+N1097+O1097</f>
        <v>137000</v>
      </c>
      <c r="Q1097" s="39">
        <v>100</v>
      </c>
      <c r="R1097" s="39">
        <f t="shared" si="204"/>
        <v>406210</v>
      </c>
      <c r="S1097" s="42">
        <f t="shared" si="205"/>
        <v>0</v>
      </c>
    </row>
    <row r="1098" spans="1:19">
      <c r="A1098" s="99">
        <v>2026</v>
      </c>
      <c r="B1098" s="100">
        <v>2</v>
      </c>
      <c r="C1098" s="101">
        <v>46066</v>
      </c>
      <c r="D1098" s="101" t="str">
        <f t="shared" si="203"/>
        <v>RMF00000635Сирдарё_Фотима опа</v>
      </c>
      <c r="E1098" s="99" t="s">
        <v>1609</v>
      </c>
      <c r="F1098" s="102" t="s">
        <v>284</v>
      </c>
      <c r="G1098" s="102" t="s">
        <v>281</v>
      </c>
      <c r="H1098" s="99" t="s">
        <v>1303</v>
      </c>
      <c r="I1098" s="102" t="s">
        <v>1449</v>
      </c>
      <c r="J1098" s="102" t="s">
        <v>38</v>
      </c>
      <c r="K1098" s="103">
        <v>30</v>
      </c>
      <c r="L1098" s="104">
        <v>65000</v>
      </c>
      <c r="M1098" s="104">
        <v>1950000</v>
      </c>
      <c r="N1098" s="39">
        <v>501000</v>
      </c>
      <c r="O1098" s="39"/>
      <c r="P1098" s="108">
        <f>+N1098+O1098</f>
        <v>501000</v>
      </c>
      <c r="Q1098" s="39">
        <v>100</v>
      </c>
      <c r="R1098" s="39">
        <f t="shared" si="204"/>
        <v>1950000</v>
      </c>
      <c r="S1098" s="42">
        <f t="shared" si="205"/>
        <v>0</v>
      </c>
    </row>
    <row r="1099" spans="1:19">
      <c r="A1099" s="99">
        <v>2026</v>
      </c>
      <c r="B1099" s="100">
        <v>2</v>
      </c>
      <c r="C1099" s="101">
        <v>46069</v>
      </c>
      <c r="D1099" s="101" t="str">
        <f t="shared" si="203"/>
        <v>RMF00000652Сирдарё_Фотима опа</v>
      </c>
      <c r="E1099" s="99" t="s">
        <v>1613</v>
      </c>
      <c r="F1099" s="102" t="s">
        <v>284</v>
      </c>
      <c r="G1099" s="102" t="s">
        <v>281</v>
      </c>
      <c r="H1099" s="99" t="s">
        <v>1303</v>
      </c>
      <c r="I1099" s="102" t="s">
        <v>25</v>
      </c>
      <c r="J1099" s="102" t="s">
        <v>38</v>
      </c>
      <c r="K1099" s="103">
        <v>50</v>
      </c>
      <c r="L1099" s="104">
        <v>65000</v>
      </c>
      <c r="M1099" s="104">
        <v>3250000</v>
      </c>
      <c r="N1099" s="39">
        <v>1898000</v>
      </c>
      <c r="O1099" s="39"/>
      <c r="P1099" s="108">
        <f>+N1099+O1099</f>
        <v>1898000</v>
      </c>
      <c r="Q1099" s="39">
        <v>100</v>
      </c>
      <c r="R1099" s="39">
        <f t="shared" si="204"/>
        <v>3250000</v>
      </c>
      <c r="S1099" s="42">
        <f t="shared" si="205"/>
        <v>0</v>
      </c>
    </row>
    <row r="1100" spans="1:19">
      <c r="A1100" s="99">
        <v>2026</v>
      </c>
      <c r="B1100" s="100">
        <v>2</v>
      </c>
      <c r="C1100" s="101">
        <v>46069</v>
      </c>
      <c r="D1100" s="101" t="str">
        <f t="shared" si="203"/>
        <v>RMF00000652Сирдарё_Фотима опа</v>
      </c>
      <c r="E1100" s="99" t="s">
        <v>1613</v>
      </c>
      <c r="F1100" s="102" t="s">
        <v>284</v>
      </c>
      <c r="G1100" s="102" t="s">
        <v>281</v>
      </c>
      <c r="H1100" s="99" t="s">
        <v>1303</v>
      </c>
      <c r="I1100" s="102" t="s">
        <v>25</v>
      </c>
      <c r="J1100" s="102" t="s">
        <v>466</v>
      </c>
      <c r="K1100" s="103">
        <v>30</v>
      </c>
      <c r="L1100" s="104">
        <v>120000</v>
      </c>
      <c r="M1100" s="104">
        <v>3600000</v>
      </c>
      <c r="N1100" s="39">
        <v>2293000</v>
      </c>
      <c r="O1100" s="39"/>
      <c r="P1100" s="108">
        <f>+N1100+O1100</f>
        <v>2293000</v>
      </c>
      <c r="Q1100" s="39">
        <v>100</v>
      </c>
      <c r="R1100" s="39">
        <f t="shared" si="204"/>
        <v>3600000</v>
      </c>
      <c r="S1100" s="42">
        <f t="shared" si="205"/>
        <v>0</v>
      </c>
    </row>
    <row r="1101" spans="1:19">
      <c r="A1101" s="99">
        <v>2026</v>
      </c>
      <c r="B1101" s="100">
        <v>2</v>
      </c>
      <c r="C1101" s="101">
        <v>46069</v>
      </c>
      <c r="D1101" s="101" t="str">
        <f t="shared" si="203"/>
        <v>RMF00000653Самарканд_Хуршед ака</v>
      </c>
      <c r="E1101" s="99" t="s">
        <v>1614</v>
      </c>
      <c r="F1101" s="102" t="s">
        <v>1462</v>
      </c>
      <c r="G1101" s="102" t="s">
        <v>272</v>
      </c>
      <c r="H1101" s="99" t="s">
        <v>1303</v>
      </c>
      <c r="I1101" s="102" t="s">
        <v>1458</v>
      </c>
      <c r="J1101" s="102" t="s">
        <v>21</v>
      </c>
      <c r="K1101" s="103">
        <v>90</v>
      </c>
      <c r="L1101" s="104">
        <v>40621</v>
      </c>
      <c r="M1101" s="104">
        <v>3655890</v>
      </c>
      <c r="N1101" s="39">
        <v>2788000</v>
      </c>
      <c r="O1101" s="39"/>
      <c r="P1101" s="108">
        <f>+N1101+O1101</f>
        <v>2788000</v>
      </c>
      <c r="Q1101" s="39">
        <v>100</v>
      </c>
      <c r="R1101" s="39">
        <f t="shared" si="204"/>
        <v>3655890</v>
      </c>
      <c r="S1101" s="42">
        <f t="shared" si="205"/>
        <v>0</v>
      </c>
    </row>
    <row r="1102" spans="1:19">
      <c r="A1102" s="99">
        <v>2026</v>
      </c>
      <c r="B1102" s="100">
        <v>2</v>
      </c>
      <c r="C1102" s="101">
        <v>46069</v>
      </c>
      <c r="D1102" s="101" t="str">
        <f t="shared" si="203"/>
        <v>RMF00000653Самарканд_Хуршед ака</v>
      </c>
      <c r="E1102" s="99" t="s">
        <v>1614</v>
      </c>
      <c r="F1102" s="102" t="s">
        <v>1462</v>
      </c>
      <c r="G1102" s="102" t="s">
        <v>272</v>
      </c>
      <c r="H1102" s="99" t="s">
        <v>1303</v>
      </c>
      <c r="I1102" s="102" t="s">
        <v>1458</v>
      </c>
      <c r="J1102" s="102" t="s">
        <v>21</v>
      </c>
      <c r="K1102" s="103">
        <v>30</v>
      </c>
      <c r="L1102" s="104">
        <v>40621.300000000003</v>
      </c>
      <c r="M1102" s="104">
        <v>1218639</v>
      </c>
      <c r="N1102" s="39">
        <v>2788000</v>
      </c>
      <c r="O1102" s="39"/>
      <c r="P1102" s="108">
        <f>+N1102+O1102</f>
        <v>2788000</v>
      </c>
      <c r="Q1102" s="39">
        <v>100</v>
      </c>
      <c r="R1102" s="39">
        <f t="shared" si="204"/>
        <v>1218639</v>
      </c>
      <c r="S1102" s="42">
        <f t="shared" si="205"/>
        <v>0</v>
      </c>
    </row>
    <row r="1103" spans="1:19">
      <c r="A1103" s="99">
        <v>2026</v>
      </c>
      <c r="B1103" s="100">
        <v>2</v>
      </c>
      <c r="C1103" s="101">
        <v>46069</v>
      </c>
      <c r="D1103" s="101" t="str">
        <f t="shared" si="203"/>
        <v>RMF00000660Сирдарё_Фотима опа</v>
      </c>
      <c r="E1103" s="99" t="s">
        <v>1615</v>
      </c>
      <c r="F1103" s="102" t="s">
        <v>284</v>
      </c>
      <c r="G1103" s="102" t="s">
        <v>281</v>
      </c>
      <c r="H1103" s="99" t="s">
        <v>1303</v>
      </c>
      <c r="I1103" s="102" t="s">
        <v>1492</v>
      </c>
      <c r="J1103" s="102" t="s">
        <v>21</v>
      </c>
      <c r="K1103" s="103">
        <v>100</v>
      </c>
      <c r="L1103" s="104">
        <v>40621</v>
      </c>
      <c r="M1103" s="104">
        <v>4062100</v>
      </c>
      <c r="N1103" s="39">
        <v>1948000</v>
      </c>
      <c r="O1103" s="39"/>
      <c r="P1103" s="108">
        <f>+N1103+O1103</f>
        <v>1948000</v>
      </c>
      <c r="Q1103" s="39">
        <v>100</v>
      </c>
      <c r="R1103" s="39">
        <f t="shared" si="204"/>
        <v>4062100</v>
      </c>
      <c r="S1103" s="42">
        <f t="shared" si="205"/>
        <v>0</v>
      </c>
    </row>
    <row r="1104" spans="1:19">
      <c r="A1104" s="99">
        <v>2026</v>
      </c>
      <c r="B1104" s="100">
        <v>2</v>
      </c>
      <c r="C1104" s="101">
        <v>46070</v>
      </c>
      <c r="D1104" s="101" t="str">
        <f t="shared" si="203"/>
        <v>RMF00000671Сирдарё_Фотима опа</v>
      </c>
      <c r="E1104" s="99" t="s">
        <v>1616</v>
      </c>
      <c r="F1104" s="102" t="s">
        <v>284</v>
      </c>
      <c r="G1104" s="102" t="s">
        <v>281</v>
      </c>
      <c r="H1104" s="99" t="s">
        <v>1303</v>
      </c>
      <c r="I1104" s="102" t="s">
        <v>1400</v>
      </c>
      <c r="J1104" s="102" t="s">
        <v>21</v>
      </c>
      <c r="K1104" s="103">
        <v>50</v>
      </c>
      <c r="L1104" s="104">
        <v>40621</v>
      </c>
      <c r="M1104" s="104">
        <v>2031050</v>
      </c>
      <c r="N1104" s="39">
        <v>383000</v>
      </c>
      <c r="O1104" s="39"/>
      <c r="P1104" s="108">
        <f>+N1104+O1104</f>
        <v>383000</v>
      </c>
      <c r="Q1104" s="39">
        <v>100</v>
      </c>
      <c r="R1104" s="39">
        <f t="shared" si="204"/>
        <v>2031050</v>
      </c>
      <c r="S1104" s="42">
        <f t="shared" si="205"/>
        <v>0</v>
      </c>
    </row>
    <row r="1105" spans="1:19">
      <c r="A1105" s="99">
        <v>2026</v>
      </c>
      <c r="B1105" s="100">
        <v>2</v>
      </c>
      <c r="C1105" s="101">
        <v>46070</v>
      </c>
      <c r="D1105" s="101" t="str">
        <f t="shared" si="203"/>
        <v>RMF00000671Сирдарё_Фотима опа</v>
      </c>
      <c r="E1105" s="99" t="s">
        <v>1616</v>
      </c>
      <c r="F1105" s="102" t="s">
        <v>284</v>
      </c>
      <c r="G1105" s="102" t="s">
        <v>281</v>
      </c>
      <c r="H1105" s="99" t="s">
        <v>1303</v>
      </c>
      <c r="I1105" s="102" t="s">
        <v>1400</v>
      </c>
      <c r="J1105" s="102" t="s">
        <v>466</v>
      </c>
      <c r="K1105" s="103">
        <v>50</v>
      </c>
      <c r="L1105" s="104">
        <v>120000</v>
      </c>
      <c r="M1105" s="104">
        <v>6000000</v>
      </c>
      <c r="N1105" s="39">
        <v>1082000</v>
      </c>
      <c r="O1105" s="39"/>
      <c r="P1105" s="108">
        <f>+N1105+O1105</f>
        <v>1082000</v>
      </c>
      <c r="Q1105" s="39">
        <v>100</v>
      </c>
      <c r="R1105" s="39">
        <f t="shared" si="204"/>
        <v>6000000</v>
      </c>
      <c r="S1105" s="42">
        <f t="shared" si="205"/>
        <v>0</v>
      </c>
    </row>
    <row r="1106" spans="1:19">
      <c r="A1106" s="99">
        <v>2026</v>
      </c>
      <c r="B1106" s="100">
        <v>2</v>
      </c>
      <c r="C1106" s="101">
        <v>46070</v>
      </c>
      <c r="D1106" s="101" t="str">
        <f t="shared" si="203"/>
        <v>RMF00000673Самарканд_Хуршед ака 2</v>
      </c>
      <c r="E1106" s="99" t="s">
        <v>1617</v>
      </c>
      <c r="F1106" s="102" t="s">
        <v>1618</v>
      </c>
      <c r="G1106" s="102" t="s">
        <v>871</v>
      </c>
      <c r="H1106" s="99" t="s">
        <v>1303</v>
      </c>
      <c r="I1106" s="102" t="s">
        <v>1545</v>
      </c>
      <c r="J1106" s="102" t="s">
        <v>38</v>
      </c>
      <c r="K1106" s="103">
        <v>100</v>
      </c>
      <c r="L1106" s="104">
        <v>65000</v>
      </c>
      <c r="M1106" s="104">
        <v>6500000</v>
      </c>
      <c r="N1106" s="39">
        <v>3797000</v>
      </c>
      <c r="O1106" s="39"/>
      <c r="P1106" s="108">
        <f>+N1106+O1106</f>
        <v>3797000</v>
      </c>
      <c r="Q1106" s="39">
        <v>100</v>
      </c>
      <c r="R1106" s="39">
        <f t="shared" si="204"/>
        <v>6500000</v>
      </c>
      <c r="S1106" s="42">
        <f t="shared" si="205"/>
        <v>0</v>
      </c>
    </row>
    <row r="1107" spans="1:19">
      <c r="A1107" s="99">
        <v>2026</v>
      </c>
      <c r="B1107" s="100">
        <v>2</v>
      </c>
      <c r="C1107" s="101">
        <v>46070</v>
      </c>
      <c r="D1107" s="101" t="str">
        <f t="shared" si="203"/>
        <v>RMF00000675Самарканд_Хуршед ака 2</v>
      </c>
      <c r="E1107" s="99" t="s">
        <v>1619</v>
      </c>
      <c r="F1107" s="102" t="s">
        <v>1620</v>
      </c>
      <c r="G1107" s="102" t="s">
        <v>871</v>
      </c>
      <c r="H1107" s="99" t="s">
        <v>1303</v>
      </c>
      <c r="I1107" s="102" t="s">
        <v>1388</v>
      </c>
      <c r="J1107" s="102" t="s">
        <v>38</v>
      </c>
      <c r="K1107" s="103">
        <v>20</v>
      </c>
      <c r="L1107" s="104">
        <v>65000</v>
      </c>
      <c r="M1107" s="104">
        <v>1300000</v>
      </c>
      <c r="N1107" s="39">
        <v>337000</v>
      </c>
      <c r="O1107" s="39"/>
      <c r="P1107" s="108">
        <f>+N1107+O1107</f>
        <v>337000</v>
      </c>
      <c r="Q1107" s="39">
        <v>100</v>
      </c>
      <c r="R1107" s="39">
        <f t="shared" si="204"/>
        <v>1300000</v>
      </c>
      <c r="S1107" s="42">
        <f t="shared" si="205"/>
        <v>0</v>
      </c>
    </row>
    <row r="1108" spans="1:19">
      <c r="A1108" s="99">
        <v>2026</v>
      </c>
      <c r="B1108" s="100">
        <v>2</v>
      </c>
      <c r="C1108" s="101">
        <v>46070</v>
      </c>
      <c r="D1108" s="101" t="str">
        <f t="shared" si="203"/>
        <v>RMF00000675Самарканд_Хуршед ака 2</v>
      </c>
      <c r="E1108" s="99" t="s">
        <v>1619</v>
      </c>
      <c r="F1108" s="102" t="s">
        <v>1620</v>
      </c>
      <c r="G1108" s="102" t="s">
        <v>871</v>
      </c>
      <c r="H1108" s="99" t="s">
        <v>1303</v>
      </c>
      <c r="I1108" s="102" t="s">
        <v>1388</v>
      </c>
      <c r="J1108" s="102" t="s">
        <v>41</v>
      </c>
      <c r="K1108" s="103">
        <v>25</v>
      </c>
      <c r="L1108" s="104">
        <v>90000</v>
      </c>
      <c r="M1108" s="104">
        <v>2250000</v>
      </c>
      <c r="N1108" s="39">
        <v>635000</v>
      </c>
      <c r="O1108" s="39"/>
      <c r="P1108" s="108">
        <f>+N1108+O1108</f>
        <v>635000</v>
      </c>
      <c r="Q1108" s="39">
        <v>100</v>
      </c>
      <c r="R1108" s="39">
        <f t="shared" si="204"/>
        <v>2250000</v>
      </c>
      <c r="S1108" s="42">
        <f t="shared" si="205"/>
        <v>0</v>
      </c>
    </row>
    <row r="1109" spans="1:19">
      <c r="A1109" s="99">
        <v>2026</v>
      </c>
      <c r="B1109" s="100">
        <v>2</v>
      </c>
      <c r="C1109" s="101">
        <v>46071</v>
      </c>
      <c r="D1109" s="101" t="str">
        <f t="shared" si="203"/>
        <v>RMF00000685Самарканд_Хуршед ака 2</v>
      </c>
      <c r="E1109" s="99" t="s">
        <v>1622</v>
      </c>
      <c r="F1109" s="102" t="s">
        <v>1618</v>
      </c>
      <c r="G1109" s="102" t="s">
        <v>871</v>
      </c>
      <c r="H1109" s="99" t="s">
        <v>1303</v>
      </c>
      <c r="I1109" s="102" t="s">
        <v>913</v>
      </c>
      <c r="J1109" s="102" t="s">
        <v>41</v>
      </c>
      <c r="K1109" s="103">
        <v>100</v>
      </c>
      <c r="L1109" s="104">
        <v>90000</v>
      </c>
      <c r="M1109" s="104">
        <v>9000000</v>
      </c>
      <c r="N1109" s="39">
        <v>1958000</v>
      </c>
      <c r="O1109" s="39"/>
      <c r="P1109" s="108">
        <f>+N1109+O1109</f>
        <v>1958000</v>
      </c>
      <c r="Q1109" s="39">
        <v>100</v>
      </c>
      <c r="R1109" s="39">
        <f t="shared" si="204"/>
        <v>9000000</v>
      </c>
      <c r="S1109" s="42">
        <f t="shared" si="205"/>
        <v>0</v>
      </c>
    </row>
    <row r="1110" spans="1:19">
      <c r="A1110" s="99">
        <v>2026</v>
      </c>
      <c r="B1110" s="100">
        <v>2</v>
      </c>
      <c r="C1110" s="101">
        <v>46071</v>
      </c>
      <c r="D1110" s="101" t="str">
        <f t="shared" si="203"/>
        <v>RMF00000686Фаргона_Зафаржон ака</v>
      </c>
      <c r="E1110" s="99" t="s">
        <v>1623</v>
      </c>
      <c r="F1110" s="102" t="s">
        <v>1553</v>
      </c>
      <c r="G1110" s="102" t="s">
        <v>1291</v>
      </c>
      <c r="H1110" s="99" t="s">
        <v>1303</v>
      </c>
      <c r="I1110" s="102" t="s">
        <v>1624</v>
      </c>
      <c r="J1110" s="102" t="s">
        <v>38</v>
      </c>
      <c r="K1110" s="103">
        <v>100</v>
      </c>
      <c r="L1110" s="104">
        <v>65000</v>
      </c>
      <c r="M1110" s="104">
        <v>6500000</v>
      </c>
      <c r="N1110" s="39">
        <v>1015000</v>
      </c>
      <c r="O1110" s="39"/>
      <c r="P1110" s="108">
        <f>+N1110+O1110</f>
        <v>1015000</v>
      </c>
      <c r="Q1110" s="39">
        <v>100</v>
      </c>
      <c r="R1110" s="39">
        <f t="shared" si="204"/>
        <v>6500000</v>
      </c>
      <c r="S1110" s="42">
        <f t="shared" si="205"/>
        <v>0</v>
      </c>
    </row>
    <row r="1111" spans="1:19">
      <c r="A1111" s="99">
        <v>2026</v>
      </c>
      <c r="B1111" s="100">
        <v>2</v>
      </c>
      <c r="C1111" s="101">
        <v>46071</v>
      </c>
      <c r="D1111" s="101" t="str">
        <f t="shared" si="203"/>
        <v>RMF00000688Самарканд_Хуршед ака</v>
      </c>
      <c r="E1111" s="99" t="s">
        <v>1625</v>
      </c>
      <c r="F1111" s="102" t="s">
        <v>1302</v>
      </c>
      <c r="G1111" s="102" t="s">
        <v>272</v>
      </c>
      <c r="H1111" s="99" t="s">
        <v>1303</v>
      </c>
      <c r="I1111" s="102" t="s">
        <v>989</v>
      </c>
      <c r="J1111" s="102" t="s">
        <v>41</v>
      </c>
      <c r="K1111" s="103">
        <v>15</v>
      </c>
      <c r="L1111" s="104">
        <v>90000</v>
      </c>
      <c r="M1111" s="104">
        <v>1350000</v>
      </c>
      <c r="N1111" s="39">
        <v>362000</v>
      </c>
      <c r="O1111" s="39"/>
      <c r="P1111" s="108">
        <f>+N1111+O1111</f>
        <v>362000</v>
      </c>
      <c r="Q1111" s="39">
        <v>100</v>
      </c>
      <c r="R1111" s="39">
        <f t="shared" si="204"/>
        <v>1350000</v>
      </c>
      <c r="S1111" s="42">
        <f t="shared" si="205"/>
        <v>0</v>
      </c>
    </row>
    <row r="1112" spans="1:19">
      <c r="A1112" s="99">
        <v>2026</v>
      </c>
      <c r="B1112" s="100">
        <v>2</v>
      </c>
      <c r="C1112" s="101">
        <v>46071</v>
      </c>
      <c r="D1112" s="101" t="str">
        <f t="shared" si="203"/>
        <v>RMF00000688Самарканд_Хуршед ака</v>
      </c>
      <c r="E1112" s="99" t="s">
        <v>1625</v>
      </c>
      <c r="F1112" s="102" t="s">
        <v>1302</v>
      </c>
      <c r="G1112" s="102" t="s">
        <v>272</v>
      </c>
      <c r="H1112" s="99" t="s">
        <v>1303</v>
      </c>
      <c r="I1112" s="102" t="s">
        <v>989</v>
      </c>
      <c r="J1112" s="102" t="s">
        <v>21</v>
      </c>
      <c r="K1112" s="103">
        <v>30</v>
      </c>
      <c r="L1112" s="104">
        <v>40621.300000000003</v>
      </c>
      <c r="M1112" s="104">
        <v>1218639</v>
      </c>
      <c r="N1112" s="39">
        <v>392000</v>
      </c>
      <c r="O1112" s="39"/>
      <c r="P1112" s="108">
        <f>+N1112+O1112</f>
        <v>392000</v>
      </c>
      <c r="Q1112" s="39">
        <v>100</v>
      </c>
      <c r="R1112" s="39">
        <f t="shared" si="204"/>
        <v>1218639</v>
      </c>
      <c r="S1112" s="42">
        <f t="shared" si="205"/>
        <v>0</v>
      </c>
    </row>
    <row r="1113" spans="1:19">
      <c r="A1113" s="99">
        <v>2026</v>
      </c>
      <c r="B1113" s="100">
        <v>2</v>
      </c>
      <c r="C1113" s="101">
        <v>46071</v>
      </c>
      <c r="D1113" s="101" t="str">
        <f t="shared" si="203"/>
        <v>RMF00000690Хоразм_Улугбек ака</v>
      </c>
      <c r="E1113" s="99" t="s">
        <v>1626</v>
      </c>
      <c r="F1113" s="102" t="s">
        <v>863</v>
      </c>
      <c r="G1113" s="102" t="s">
        <v>864</v>
      </c>
      <c r="H1113" s="99" t="s">
        <v>1303</v>
      </c>
      <c r="I1113" s="102" t="s">
        <v>865</v>
      </c>
      <c r="J1113" s="102" t="s">
        <v>46</v>
      </c>
      <c r="K1113" s="103">
        <v>350</v>
      </c>
      <c r="L1113" s="104">
        <v>64700</v>
      </c>
      <c r="M1113" s="104">
        <v>22645000</v>
      </c>
      <c r="N1113" s="39">
        <v>1815000</v>
      </c>
      <c r="O1113" s="39"/>
      <c r="P1113" s="108">
        <f>+N1113+O1113</f>
        <v>1815000</v>
      </c>
      <c r="Q1113" s="39">
        <v>100</v>
      </c>
      <c r="R1113" s="39">
        <f t="shared" si="204"/>
        <v>22645000</v>
      </c>
      <c r="S1113" s="42">
        <f t="shared" si="205"/>
        <v>0</v>
      </c>
    </row>
    <row r="1114" spans="1:19">
      <c r="A1114" s="99">
        <v>2026</v>
      </c>
      <c r="B1114" s="100">
        <v>2</v>
      </c>
      <c r="C1114" s="101">
        <v>46072</v>
      </c>
      <c r="D1114" s="101" t="str">
        <f t="shared" si="203"/>
        <v>RMF00000699Бухоро_Нафосат опа</v>
      </c>
      <c r="E1114" s="99" t="s">
        <v>1627</v>
      </c>
      <c r="F1114" s="102" t="s">
        <v>893</v>
      </c>
      <c r="G1114" s="102" t="s">
        <v>894</v>
      </c>
      <c r="H1114" s="99" t="s">
        <v>1303</v>
      </c>
      <c r="I1114" s="102" t="s">
        <v>1351</v>
      </c>
      <c r="J1114" s="102" t="s">
        <v>41</v>
      </c>
      <c r="K1114" s="103">
        <v>100</v>
      </c>
      <c r="L1114" s="104">
        <v>90000</v>
      </c>
      <c r="M1114" s="104">
        <v>9000000</v>
      </c>
      <c r="N1114" s="39">
        <v>2384000</v>
      </c>
      <c r="O1114" s="39"/>
      <c r="P1114" s="108">
        <f>+N1114+O1114</f>
        <v>2384000</v>
      </c>
      <c r="Q1114" s="39">
        <v>100</v>
      </c>
      <c r="R1114" s="39">
        <f t="shared" si="204"/>
        <v>9000000</v>
      </c>
      <c r="S1114" s="42">
        <f t="shared" si="205"/>
        <v>0</v>
      </c>
    </row>
    <row r="1115" spans="1:19">
      <c r="A1115" s="99">
        <v>2026</v>
      </c>
      <c r="B1115" s="100">
        <v>2</v>
      </c>
      <c r="C1115" s="101">
        <v>46072</v>
      </c>
      <c r="D1115" s="101" t="str">
        <f t="shared" si="203"/>
        <v>RMF00000702Бухоро_Нафосат опа</v>
      </c>
      <c r="E1115" s="99" t="s">
        <v>1628</v>
      </c>
      <c r="F1115" s="102" t="s">
        <v>893</v>
      </c>
      <c r="G1115" s="102" t="s">
        <v>894</v>
      </c>
      <c r="H1115" s="99" t="s">
        <v>1303</v>
      </c>
      <c r="I1115" s="102" t="s">
        <v>1629</v>
      </c>
      <c r="J1115" s="102" t="s">
        <v>41</v>
      </c>
      <c r="K1115" s="103">
        <v>50</v>
      </c>
      <c r="L1115" s="104">
        <v>90000</v>
      </c>
      <c r="M1115" s="104">
        <v>4500000</v>
      </c>
      <c r="N1115" s="39">
        <v>555000</v>
      </c>
      <c r="O1115" s="39"/>
      <c r="P1115" s="108">
        <f>+N1115+O1115</f>
        <v>555000</v>
      </c>
      <c r="Q1115" s="39">
        <v>100</v>
      </c>
      <c r="R1115" s="39">
        <f t="shared" si="204"/>
        <v>4500000</v>
      </c>
      <c r="S1115" s="42">
        <f t="shared" si="205"/>
        <v>0</v>
      </c>
    </row>
    <row r="1116" spans="1:19">
      <c r="A1116" s="99">
        <v>2026</v>
      </c>
      <c r="B1116" s="100">
        <v>2</v>
      </c>
      <c r="C1116" s="101">
        <v>46072</v>
      </c>
      <c r="D1116" s="101" t="str">
        <f t="shared" si="203"/>
        <v>RMF00000711Самарканд_Хуршед ака 2</v>
      </c>
      <c r="E1116" s="99" t="s">
        <v>1630</v>
      </c>
      <c r="F1116" s="102" t="s">
        <v>1590</v>
      </c>
      <c r="G1116" s="102" t="s">
        <v>871</v>
      </c>
      <c r="H1116" s="99" t="s">
        <v>1303</v>
      </c>
      <c r="I1116" s="102" t="s">
        <v>1107</v>
      </c>
      <c r="J1116" s="102" t="s">
        <v>38</v>
      </c>
      <c r="K1116" s="103">
        <v>10</v>
      </c>
      <c r="L1116" s="104">
        <v>65000</v>
      </c>
      <c r="M1116" s="104">
        <v>650000</v>
      </c>
      <c r="N1116" s="39">
        <v>380000</v>
      </c>
      <c r="O1116" s="39"/>
      <c r="P1116" s="108">
        <f>+N1116+O1116</f>
        <v>380000</v>
      </c>
      <c r="Q1116" s="39">
        <v>100</v>
      </c>
      <c r="R1116" s="39">
        <f t="shared" si="204"/>
        <v>650000</v>
      </c>
      <c r="S1116" s="42">
        <f t="shared" si="205"/>
        <v>0</v>
      </c>
    </row>
    <row r="1117" spans="1:19">
      <c r="A1117" s="99">
        <v>2026</v>
      </c>
      <c r="B1117" s="100">
        <v>2</v>
      </c>
      <c r="C1117" s="101">
        <v>46072</v>
      </c>
      <c r="D1117" s="101" t="str">
        <f t="shared" si="203"/>
        <v>RMF00000711Самарканд_Хуршед ака 2</v>
      </c>
      <c r="E1117" s="99" t="s">
        <v>1630</v>
      </c>
      <c r="F1117" s="102" t="s">
        <v>1590</v>
      </c>
      <c r="G1117" s="102" t="s">
        <v>871</v>
      </c>
      <c r="H1117" s="99" t="s">
        <v>1303</v>
      </c>
      <c r="I1117" s="102" t="s">
        <v>1107</v>
      </c>
      <c r="J1117" s="102" t="s">
        <v>466</v>
      </c>
      <c r="K1117" s="103">
        <v>10</v>
      </c>
      <c r="L1117" s="104">
        <v>120000</v>
      </c>
      <c r="M1117" s="104">
        <v>1200000</v>
      </c>
      <c r="N1117" s="39">
        <v>820000</v>
      </c>
      <c r="O1117" s="39"/>
      <c r="P1117" s="108">
        <f>+N1117+O1117</f>
        <v>820000</v>
      </c>
      <c r="Q1117" s="39">
        <v>100</v>
      </c>
      <c r="R1117" s="39">
        <f t="shared" si="204"/>
        <v>1200000</v>
      </c>
      <c r="S1117" s="42">
        <f t="shared" si="205"/>
        <v>0</v>
      </c>
    </row>
    <row r="1118" spans="1:19">
      <c r="A1118" s="99">
        <v>2026</v>
      </c>
      <c r="B1118" s="100">
        <v>2</v>
      </c>
      <c r="C1118" s="101">
        <v>46072</v>
      </c>
      <c r="D1118" s="101" t="str">
        <f t="shared" si="203"/>
        <v>RMF00000711Самарканд_Хуршед ака 2</v>
      </c>
      <c r="E1118" s="99" t="s">
        <v>1630</v>
      </c>
      <c r="F1118" s="102" t="s">
        <v>1590</v>
      </c>
      <c r="G1118" s="102" t="s">
        <v>871</v>
      </c>
      <c r="H1118" s="99" t="s">
        <v>1303</v>
      </c>
      <c r="I1118" s="102" t="s">
        <v>1107</v>
      </c>
      <c r="J1118" s="102" t="s">
        <v>41</v>
      </c>
      <c r="K1118" s="103">
        <v>10</v>
      </c>
      <c r="L1118" s="104">
        <v>90000</v>
      </c>
      <c r="M1118" s="104">
        <v>900000</v>
      </c>
      <c r="N1118" s="39">
        <v>572000</v>
      </c>
      <c r="O1118" s="39"/>
      <c r="P1118" s="108">
        <f>+N1118+O1118</f>
        <v>572000</v>
      </c>
      <c r="Q1118" s="39">
        <v>100</v>
      </c>
      <c r="R1118" s="39">
        <f t="shared" si="204"/>
        <v>900000</v>
      </c>
      <c r="S1118" s="42">
        <f t="shared" si="205"/>
        <v>0</v>
      </c>
    </row>
    <row r="1119" spans="1:19">
      <c r="A1119" s="99">
        <v>2026</v>
      </c>
      <c r="B1119" s="100">
        <v>2</v>
      </c>
      <c r="C1119" s="101">
        <v>46072</v>
      </c>
      <c r="D1119" s="101" t="str">
        <f t="shared" si="203"/>
        <v>RMF00000715Сирдарё_Фотима опа</v>
      </c>
      <c r="E1119" s="99" t="s">
        <v>1631</v>
      </c>
      <c r="F1119" s="102" t="s">
        <v>284</v>
      </c>
      <c r="G1119" s="102" t="s">
        <v>281</v>
      </c>
      <c r="H1119" s="99" t="s">
        <v>1303</v>
      </c>
      <c r="I1119" s="102" t="s">
        <v>1311</v>
      </c>
      <c r="J1119" s="102" t="s">
        <v>21</v>
      </c>
      <c r="K1119" s="103">
        <v>50</v>
      </c>
      <c r="L1119" s="104">
        <v>40621</v>
      </c>
      <c r="M1119" s="104">
        <v>2031050</v>
      </c>
      <c r="N1119" s="39">
        <v>637000</v>
      </c>
      <c r="O1119" s="39"/>
      <c r="P1119" s="108">
        <f>+N1119+O1119</f>
        <v>637000</v>
      </c>
      <c r="Q1119" s="39">
        <v>100</v>
      </c>
      <c r="R1119" s="39">
        <f t="shared" si="204"/>
        <v>2031050</v>
      </c>
      <c r="S1119" s="42">
        <f t="shared" si="205"/>
        <v>0</v>
      </c>
    </row>
    <row r="1120" spans="1:19">
      <c r="A1120" s="99">
        <v>2026</v>
      </c>
      <c r="B1120" s="100">
        <v>2</v>
      </c>
      <c r="C1120" s="101">
        <v>46073</v>
      </c>
      <c r="D1120" s="101" t="str">
        <f t="shared" si="203"/>
        <v>RMF00000718Андижон_Жонибек ака (S)</v>
      </c>
      <c r="E1120" s="99" t="s">
        <v>1632</v>
      </c>
      <c r="F1120" s="102" t="s">
        <v>1383</v>
      </c>
      <c r="G1120" s="102" t="s">
        <v>1280</v>
      </c>
      <c r="H1120" s="99" t="s">
        <v>1303</v>
      </c>
      <c r="I1120" s="102" t="s">
        <v>1633</v>
      </c>
      <c r="J1120" s="102" t="s">
        <v>41</v>
      </c>
      <c r="K1120" s="103">
        <v>50</v>
      </c>
      <c r="L1120" s="104">
        <v>90000</v>
      </c>
      <c r="M1120" s="104">
        <v>4500000</v>
      </c>
      <c r="N1120" s="39">
        <v>2861000</v>
      </c>
      <c r="O1120" s="39"/>
      <c r="P1120" s="108">
        <f>+N1120+O1120</f>
        <v>2861000</v>
      </c>
      <c r="Q1120" s="39">
        <v>100</v>
      </c>
      <c r="R1120" s="39">
        <f t="shared" si="204"/>
        <v>4500000</v>
      </c>
      <c r="S1120" s="42">
        <f t="shared" si="205"/>
        <v>0</v>
      </c>
    </row>
    <row r="1121" spans="1:19">
      <c r="A1121" s="99">
        <v>2026</v>
      </c>
      <c r="B1121" s="100">
        <v>2</v>
      </c>
      <c r="C1121" s="101">
        <v>46073</v>
      </c>
      <c r="D1121" s="101" t="str">
        <f t="shared" si="203"/>
        <v>RMF00000719Самарканд_Хуршед ака 2</v>
      </c>
      <c r="E1121" s="99" t="s">
        <v>1634</v>
      </c>
      <c r="F1121" s="102" t="s">
        <v>1618</v>
      </c>
      <c r="G1121" s="102" t="s">
        <v>871</v>
      </c>
      <c r="H1121" s="99" t="s">
        <v>1303</v>
      </c>
      <c r="I1121" s="102" t="s">
        <v>944</v>
      </c>
      <c r="J1121" s="102" t="s">
        <v>41</v>
      </c>
      <c r="K1121" s="103">
        <v>20</v>
      </c>
      <c r="L1121" s="104">
        <v>90000</v>
      </c>
      <c r="M1121" s="104">
        <v>1800000</v>
      </c>
      <c r="N1121" s="39">
        <v>504000</v>
      </c>
      <c r="O1121" s="39"/>
      <c r="P1121" s="108">
        <f>+N1121+O1121</f>
        <v>504000</v>
      </c>
      <c r="Q1121" s="39">
        <v>100</v>
      </c>
      <c r="R1121" s="39">
        <f t="shared" si="204"/>
        <v>1800000</v>
      </c>
      <c r="S1121" s="42">
        <f t="shared" si="205"/>
        <v>0</v>
      </c>
    </row>
    <row r="1122" spans="1:19">
      <c r="A1122" s="99">
        <v>2026</v>
      </c>
      <c r="B1122" s="100">
        <v>2</v>
      </c>
      <c r="C1122" s="101">
        <v>46073</v>
      </c>
      <c r="D1122" s="101" t="str">
        <f t="shared" si="203"/>
        <v>RMF00000719Самарканд_Хуршед ака 2</v>
      </c>
      <c r="E1122" s="99" t="s">
        <v>1634</v>
      </c>
      <c r="F1122" s="102" t="s">
        <v>1618</v>
      </c>
      <c r="G1122" s="102" t="s">
        <v>871</v>
      </c>
      <c r="H1122" s="99" t="s">
        <v>1303</v>
      </c>
      <c r="I1122" s="102" t="s">
        <v>944</v>
      </c>
      <c r="J1122" s="102" t="s">
        <v>38</v>
      </c>
      <c r="K1122" s="103">
        <v>20</v>
      </c>
      <c r="L1122" s="104">
        <v>65000</v>
      </c>
      <c r="M1122" s="104">
        <v>1300000</v>
      </c>
      <c r="N1122" s="39">
        <v>334000</v>
      </c>
      <c r="O1122" s="39"/>
      <c r="P1122" s="108">
        <f>+N1122+O1122</f>
        <v>334000</v>
      </c>
      <c r="Q1122" s="39">
        <v>100</v>
      </c>
      <c r="R1122" s="39">
        <f t="shared" si="204"/>
        <v>1300000</v>
      </c>
      <c r="S1122" s="42">
        <f t="shared" si="205"/>
        <v>0</v>
      </c>
    </row>
    <row r="1123" spans="1:19">
      <c r="A1123" s="99">
        <v>2026</v>
      </c>
      <c r="B1123" s="100">
        <v>2</v>
      </c>
      <c r="C1123" s="101">
        <v>46073</v>
      </c>
      <c r="D1123" s="101" t="str">
        <f t="shared" si="203"/>
        <v>RMF00000728Самарканд_Хуршед ака</v>
      </c>
      <c r="E1123" s="99" t="s">
        <v>1635</v>
      </c>
      <c r="F1123" s="102" t="s">
        <v>1302</v>
      </c>
      <c r="G1123" s="102" t="s">
        <v>272</v>
      </c>
      <c r="H1123" s="99" t="s">
        <v>1303</v>
      </c>
      <c r="I1123" s="102" t="s">
        <v>936</v>
      </c>
      <c r="J1123" s="102" t="s">
        <v>466</v>
      </c>
      <c r="K1123" s="103">
        <v>10</v>
      </c>
      <c r="L1123" s="104">
        <v>120000</v>
      </c>
      <c r="M1123" s="104">
        <v>1200000</v>
      </c>
      <c r="N1123" s="39">
        <v>820000</v>
      </c>
      <c r="O1123" s="39"/>
      <c r="P1123" s="108">
        <f>+N1123+O1123</f>
        <v>820000</v>
      </c>
      <c r="Q1123" s="39">
        <v>100</v>
      </c>
      <c r="R1123" s="39">
        <f t="shared" si="204"/>
        <v>1200000</v>
      </c>
      <c r="S1123" s="42">
        <f t="shared" si="205"/>
        <v>0</v>
      </c>
    </row>
    <row r="1124" spans="1:19">
      <c r="A1124" s="99">
        <v>2026</v>
      </c>
      <c r="B1124" s="100">
        <v>2</v>
      </c>
      <c r="C1124" s="101">
        <v>46073</v>
      </c>
      <c r="D1124" s="101" t="str">
        <f t="shared" si="203"/>
        <v>RMF00000728Самарканд_Хуршед ака</v>
      </c>
      <c r="E1124" s="99" t="s">
        <v>1635</v>
      </c>
      <c r="F1124" s="102" t="s">
        <v>1302</v>
      </c>
      <c r="G1124" s="102" t="s">
        <v>272</v>
      </c>
      <c r="H1124" s="99" t="s">
        <v>1303</v>
      </c>
      <c r="I1124" s="102" t="s">
        <v>936</v>
      </c>
      <c r="J1124" s="102" t="s">
        <v>41</v>
      </c>
      <c r="K1124" s="103">
        <v>10</v>
      </c>
      <c r="L1124" s="104">
        <v>90000</v>
      </c>
      <c r="M1124" s="104">
        <v>900000</v>
      </c>
      <c r="N1124" s="39">
        <v>572000</v>
      </c>
      <c r="O1124" s="39"/>
      <c r="P1124" s="108">
        <f>+N1124+O1124</f>
        <v>572000</v>
      </c>
      <c r="Q1124" s="39">
        <v>100</v>
      </c>
      <c r="R1124" s="39">
        <f t="shared" si="204"/>
        <v>900000</v>
      </c>
      <c r="S1124" s="42">
        <f t="shared" si="205"/>
        <v>0</v>
      </c>
    </row>
    <row r="1125" spans="1:19">
      <c r="A1125" s="99">
        <v>2026</v>
      </c>
      <c r="B1125" s="100">
        <v>2</v>
      </c>
      <c r="C1125" s="101">
        <v>46073</v>
      </c>
      <c r="D1125" s="101" t="str">
        <f t="shared" si="203"/>
        <v>RMF00000729Самарканд_Хуршед ака 2</v>
      </c>
      <c r="E1125" s="99" t="s">
        <v>1636</v>
      </c>
      <c r="F1125" s="102" t="s">
        <v>1620</v>
      </c>
      <c r="G1125" s="102" t="s">
        <v>871</v>
      </c>
      <c r="H1125" s="99" t="s">
        <v>1303</v>
      </c>
      <c r="I1125" s="102" t="s">
        <v>1637</v>
      </c>
      <c r="J1125" s="102" t="s">
        <v>41</v>
      </c>
      <c r="K1125" s="103">
        <v>30</v>
      </c>
      <c r="L1125" s="104">
        <v>90000</v>
      </c>
      <c r="M1125" s="104">
        <v>2700000</v>
      </c>
      <c r="N1125" s="39">
        <v>784000</v>
      </c>
      <c r="O1125" s="39"/>
      <c r="P1125" s="108">
        <f>+N1125+O1125</f>
        <v>784000</v>
      </c>
      <c r="Q1125" s="39">
        <v>100</v>
      </c>
      <c r="R1125" s="39">
        <f t="shared" si="204"/>
        <v>2700000</v>
      </c>
      <c r="S1125" s="42">
        <f t="shared" si="205"/>
        <v>0</v>
      </c>
    </row>
    <row r="1126" spans="1:19">
      <c r="A1126" s="99">
        <v>2026</v>
      </c>
      <c r="B1126" s="100">
        <v>2</v>
      </c>
      <c r="C1126" s="101">
        <v>46073</v>
      </c>
      <c r="D1126" s="101" t="str">
        <f t="shared" si="203"/>
        <v>RMF00000729Самарканд_Хуршед ака 2</v>
      </c>
      <c r="E1126" s="99" t="s">
        <v>1636</v>
      </c>
      <c r="F1126" s="102" t="s">
        <v>1620</v>
      </c>
      <c r="G1126" s="102" t="s">
        <v>871</v>
      </c>
      <c r="H1126" s="99" t="s">
        <v>1303</v>
      </c>
      <c r="I1126" s="102" t="s">
        <v>1637</v>
      </c>
      <c r="J1126" s="102" t="s">
        <v>38</v>
      </c>
      <c r="K1126" s="103">
        <v>20</v>
      </c>
      <c r="L1126" s="104">
        <v>65000</v>
      </c>
      <c r="M1126" s="104">
        <v>1300000</v>
      </c>
      <c r="N1126" s="39">
        <v>347000</v>
      </c>
      <c r="O1126" s="39"/>
      <c r="P1126" s="108">
        <f>+N1126+O1126</f>
        <v>347000</v>
      </c>
      <c r="Q1126" s="39">
        <v>100</v>
      </c>
      <c r="R1126" s="39">
        <f t="shared" si="204"/>
        <v>1300000</v>
      </c>
      <c r="S1126" s="42">
        <f t="shared" si="205"/>
        <v>0</v>
      </c>
    </row>
    <row r="1127" spans="1:19">
      <c r="A1127" s="99">
        <v>2026</v>
      </c>
      <c r="B1127" s="100">
        <v>2</v>
      </c>
      <c r="C1127" s="101">
        <v>46073</v>
      </c>
      <c r="D1127" s="101" t="str">
        <f t="shared" si="203"/>
        <v>RMF00000731Самарканд_Хуршед ака</v>
      </c>
      <c r="E1127" s="99" t="s">
        <v>1638</v>
      </c>
      <c r="F1127" s="102" t="s">
        <v>1302</v>
      </c>
      <c r="G1127" s="102" t="s">
        <v>272</v>
      </c>
      <c r="H1127" s="99" t="s">
        <v>1303</v>
      </c>
      <c r="I1127" s="102" t="s">
        <v>923</v>
      </c>
      <c r="J1127" s="102" t="s">
        <v>21</v>
      </c>
      <c r="K1127" s="103">
        <v>10</v>
      </c>
      <c r="L1127" s="104">
        <v>40621.300000000003</v>
      </c>
      <c r="M1127" s="104">
        <v>406213</v>
      </c>
      <c r="N1127" s="39">
        <v>136000</v>
      </c>
      <c r="O1127" s="39"/>
      <c r="P1127" s="108">
        <f>+N1127+O1127</f>
        <v>136000</v>
      </c>
      <c r="Q1127" s="39">
        <v>100</v>
      </c>
      <c r="R1127" s="39">
        <f t="shared" si="204"/>
        <v>406213</v>
      </c>
      <c r="S1127" s="42">
        <f t="shared" si="205"/>
        <v>0</v>
      </c>
    </row>
    <row r="1128" spans="1:19">
      <c r="A1128" s="99">
        <v>2026</v>
      </c>
      <c r="B1128" s="100">
        <v>2</v>
      </c>
      <c r="C1128" s="101">
        <v>46073</v>
      </c>
      <c r="D1128" s="101" t="str">
        <f t="shared" si="203"/>
        <v>RMF00000731Самарканд_Хуршед ака</v>
      </c>
      <c r="E1128" s="99" t="s">
        <v>1638</v>
      </c>
      <c r="F1128" s="102" t="s">
        <v>1302</v>
      </c>
      <c r="G1128" s="102" t="s">
        <v>272</v>
      </c>
      <c r="H1128" s="99" t="s">
        <v>1303</v>
      </c>
      <c r="I1128" s="102" t="s">
        <v>923</v>
      </c>
      <c r="J1128" s="102" t="s">
        <v>21</v>
      </c>
      <c r="K1128" s="103">
        <v>30</v>
      </c>
      <c r="L1128" s="104">
        <v>40621</v>
      </c>
      <c r="M1128" s="104">
        <v>1218630</v>
      </c>
      <c r="N1128" s="39">
        <v>136000</v>
      </c>
      <c r="O1128" s="39"/>
      <c r="P1128" s="108">
        <f>+N1128+O1128</f>
        <v>136000</v>
      </c>
      <c r="Q1128" s="39">
        <v>100</v>
      </c>
      <c r="R1128" s="39">
        <f t="shared" si="204"/>
        <v>1218630</v>
      </c>
      <c r="S1128" s="42">
        <f t="shared" si="205"/>
        <v>0</v>
      </c>
    </row>
    <row r="1129" spans="1:19">
      <c r="A1129" s="99">
        <v>2026</v>
      </c>
      <c r="B1129" s="100">
        <v>2</v>
      </c>
      <c r="C1129" s="101">
        <v>46073</v>
      </c>
      <c r="D1129" s="101" t="str">
        <f t="shared" si="203"/>
        <v>RMF00000731Самарканд_Хуршед ака</v>
      </c>
      <c r="E1129" s="99" t="s">
        <v>1638</v>
      </c>
      <c r="F1129" s="102" t="s">
        <v>1302</v>
      </c>
      <c r="G1129" s="102" t="s">
        <v>272</v>
      </c>
      <c r="H1129" s="99" t="s">
        <v>1303</v>
      </c>
      <c r="I1129" s="102" t="s">
        <v>923</v>
      </c>
      <c r="J1129" s="102" t="s">
        <v>41</v>
      </c>
      <c r="K1129" s="103">
        <v>50</v>
      </c>
      <c r="L1129" s="104">
        <v>90000</v>
      </c>
      <c r="M1129" s="104">
        <v>4500000</v>
      </c>
      <c r="N1129" s="39">
        <v>1253000</v>
      </c>
      <c r="O1129" s="39"/>
      <c r="P1129" s="108">
        <f>+N1129+O1129</f>
        <v>1253000</v>
      </c>
      <c r="Q1129" s="39">
        <v>100</v>
      </c>
      <c r="R1129" s="39">
        <f t="shared" si="204"/>
        <v>4500000</v>
      </c>
      <c r="S1129" s="42">
        <f t="shared" si="205"/>
        <v>0</v>
      </c>
    </row>
    <row r="1130" spans="1:19">
      <c r="A1130" s="99">
        <v>2026</v>
      </c>
      <c r="B1130" s="100">
        <v>2</v>
      </c>
      <c r="C1130" s="101">
        <v>46073</v>
      </c>
      <c r="D1130" s="101" t="str">
        <f t="shared" si="203"/>
        <v>RMF00000732Сирдарё_Фотима опа</v>
      </c>
      <c r="E1130" s="99" t="s">
        <v>1639</v>
      </c>
      <c r="F1130" s="102" t="s">
        <v>284</v>
      </c>
      <c r="G1130" s="102" t="s">
        <v>281</v>
      </c>
      <c r="H1130" s="99" t="s">
        <v>1303</v>
      </c>
      <c r="I1130" s="102" t="s">
        <v>867</v>
      </c>
      <c r="J1130" s="102" t="s">
        <v>21</v>
      </c>
      <c r="K1130" s="103">
        <v>30</v>
      </c>
      <c r="L1130" s="104">
        <v>40621</v>
      </c>
      <c r="M1130" s="104">
        <v>1218630</v>
      </c>
      <c r="N1130" s="39">
        <v>382000</v>
      </c>
      <c r="O1130" s="39"/>
      <c r="P1130" s="108">
        <f>+N1130+O1130</f>
        <v>382000</v>
      </c>
      <c r="Q1130" s="39">
        <v>100</v>
      </c>
      <c r="R1130" s="39">
        <f t="shared" si="204"/>
        <v>1218630</v>
      </c>
      <c r="S1130" s="42">
        <f t="shared" si="205"/>
        <v>0</v>
      </c>
    </row>
    <row r="1131" spans="1:19">
      <c r="A1131" s="99">
        <v>2026</v>
      </c>
      <c r="B1131" s="100">
        <v>2</v>
      </c>
      <c r="C1131" s="101">
        <v>46073</v>
      </c>
      <c r="D1131" s="101" t="str">
        <f t="shared" si="203"/>
        <v>RMF00000734Сурхондарьё_Анвар ака</v>
      </c>
      <c r="E1131" s="99" t="s">
        <v>1640</v>
      </c>
      <c r="F1131" s="102" t="s">
        <v>1578</v>
      </c>
      <c r="G1131" s="102" t="s">
        <v>875</v>
      </c>
      <c r="H1131" s="99" t="s">
        <v>1303</v>
      </c>
      <c r="I1131" s="102" t="s">
        <v>1641</v>
      </c>
      <c r="J1131" s="102" t="s">
        <v>38</v>
      </c>
      <c r="K1131" s="103">
        <v>50</v>
      </c>
      <c r="L1131" s="104">
        <v>65000</v>
      </c>
      <c r="M1131" s="104">
        <v>3250000</v>
      </c>
      <c r="N1131" s="39">
        <v>234000</v>
      </c>
      <c r="O1131" s="39"/>
      <c r="P1131" s="108">
        <f>+N1131+O1131</f>
        <v>234000</v>
      </c>
      <c r="Q1131" s="39">
        <v>22</v>
      </c>
      <c r="R1131" s="39">
        <f t="shared" si="204"/>
        <v>715000</v>
      </c>
      <c r="S1131" s="42">
        <f t="shared" si="205"/>
        <v>2535000</v>
      </c>
    </row>
    <row r="1132" spans="1:19">
      <c r="A1132" s="99">
        <v>2026</v>
      </c>
      <c r="B1132" s="100">
        <v>2</v>
      </c>
      <c r="C1132" s="101">
        <v>46076</v>
      </c>
      <c r="D1132" s="101" t="str">
        <f t="shared" si="203"/>
        <v>RMF00000739Сурхондарьё_Анвар ака</v>
      </c>
      <c r="E1132" s="99" t="s">
        <v>1642</v>
      </c>
      <c r="F1132" s="102" t="s">
        <v>1578</v>
      </c>
      <c r="G1132" s="102" t="s">
        <v>875</v>
      </c>
      <c r="H1132" s="99" t="s">
        <v>1303</v>
      </c>
      <c r="I1132" s="102" t="s">
        <v>1643</v>
      </c>
      <c r="J1132" s="102" t="s">
        <v>38</v>
      </c>
      <c r="K1132" s="103">
        <v>20</v>
      </c>
      <c r="L1132" s="104">
        <v>65000</v>
      </c>
      <c r="M1132" s="104">
        <v>1300000</v>
      </c>
      <c r="N1132" s="39">
        <v>759000</v>
      </c>
      <c r="O1132" s="39"/>
      <c r="P1132" s="108">
        <f>+N1132+O1132</f>
        <v>759000</v>
      </c>
      <c r="Q1132" s="39">
        <v>100</v>
      </c>
      <c r="R1132" s="39">
        <f t="shared" si="204"/>
        <v>1300000</v>
      </c>
      <c r="S1132" s="42">
        <f t="shared" si="205"/>
        <v>0</v>
      </c>
    </row>
    <row r="1133" spans="1:19">
      <c r="A1133" s="99">
        <v>2026</v>
      </c>
      <c r="B1133" s="100">
        <v>2</v>
      </c>
      <c r="C1133" s="101">
        <v>46076</v>
      </c>
      <c r="D1133" s="101" t="str">
        <f t="shared" si="203"/>
        <v>RMF00000745Фаргона_Зафаржон ака</v>
      </c>
      <c r="E1133" s="99" t="s">
        <v>1644</v>
      </c>
      <c r="F1133" s="102" t="s">
        <v>1553</v>
      </c>
      <c r="G1133" s="102" t="s">
        <v>1291</v>
      </c>
      <c r="H1133" s="99" t="s">
        <v>1303</v>
      </c>
      <c r="I1133" s="102" t="s">
        <v>1490</v>
      </c>
      <c r="J1133" s="102" t="s">
        <v>38</v>
      </c>
      <c r="K1133" s="103">
        <v>100</v>
      </c>
      <c r="L1133" s="104">
        <v>65000</v>
      </c>
      <c r="M1133" s="104">
        <v>6500000</v>
      </c>
      <c r="N1133" s="39">
        <v>1671000</v>
      </c>
      <c r="O1133" s="39"/>
      <c r="P1133" s="108">
        <f>+N1133+O1133</f>
        <v>1671000</v>
      </c>
      <c r="Q1133" s="39">
        <v>100</v>
      </c>
      <c r="R1133" s="39">
        <f t="shared" si="204"/>
        <v>6500000</v>
      </c>
      <c r="S1133" s="42">
        <f t="shared" si="205"/>
        <v>0</v>
      </c>
    </row>
    <row r="1134" spans="1:19">
      <c r="A1134" s="99">
        <v>2026</v>
      </c>
      <c r="B1134" s="100">
        <v>2</v>
      </c>
      <c r="C1134" s="101">
        <v>46076</v>
      </c>
      <c r="D1134" s="101" t="str">
        <f t="shared" si="203"/>
        <v>RMF00000754Самарканд_Хуршед ака</v>
      </c>
      <c r="E1134" s="99" t="s">
        <v>1645</v>
      </c>
      <c r="F1134" s="102" t="s">
        <v>1302</v>
      </c>
      <c r="G1134" s="102" t="s">
        <v>272</v>
      </c>
      <c r="H1134" s="99" t="s">
        <v>1303</v>
      </c>
      <c r="I1134" s="102" t="s">
        <v>925</v>
      </c>
      <c r="J1134" s="102" t="s">
        <v>41</v>
      </c>
      <c r="K1134" s="103">
        <v>40</v>
      </c>
      <c r="L1134" s="104">
        <v>90000</v>
      </c>
      <c r="M1134" s="104">
        <v>3600000</v>
      </c>
      <c r="N1134" s="39">
        <v>656000</v>
      </c>
      <c r="O1134" s="39"/>
      <c r="P1134" s="108">
        <f>+N1134+O1134</f>
        <v>656000</v>
      </c>
      <c r="Q1134" s="39">
        <v>100</v>
      </c>
      <c r="R1134" s="39">
        <f t="shared" si="204"/>
        <v>3600000</v>
      </c>
      <c r="S1134" s="42">
        <f t="shared" si="205"/>
        <v>0</v>
      </c>
    </row>
    <row r="1135" spans="1:19">
      <c r="A1135" s="99">
        <v>2026</v>
      </c>
      <c r="B1135" s="100">
        <v>2</v>
      </c>
      <c r="C1135" s="101">
        <v>46076</v>
      </c>
      <c r="D1135" s="101" t="str">
        <f t="shared" si="203"/>
        <v>RMF00000754Самарканд_Хуршед ака</v>
      </c>
      <c r="E1135" s="99" t="s">
        <v>1645</v>
      </c>
      <c r="F1135" s="102" t="s">
        <v>1302</v>
      </c>
      <c r="G1135" s="102" t="s">
        <v>272</v>
      </c>
      <c r="H1135" s="99" t="s">
        <v>1303</v>
      </c>
      <c r="I1135" s="102" t="s">
        <v>925</v>
      </c>
      <c r="J1135" s="102" t="s">
        <v>466</v>
      </c>
      <c r="K1135" s="103">
        <v>40</v>
      </c>
      <c r="L1135" s="104">
        <v>120000</v>
      </c>
      <c r="M1135" s="104">
        <v>4800000</v>
      </c>
      <c r="N1135" s="39">
        <v>951000</v>
      </c>
      <c r="O1135" s="39"/>
      <c r="P1135" s="108">
        <f>+N1135+O1135</f>
        <v>951000</v>
      </c>
      <c r="Q1135" s="39">
        <v>100</v>
      </c>
      <c r="R1135" s="39">
        <f t="shared" si="204"/>
        <v>4800000</v>
      </c>
      <c r="S1135" s="42">
        <f t="shared" si="205"/>
        <v>0</v>
      </c>
    </row>
    <row r="1136" spans="1:19">
      <c r="A1136" s="99">
        <v>2026</v>
      </c>
      <c r="B1136" s="100">
        <v>2</v>
      </c>
      <c r="C1136" s="101">
        <v>46076</v>
      </c>
      <c r="D1136" s="101" t="str">
        <f t="shared" si="203"/>
        <v>RMF00000764Самарканд_Хуршед ака 2</v>
      </c>
      <c r="E1136" s="99" t="s">
        <v>1646</v>
      </c>
      <c r="F1136" s="102" t="s">
        <v>1590</v>
      </c>
      <c r="G1136" s="102" t="s">
        <v>871</v>
      </c>
      <c r="H1136" s="99" t="s">
        <v>1303</v>
      </c>
      <c r="I1136" s="102" t="s">
        <v>1330</v>
      </c>
      <c r="J1136" s="102" t="s">
        <v>41</v>
      </c>
      <c r="K1136" s="103">
        <v>40</v>
      </c>
      <c r="L1136" s="104">
        <v>90000</v>
      </c>
      <c r="M1136" s="104">
        <v>3600000</v>
      </c>
      <c r="N1136" s="39">
        <v>2268000</v>
      </c>
      <c r="O1136" s="39"/>
      <c r="P1136" s="108">
        <f>+N1136+O1136</f>
        <v>2268000</v>
      </c>
      <c r="Q1136" s="39">
        <v>100</v>
      </c>
      <c r="R1136" s="39">
        <f t="shared" si="204"/>
        <v>3600000</v>
      </c>
      <c r="S1136" s="42">
        <f t="shared" si="205"/>
        <v>0</v>
      </c>
    </row>
    <row r="1137" spans="1:19">
      <c r="A1137" s="99">
        <v>2026</v>
      </c>
      <c r="B1137" s="100">
        <v>2</v>
      </c>
      <c r="C1137" s="101">
        <v>46077</v>
      </c>
      <c r="D1137" s="101" t="str">
        <f t="shared" si="203"/>
        <v>RMF00000766Самарканд_Хуршед ака</v>
      </c>
      <c r="E1137" s="99" t="s">
        <v>1647</v>
      </c>
      <c r="F1137" s="102" t="s">
        <v>1648</v>
      </c>
      <c r="G1137" s="102" t="s">
        <v>272</v>
      </c>
      <c r="H1137" s="99" t="s">
        <v>1303</v>
      </c>
      <c r="I1137" s="102" t="s">
        <v>925</v>
      </c>
      <c r="J1137" s="102" t="s">
        <v>21</v>
      </c>
      <c r="K1137" s="103">
        <v>240</v>
      </c>
      <c r="L1137" s="104">
        <v>40621</v>
      </c>
      <c r="M1137" s="104">
        <v>9749040</v>
      </c>
      <c r="N1137" s="39">
        <v>3540000</v>
      </c>
      <c r="O1137" s="39"/>
      <c r="P1137" s="108">
        <f>+N1137+O1137</f>
        <v>3540000</v>
      </c>
      <c r="Q1137" s="39">
        <v>100</v>
      </c>
      <c r="R1137" s="39">
        <f t="shared" si="204"/>
        <v>9749040</v>
      </c>
      <c r="S1137" s="42">
        <f t="shared" si="205"/>
        <v>0</v>
      </c>
    </row>
    <row r="1138" spans="1:19">
      <c r="A1138" s="99">
        <v>2026</v>
      </c>
      <c r="B1138" s="100">
        <v>2</v>
      </c>
      <c r="C1138" s="101">
        <v>46077</v>
      </c>
      <c r="D1138" s="101" t="str">
        <f t="shared" si="203"/>
        <v>RMF00000783Самарканд_Хуршед ака 2</v>
      </c>
      <c r="E1138" s="99" t="s">
        <v>1649</v>
      </c>
      <c r="F1138" s="102" t="s">
        <v>1590</v>
      </c>
      <c r="G1138" s="102" t="s">
        <v>871</v>
      </c>
      <c r="H1138" s="99" t="s">
        <v>1303</v>
      </c>
      <c r="I1138" s="102" t="s">
        <v>942</v>
      </c>
      <c r="J1138" s="102" t="s">
        <v>38</v>
      </c>
      <c r="K1138" s="103">
        <v>30</v>
      </c>
      <c r="L1138" s="104">
        <v>65000</v>
      </c>
      <c r="M1138" s="104">
        <v>1950000</v>
      </c>
      <c r="N1138" s="39">
        <v>501000</v>
      </c>
      <c r="O1138" s="39"/>
      <c r="P1138" s="108">
        <f>+N1138+O1138</f>
        <v>501000</v>
      </c>
      <c r="Q1138" s="39">
        <v>100</v>
      </c>
      <c r="R1138" s="39">
        <f t="shared" si="204"/>
        <v>1950000</v>
      </c>
      <c r="S1138" s="42">
        <f t="shared" si="205"/>
        <v>0</v>
      </c>
    </row>
    <row r="1139" spans="1:19">
      <c r="A1139" s="99">
        <v>2026</v>
      </c>
      <c r="B1139" s="100">
        <v>2</v>
      </c>
      <c r="C1139" s="101">
        <v>46078</v>
      </c>
      <c r="D1139" s="101" t="str">
        <f t="shared" si="203"/>
        <v>RMF00000791Карши_Дилсўз опа</v>
      </c>
      <c r="E1139" s="99" t="s">
        <v>1650</v>
      </c>
      <c r="F1139" s="102" t="s">
        <v>1026</v>
      </c>
      <c r="G1139" s="102" t="s">
        <v>1027</v>
      </c>
      <c r="H1139" s="99" t="s">
        <v>1303</v>
      </c>
      <c r="I1139" s="102" t="s">
        <v>651</v>
      </c>
      <c r="J1139" s="102" t="s">
        <v>41</v>
      </c>
      <c r="K1139" s="103">
        <v>50</v>
      </c>
      <c r="L1139" s="104">
        <v>90000</v>
      </c>
      <c r="M1139" s="104">
        <v>4500000</v>
      </c>
      <c r="N1139" s="39">
        <v>2277000</v>
      </c>
      <c r="O1139" s="39"/>
      <c r="P1139" s="108">
        <f>+N1139+O1139</f>
        <v>2277000</v>
      </c>
      <c r="Q1139" s="39">
        <v>100</v>
      </c>
      <c r="R1139" s="39">
        <f t="shared" si="204"/>
        <v>4500000</v>
      </c>
      <c r="S1139" s="42">
        <f t="shared" si="205"/>
        <v>0</v>
      </c>
    </row>
    <row r="1140" spans="1:19">
      <c r="A1140" s="99">
        <v>2026</v>
      </c>
      <c r="B1140" s="100">
        <v>2</v>
      </c>
      <c r="C1140" s="101">
        <v>46078</v>
      </c>
      <c r="D1140" s="101" t="str">
        <f t="shared" si="203"/>
        <v>RMF00000795Таш.Обл_Ноила опа</v>
      </c>
      <c r="E1140" s="99" t="s">
        <v>1651</v>
      </c>
      <c r="F1140" s="102" t="s">
        <v>1414</v>
      </c>
      <c r="G1140" s="102" t="s">
        <v>1101</v>
      </c>
      <c r="H1140" s="99" t="s">
        <v>1303</v>
      </c>
      <c r="I1140" s="102" t="s">
        <v>1652</v>
      </c>
      <c r="J1140" s="102" t="s">
        <v>38</v>
      </c>
      <c r="K1140" s="103">
        <v>20</v>
      </c>
      <c r="L1140" s="104">
        <v>65000</v>
      </c>
      <c r="M1140" s="104">
        <v>1300000</v>
      </c>
      <c r="N1140" s="39">
        <v>65000</v>
      </c>
      <c r="O1140" s="39"/>
      <c r="P1140" s="108">
        <f>+N1140+O1140</f>
        <v>65000</v>
      </c>
      <c r="Q1140" s="39">
        <v>50</v>
      </c>
      <c r="R1140" s="39">
        <f t="shared" si="204"/>
        <v>650000</v>
      </c>
      <c r="S1140" s="42">
        <f t="shared" si="205"/>
        <v>650000</v>
      </c>
    </row>
    <row r="1141" spans="1:19">
      <c r="A1141" s="99">
        <v>2026</v>
      </c>
      <c r="B1141" s="100">
        <v>2</v>
      </c>
      <c r="C1141" s="101">
        <v>46078</v>
      </c>
      <c r="D1141" s="101" t="str">
        <f t="shared" si="203"/>
        <v>RMF00000799Самарканд_Хуршед ака 2</v>
      </c>
      <c r="E1141" s="99" t="s">
        <v>1654</v>
      </c>
      <c r="F1141" s="102" t="s">
        <v>1590</v>
      </c>
      <c r="G1141" s="102" t="s">
        <v>871</v>
      </c>
      <c r="H1141" s="99" t="s">
        <v>1303</v>
      </c>
      <c r="I1141" s="102" t="s">
        <v>983</v>
      </c>
      <c r="J1141" s="102" t="s">
        <v>41</v>
      </c>
      <c r="K1141" s="103">
        <v>50</v>
      </c>
      <c r="L1141" s="104">
        <v>90000</v>
      </c>
      <c r="M1141" s="104">
        <v>4500000</v>
      </c>
      <c r="N1141" s="39">
        <v>751000</v>
      </c>
      <c r="O1141" s="39"/>
      <c r="P1141" s="108">
        <f>+N1141+O1141</f>
        <v>751000</v>
      </c>
      <c r="Q1141" s="39">
        <v>100</v>
      </c>
      <c r="R1141" s="39">
        <f t="shared" si="204"/>
        <v>4500000</v>
      </c>
      <c r="S1141" s="42">
        <f t="shared" si="205"/>
        <v>0</v>
      </c>
    </row>
    <row r="1142" spans="1:19">
      <c r="A1142" s="99">
        <v>2026</v>
      </c>
      <c r="B1142" s="100">
        <v>2</v>
      </c>
      <c r="C1142" s="101">
        <v>46078</v>
      </c>
      <c r="D1142" s="101" t="str">
        <f t="shared" si="203"/>
        <v>RMF00000804Самарканд_Хуршед ака 2</v>
      </c>
      <c r="E1142" s="99" t="s">
        <v>1655</v>
      </c>
      <c r="F1142" s="102" t="s">
        <v>1590</v>
      </c>
      <c r="G1142" s="102" t="s">
        <v>871</v>
      </c>
      <c r="H1142" s="99" t="s">
        <v>1303</v>
      </c>
      <c r="I1142" s="102" t="s">
        <v>989</v>
      </c>
      <c r="J1142" s="102" t="s">
        <v>41</v>
      </c>
      <c r="K1142" s="103">
        <v>40</v>
      </c>
      <c r="L1142" s="104">
        <v>90000</v>
      </c>
      <c r="M1142" s="104">
        <v>3600000</v>
      </c>
      <c r="N1142" s="39">
        <v>1107000</v>
      </c>
      <c r="O1142" s="39"/>
      <c r="P1142" s="108">
        <f>+N1142+O1142</f>
        <v>1107000</v>
      </c>
      <c r="Q1142" s="39">
        <v>100</v>
      </c>
      <c r="R1142" s="39">
        <f t="shared" si="204"/>
        <v>3600000</v>
      </c>
      <c r="S1142" s="42">
        <f t="shared" si="205"/>
        <v>0</v>
      </c>
    </row>
    <row r="1143" spans="1:19">
      <c r="A1143" s="99">
        <v>2026</v>
      </c>
      <c r="B1143" s="100">
        <v>2</v>
      </c>
      <c r="C1143" s="101">
        <v>46079</v>
      </c>
      <c r="D1143" s="101" t="str">
        <f t="shared" si="203"/>
        <v>RMF00000810Самарканд_Хуршед ака 2</v>
      </c>
      <c r="E1143" s="99" t="s">
        <v>1657</v>
      </c>
      <c r="F1143" s="102" t="s">
        <v>1618</v>
      </c>
      <c r="G1143" s="102" t="s">
        <v>871</v>
      </c>
      <c r="H1143" s="99" t="s">
        <v>1303</v>
      </c>
      <c r="I1143" s="102" t="s">
        <v>1658</v>
      </c>
      <c r="J1143" s="102" t="s">
        <v>41</v>
      </c>
      <c r="K1143" s="103">
        <v>20</v>
      </c>
      <c r="L1143" s="104">
        <v>90000</v>
      </c>
      <c r="M1143" s="104">
        <v>1800000</v>
      </c>
      <c r="N1143" s="39">
        <v>504000</v>
      </c>
      <c r="O1143" s="39"/>
      <c r="P1143" s="108">
        <f>+N1143+O1143</f>
        <v>504000</v>
      </c>
      <c r="Q1143" s="39">
        <v>100</v>
      </c>
      <c r="R1143" s="39">
        <f t="shared" si="204"/>
        <v>1800000</v>
      </c>
      <c r="S1143" s="42">
        <f t="shared" si="205"/>
        <v>0</v>
      </c>
    </row>
    <row r="1144" spans="1:19">
      <c r="A1144" s="99">
        <v>2026</v>
      </c>
      <c r="B1144" s="100">
        <v>2</v>
      </c>
      <c r="C1144" s="101">
        <v>46079</v>
      </c>
      <c r="D1144" s="101" t="str">
        <f t="shared" si="203"/>
        <v>RMF00000810Самарканд_Хуршед ака 2</v>
      </c>
      <c r="E1144" s="99" t="s">
        <v>1657</v>
      </c>
      <c r="F1144" s="102" t="s">
        <v>1618</v>
      </c>
      <c r="G1144" s="102" t="s">
        <v>871</v>
      </c>
      <c r="H1144" s="99" t="s">
        <v>1303</v>
      </c>
      <c r="I1144" s="102" t="s">
        <v>1658</v>
      </c>
      <c r="J1144" s="102" t="s">
        <v>38</v>
      </c>
      <c r="K1144" s="103">
        <v>15</v>
      </c>
      <c r="L1144" s="104">
        <v>65000</v>
      </c>
      <c r="M1144" s="104">
        <v>975000</v>
      </c>
      <c r="N1144" s="39">
        <v>251000</v>
      </c>
      <c r="O1144" s="39"/>
      <c r="P1144" s="108">
        <f>+N1144+O1144</f>
        <v>251000</v>
      </c>
      <c r="Q1144" s="39">
        <v>100</v>
      </c>
      <c r="R1144" s="39">
        <f t="shared" si="204"/>
        <v>975000</v>
      </c>
      <c r="S1144" s="42">
        <f t="shared" si="205"/>
        <v>0</v>
      </c>
    </row>
    <row r="1145" spans="1:19">
      <c r="A1145" s="99">
        <v>2026</v>
      </c>
      <c r="B1145" s="100">
        <v>2</v>
      </c>
      <c r="C1145" s="101">
        <v>46079</v>
      </c>
      <c r="D1145" s="101" t="str">
        <f t="shared" si="203"/>
        <v>RMF00000810Самарканд_Хуршед ака 2</v>
      </c>
      <c r="E1145" s="99" t="s">
        <v>1657</v>
      </c>
      <c r="F1145" s="102" t="s">
        <v>1618</v>
      </c>
      <c r="G1145" s="102" t="s">
        <v>871</v>
      </c>
      <c r="H1145" s="99" t="s">
        <v>1303</v>
      </c>
      <c r="I1145" s="102" t="s">
        <v>1658</v>
      </c>
      <c r="J1145" s="102" t="s">
        <v>21</v>
      </c>
      <c r="K1145" s="103">
        <v>10</v>
      </c>
      <c r="L1145" s="104">
        <v>40621</v>
      </c>
      <c r="M1145" s="104">
        <v>406210</v>
      </c>
      <c r="N1145" s="39">
        <v>136000</v>
      </c>
      <c r="O1145" s="39"/>
      <c r="P1145" s="108">
        <f>+N1145+O1145</f>
        <v>136000</v>
      </c>
      <c r="Q1145" s="39">
        <v>100</v>
      </c>
      <c r="R1145" s="39">
        <f t="shared" si="204"/>
        <v>406210</v>
      </c>
      <c r="S1145" s="42">
        <f t="shared" si="205"/>
        <v>0</v>
      </c>
    </row>
    <row r="1146" spans="1:19">
      <c r="A1146" s="99">
        <v>2026</v>
      </c>
      <c r="B1146" s="100">
        <v>2</v>
      </c>
      <c r="C1146" s="101">
        <v>46079</v>
      </c>
      <c r="D1146" s="101" t="str">
        <f t="shared" si="203"/>
        <v>RMF00000813Самарканд_Хуршед ака 2</v>
      </c>
      <c r="E1146" s="99" t="s">
        <v>1659</v>
      </c>
      <c r="F1146" s="102" t="s">
        <v>1590</v>
      </c>
      <c r="G1146" s="102" t="s">
        <v>871</v>
      </c>
      <c r="H1146" s="99" t="s">
        <v>1303</v>
      </c>
      <c r="I1146" s="102" t="s">
        <v>986</v>
      </c>
      <c r="J1146" s="102" t="s">
        <v>41</v>
      </c>
      <c r="K1146" s="103">
        <v>20</v>
      </c>
      <c r="L1146" s="104">
        <v>90000</v>
      </c>
      <c r="M1146" s="104">
        <v>1800000</v>
      </c>
      <c r="N1146" s="39">
        <v>436000</v>
      </c>
      <c r="O1146" s="39"/>
      <c r="P1146" s="108">
        <f>+N1146+O1146</f>
        <v>436000</v>
      </c>
      <c r="Q1146" s="39">
        <v>100</v>
      </c>
      <c r="R1146" s="39">
        <f t="shared" si="204"/>
        <v>1800000</v>
      </c>
      <c r="S1146" s="42">
        <f t="shared" si="205"/>
        <v>0</v>
      </c>
    </row>
    <row r="1147" spans="1:19">
      <c r="A1147" s="99">
        <v>2026</v>
      </c>
      <c r="B1147" s="100">
        <v>2</v>
      </c>
      <c r="C1147" s="101">
        <v>46079</v>
      </c>
      <c r="D1147" s="101" t="str">
        <f t="shared" si="203"/>
        <v>RMF00000819Сирдарё_Фотима опа</v>
      </c>
      <c r="E1147" s="99" t="s">
        <v>1660</v>
      </c>
      <c r="F1147" s="102" t="s">
        <v>284</v>
      </c>
      <c r="G1147" s="102" t="s">
        <v>281</v>
      </c>
      <c r="H1147" s="99" t="s">
        <v>1303</v>
      </c>
      <c r="I1147" s="102" t="s">
        <v>25</v>
      </c>
      <c r="J1147" s="102" t="s">
        <v>21</v>
      </c>
      <c r="K1147" s="103">
        <v>200</v>
      </c>
      <c r="L1147" s="104">
        <v>40621</v>
      </c>
      <c r="M1147" s="104">
        <v>8124200</v>
      </c>
      <c r="N1147" s="39">
        <v>5422000</v>
      </c>
      <c r="O1147" s="39"/>
      <c r="P1147" s="108">
        <f>+N1147+O1147</f>
        <v>5422000</v>
      </c>
      <c r="Q1147" s="39">
        <v>100</v>
      </c>
      <c r="R1147" s="39">
        <f t="shared" si="204"/>
        <v>8124200</v>
      </c>
      <c r="S1147" s="42">
        <f t="shared" si="205"/>
        <v>0</v>
      </c>
    </row>
    <row r="1148" spans="1:19">
      <c r="A1148" s="99">
        <v>2026</v>
      </c>
      <c r="B1148" s="100">
        <v>2</v>
      </c>
      <c r="C1148" s="101">
        <v>46079</v>
      </c>
      <c r="D1148" s="101" t="str">
        <f t="shared" si="203"/>
        <v>RMF00000823Таш.Обл_Рустам ака (S)</v>
      </c>
      <c r="E1148" s="99" t="s">
        <v>1661</v>
      </c>
      <c r="F1148" s="102" t="s">
        <v>265</v>
      </c>
      <c r="G1148" s="102" t="s">
        <v>1499</v>
      </c>
      <c r="H1148" s="99" t="s">
        <v>1303</v>
      </c>
      <c r="I1148" s="102" t="s">
        <v>1662</v>
      </c>
      <c r="J1148" s="102" t="s">
        <v>21</v>
      </c>
      <c r="K1148" s="103">
        <v>10</v>
      </c>
      <c r="L1148" s="104">
        <v>40621</v>
      </c>
      <c r="M1148" s="104">
        <v>406210</v>
      </c>
      <c r="N1148" s="39">
        <v>310000</v>
      </c>
      <c r="O1148" s="39"/>
      <c r="P1148" s="108">
        <f>+N1148+O1148</f>
        <v>310000</v>
      </c>
      <c r="Q1148" s="39">
        <v>100</v>
      </c>
      <c r="R1148" s="39">
        <f t="shared" si="204"/>
        <v>406210</v>
      </c>
      <c r="S1148" s="42">
        <f t="shared" si="205"/>
        <v>0</v>
      </c>
    </row>
    <row r="1149" spans="1:19">
      <c r="A1149" s="99">
        <v>2026</v>
      </c>
      <c r="B1149" s="100">
        <v>2</v>
      </c>
      <c r="C1149" s="101">
        <v>46079</v>
      </c>
      <c r="D1149" s="101" t="str">
        <f t="shared" si="203"/>
        <v>RMF00000823Таш.Обл_Рустам ака (S)</v>
      </c>
      <c r="E1149" s="99" t="s">
        <v>1661</v>
      </c>
      <c r="F1149" s="102" t="s">
        <v>265</v>
      </c>
      <c r="G1149" s="102" t="s">
        <v>1499</v>
      </c>
      <c r="H1149" s="99" t="s">
        <v>1303</v>
      </c>
      <c r="I1149" s="102" t="s">
        <v>1662</v>
      </c>
      <c r="J1149" s="102" t="s">
        <v>41</v>
      </c>
      <c r="K1149" s="103">
        <v>10</v>
      </c>
      <c r="L1149" s="104">
        <v>90000</v>
      </c>
      <c r="M1149" s="104">
        <v>900000</v>
      </c>
      <c r="N1149" s="39">
        <v>572000</v>
      </c>
      <c r="O1149" s="39"/>
      <c r="P1149" s="108">
        <f>+N1149+O1149</f>
        <v>572000</v>
      </c>
      <c r="Q1149" s="39">
        <v>100</v>
      </c>
      <c r="R1149" s="39">
        <f t="shared" si="204"/>
        <v>900000</v>
      </c>
      <c r="S1149" s="42">
        <f t="shared" si="205"/>
        <v>0</v>
      </c>
    </row>
    <row r="1150" spans="1:19">
      <c r="A1150" s="99">
        <v>2026</v>
      </c>
      <c r="B1150" s="100">
        <v>2</v>
      </c>
      <c r="C1150" s="101">
        <v>46080</v>
      </c>
      <c r="D1150" s="101" t="str">
        <f t="shared" si="203"/>
        <v>RMF00000829Сирдарё_Фотима опа</v>
      </c>
      <c r="E1150" s="99" t="s">
        <v>1663</v>
      </c>
      <c r="F1150" s="102" t="s">
        <v>284</v>
      </c>
      <c r="G1150" s="102" t="s">
        <v>281</v>
      </c>
      <c r="H1150" s="99" t="s">
        <v>1303</v>
      </c>
      <c r="I1150" s="102" t="s">
        <v>443</v>
      </c>
      <c r="J1150" s="102" t="s">
        <v>466</v>
      </c>
      <c r="K1150" s="103">
        <v>20</v>
      </c>
      <c r="L1150" s="104">
        <v>120000</v>
      </c>
      <c r="M1150" s="104">
        <v>2400000</v>
      </c>
      <c r="N1150" s="39">
        <v>682000</v>
      </c>
      <c r="O1150" s="39"/>
      <c r="P1150" s="108">
        <f>+N1150+O1150</f>
        <v>682000</v>
      </c>
      <c r="Q1150" s="39">
        <v>100</v>
      </c>
      <c r="R1150" s="39">
        <f t="shared" si="204"/>
        <v>2400000</v>
      </c>
      <c r="S1150" s="42">
        <f t="shared" si="205"/>
        <v>0</v>
      </c>
    </row>
    <row r="1151" spans="1:19">
      <c r="A1151" s="99">
        <v>2026</v>
      </c>
      <c r="B1151" s="100">
        <v>2</v>
      </c>
      <c r="C1151" s="101">
        <v>46080</v>
      </c>
      <c r="D1151" s="101" t="str">
        <f t="shared" si="203"/>
        <v>RMF00000836Кукон_Баходирхон ака</v>
      </c>
      <c r="E1151" s="99" t="s">
        <v>1664</v>
      </c>
      <c r="F1151" s="102" t="s">
        <v>1451</v>
      </c>
      <c r="G1151" s="102" t="s">
        <v>1264</v>
      </c>
      <c r="H1151" s="99" t="s">
        <v>1303</v>
      </c>
      <c r="I1151" s="102" t="s">
        <v>1265</v>
      </c>
      <c r="J1151" s="102" t="s">
        <v>46</v>
      </c>
      <c r="K1151" s="103">
        <v>40</v>
      </c>
      <c r="L1151" s="104">
        <v>64700</v>
      </c>
      <c r="M1151" s="104">
        <v>2588000</v>
      </c>
      <c r="N1151" s="39">
        <v>1000000</v>
      </c>
      <c r="O1151" s="39"/>
      <c r="P1151" s="108">
        <f>+N1151+O1151</f>
        <v>1000000</v>
      </c>
      <c r="Q1151" s="39">
        <v>100</v>
      </c>
      <c r="R1151" s="39">
        <f t="shared" si="204"/>
        <v>2588000</v>
      </c>
      <c r="S1151" s="42">
        <f t="shared" si="205"/>
        <v>0</v>
      </c>
    </row>
    <row r="1152" spans="1:19">
      <c r="A1152" s="99">
        <v>2026</v>
      </c>
      <c r="B1152" s="100">
        <v>2</v>
      </c>
      <c r="C1152" s="101">
        <v>46080</v>
      </c>
      <c r="D1152" s="101" t="str">
        <f t="shared" si="203"/>
        <v>RMF00000840Самарканд_Хуршед ака</v>
      </c>
      <c r="E1152" s="99" t="s">
        <v>1665</v>
      </c>
      <c r="F1152" s="102" t="s">
        <v>1648</v>
      </c>
      <c r="G1152" s="102" t="s">
        <v>272</v>
      </c>
      <c r="H1152" s="99" t="s">
        <v>1303</v>
      </c>
      <c r="I1152" s="102" t="s">
        <v>1316</v>
      </c>
      <c r="J1152" s="102" t="s">
        <v>21</v>
      </c>
      <c r="K1152" s="103">
        <v>30</v>
      </c>
      <c r="L1152" s="104">
        <v>40621</v>
      </c>
      <c r="M1152" s="104">
        <v>1218630</v>
      </c>
      <c r="N1152" s="39">
        <v>2726000</v>
      </c>
      <c r="O1152" s="39"/>
      <c r="P1152" s="108">
        <f>+N1152+O1152</f>
        <v>2726000</v>
      </c>
      <c r="Q1152" s="39">
        <v>100</v>
      </c>
      <c r="R1152" s="39">
        <f t="shared" si="204"/>
        <v>1218630</v>
      </c>
      <c r="S1152" s="42">
        <f t="shared" si="205"/>
        <v>0</v>
      </c>
    </row>
    <row r="1153" spans="1:19">
      <c r="A1153" s="99">
        <v>2026</v>
      </c>
      <c r="B1153" s="100">
        <v>2</v>
      </c>
      <c r="C1153" s="101">
        <v>46080</v>
      </c>
      <c r="D1153" s="101" t="str">
        <f t="shared" si="203"/>
        <v>RMF00000840Самарканд_Хуршед ака</v>
      </c>
      <c r="E1153" s="99" t="s">
        <v>1665</v>
      </c>
      <c r="F1153" s="102" t="s">
        <v>1648</v>
      </c>
      <c r="G1153" s="102" t="s">
        <v>272</v>
      </c>
      <c r="H1153" s="99" t="s">
        <v>1303</v>
      </c>
      <c r="I1153" s="102" t="s">
        <v>1316</v>
      </c>
      <c r="J1153" s="102" t="s">
        <v>21</v>
      </c>
      <c r="K1153" s="103">
        <v>10</v>
      </c>
      <c r="L1153" s="104">
        <v>40621</v>
      </c>
      <c r="M1153" s="104">
        <v>406210</v>
      </c>
      <c r="N1153" s="39">
        <v>2726000</v>
      </c>
      <c r="O1153" s="39"/>
      <c r="P1153" s="108">
        <f>+N1153+O1153</f>
        <v>2726000</v>
      </c>
      <c r="Q1153" s="39">
        <v>100</v>
      </c>
      <c r="R1153" s="39">
        <f t="shared" si="204"/>
        <v>406210</v>
      </c>
      <c r="S1153" s="42">
        <f t="shared" si="205"/>
        <v>0</v>
      </c>
    </row>
    <row r="1154" spans="1:19">
      <c r="A1154" s="99">
        <v>2026</v>
      </c>
      <c r="B1154" s="100">
        <v>2</v>
      </c>
      <c r="C1154" s="101">
        <v>46080</v>
      </c>
      <c r="D1154" s="101" t="str">
        <f t="shared" si="203"/>
        <v>RMF00000840Самарканд_Хуршед ака</v>
      </c>
      <c r="E1154" s="99" t="s">
        <v>1665</v>
      </c>
      <c r="F1154" s="102" t="s">
        <v>1648</v>
      </c>
      <c r="G1154" s="102" t="s">
        <v>272</v>
      </c>
      <c r="H1154" s="99" t="s">
        <v>1303</v>
      </c>
      <c r="I1154" s="102" t="s">
        <v>1316</v>
      </c>
      <c r="J1154" s="102" t="s">
        <v>21</v>
      </c>
      <c r="K1154" s="103">
        <v>200</v>
      </c>
      <c r="L1154" s="104">
        <v>40621</v>
      </c>
      <c r="M1154" s="104">
        <v>8124200</v>
      </c>
      <c r="N1154" s="39">
        <v>2726000</v>
      </c>
      <c r="O1154" s="39"/>
      <c r="P1154" s="108">
        <f>+N1154+O1154</f>
        <v>2726000</v>
      </c>
      <c r="Q1154" s="39">
        <v>100</v>
      </c>
      <c r="R1154" s="39">
        <f t="shared" si="204"/>
        <v>8124200</v>
      </c>
      <c r="S1154" s="42">
        <f t="shared" si="205"/>
        <v>0</v>
      </c>
    </row>
    <row r="1155" spans="1:19">
      <c r="A1155" s="99">
        <v>2026</v>
      </c>
      <c r="B1155" s="100">
        <v>2</v>
      </c>
      <c r="C1155" s="101">
        <v>46080</v>
      </c>
      <c r="D1155" s="101" t="str">
        <f t="shared" si="203"/>
        <v>RMF00000843Сирдарё_Фотима опа</v>
      </c>
      <c r="E1155" s="99" t="s">
        <v>1666</v>
      </c>
      <c r="F1155" s="102" t="s">
        <v>284</v>
      </c>
      <c r="G1155" s="102" t="s">
        <v>281</v>
      </c>
      <c r="H1155" s="99" t="s">
        <v>1303</v>
      </c>
      <c r="I1155" s="102" t="s">
        <v>1492</v>
      </c>
      <c r="J1155" s="102" t="s">
        <v>21</v>
      </c>
      <c r="K1155" s="103">
        <v>100</v>
      </c>
      <c r="L1155" s="104">
        <v>40621</v>
      </c>
      <c r="M1155" s="104">
        <v>4062100</v>
      </c>
      <c r="N1155" s="39">
        <v>2711000</v>
      </c>
      <c r="O1155" s="39"/>
      <c r="P1155" s="108">
        <f>+N1155+O1155</f>
        <v>2711000</v>
      </c>
      <c r="Q1155" s="39">
        <v>100</v>
      </c>
      <c r="R1155" s="39">
        <f t="shared" si="204"/>
        <v>4062100</v>
      </c>
      <c r="S1155" s="42">
        <f t="shared" si="205"/>
        <v>0</v>
      </c>
    </row>
    <row r="1156" spans="1:19">
      <c r="A1156" s="99">
        <v>2026</v>
      </c>
      <c r="B1156" s="100">
        <v>2</v>
      </c>
      <c r="C1156" s="101">
        <v>46080</v>
      </c>
      <c r="D1156" s="101" t="str">
        <f t="shared" ref="D1156:D1219" si="206">+E1156&amp;G1156</f>
        <v>RMF00000845Самарканд_Хуршед ака 2</v>
      </c>
      <c r="E1156" s="99" t="s">
        <v>1667</v>
      </c>
      <c r="F1156" s="102" t="s">
        <v>1618</v>
      </c>
      <c r="G1156" s="102" t="s">
        <v>871</v>
      </c>
      <c r="H1156" s="99" t="s">
        <v>1303</v>
      </c>
      <c r="I1156" s="102" t="s">
        <v>1545</v>
      </c>
      <c r="J1156" s="102" t="s">
        <v>21</v>
      </c>
      <c r="K1156" s="103">
        <v>50</v>
      </c>
      <c r="L1156" s="104">
        <v>40621</v>
      </c>
      <c r="M1156" s="104">
        <v>2031050</v>
      </c>
      <c r="N1156" s="39">
        <v>1549000</v>
      </c>
      <c r="O1156" s="39"/>
      <c r="P1156" s="108">
        <f>+N1156+O1156</f>
        <v>1549000</v>
      </c>
      <c r="Q1156" s="39">
        <v>100</v>
      </c>
      <c r="R1156" s="39">
        <f t="shared" ref="R1156:R1219" si="207">+M1156*Q1156%</f>
        <v>2031050</v>
      </c>
      <c r="S1156" s="42">
        <f t="shared" ref="S1156:S1219" si="208">M1156-R1156</f>
        <v>0</v>
      </c>
    </row>
    <row r="1157" spans="1:19">
      <c r="A1157" s="99">
        <v>2026</v>
      </c>
      <c r="B1157" s="100">
        <v>2</v>
      </c>
      <c r="C1157" s="101">
        <v>46080</v>
      </c>
      <c r="D1157" s="101" t="str">
        <f t="shared" si="206"/>
        <v>RMF00000850Самарканд_Хуршед ака</v>
      </c>
      <c r="E1157" s="99" t="s">
        <v>1668</v>
      </c>
      <c r="F1157" s="102" t="s">
        <v>1302</v>
      </c>
      <c r="G1157" s="102" t="s">
        <v>272</v>
      </c>
      <c r="H1157" s="99" t="s">
        <v>1303</v>
      </c>
      <c r="I1157" s="102" t="s">
        <v>1669</v>
      </c>
      <c r="J1157" s="102" t="s">
        <v>38</v>
      </c>
      <c r="K1157" s="103">
        <v>30</v>
      </c>
      <c r="L1157" s="104">
        <v>65000</v>
      </c>
      <c r="M1157" s="104">
        <v>1950000</v>
      </c>
      <c r="N1157" s="39">
        <v>154000</v>
      </c>
      <c r="O1157" s="39"/>
      <c r="P1157" s="108">
        <f>+N1157+O1157</f>
        <v>154000</v>
      </c>
      <c r="Q1157" s="39">
        <v>72</v>
      </c>
      <c r="R1157" s="39">
        <f t="shared" si="207"/>
        <v>1404000</v>
      </c>
      <c r="S1157" s="42">
        <f t="shared" si="208"/>
        <v>546000</v>
      </c>
    </row>
    <row r="1158" spans="1:19">
      <c r="A1158" s="99">
        <v>2026</v>
      </c>
      <c r="B1158" s="100">
        <v>2</v>
      </c>
      <c r="C1158" s="101">
        <v>46080</v>
      </c>
      <c r="D1158" s="101" t="str">
        <f t="shared" si="206"/>
        <v>RMF00000850Самарканд_Хуршед ака</v>
      </c>
      <c r="E1158" s="99" t="s">
        <v>1668</v>
      </c>
      <c r="F1158" s="102" t="s">
        <v>1302</v>
      </c>
      <c r="G1158" s="102" t="s">
        <v>272</v>
      </c>
      <c r="H1158" s="99" t="s">
        <v>1303</v>
      </c>
      <c r="I1158" s="102" t="s">
        <v>1669</v>
      </c>
      <c r="J1158" s="102" t="s">
        <v>466</v>
      </c>
      <c r="K1158" s="103">
        <v>50</v>
      </c>
      <c r="L1158" s="104">
        <v>120000</v>
      </c>
      <c r="M1158" s="104">
        <v>6000000</v>
      </c>
      <c r="N1158" s="39">
        <v>570000</v>
      </c>
      <c r="O1158" s="39"/>
      <c r="P1158" s="108">
        <f>+N1158+O1158</f>
        <v>570000</v>
      </c>
      <c r="Q1158" s="39">
        <v>72</v>
      </c>
      <c r="R1158" s="39">
        <f t="shared" si="207"/>
        <v>4320000</v>
      </c>
      <c r="S1158" s="42">
        <f t="shared" si="208"/>
        <v>1680000</v>
      </c>
    </row>
    <row r="1159" spans="1:19">
      <c r="A1159" s="99">
        <v>2026</v>
      </c>
      <c r="B1159" s="100">
        <v>2</v>
      </c>
      <c r="C1159" s="101">
        <v>46080</v>
      </c>
      <c r="D1159" s="101" t="str">
        <f t="shared" si="206"/>
        <v>RMF00000850Самарканд_Хуршед ака</v>
      </c>
      <c r="E1159" s="99" t="s">
        <v>1668</v>
      </c>
      <c r="F1159" s="102" t="s">
        <v>1302</v>
      </c>
      <c r="G1159" s="102" t="s">
        <v>272</v>
      </c>
      <c r="H1159" s="99" t="s">
        <v>1303</v>
      </c>
      <c r="I1159" s="102" t="s">
        <v>1669</v>
      </c>
      <c r="J1159" s="102" t="s">
        <v>41</v>
      </c>
      <c r="K1159" s="103">
        <v>50</v>
      </c>
      <c r="L1159" s="104">
        <v>90000</v>
      </c>
      <c r="M1159" s="104">
        <v>4500000</v>
      </c>
      <c r="N1159" s="39">
        <v>394000</v>
      </c>
      <c r="O1159" s="39"/>
      <c r="P1159" s="108">
        <f>+N1159+O1159</f>
        <v>394000</v>
      </c>
      <c r="Q1159" s="39">
        <v>72</v>
      </c>
      <c r="R1159" s="39">
        <f t="shared" si="207"/>
        <v>3240000</v>
      </c>
      <c r="S1159" s="42">
        <f t="shared" si="208"/>
        <v>1260000</v>
      </c>
    </row>
    <row r="1160" spans="1:19">
      <c r="A1160" s="99">
        <v>2026</v>
      </c>
      <c r="B1160" s="100">
        <v>2</v>
      </c>
      <c r="C1160" s="101">
        <v>46080</v>
      </c>
      <c r="D1160" s="101" t="str">
        <f t="shared" si="206"/>
        <v>RMF00000850Самарканд_Хуршед ака</v>
      </c>
      <c r="E1160" s="99" t="s">
        <v>1668</v>
      </c>
      <c r="F1160" s="102" t="s">
        <v>1302</v>
      </c>
      <c r="G1160" s="102" t="s">
        <v>272</v>
      </c>
      <c r="H1160" s="99" t="s">
        <v>1303</v>
      </c>
      <c r="I1160" s="102" t="s">
        <v>1669</v>
      </c>
      <c r="J1160" s="102" t="s">
        <v>46</v>
      </c>
      <c r="K1160" s="103">
        <v>40</v>
      </c>
      <c r="L1160" s="104">
        <v>64700</v>
      </c>
      <c r="M1160" s="104">
        <v>2588000</v>
      </c>
      <c r="N1160" s="39">
        <v>219000</v>
      </c>
      <c r="O1160" s="39"/>
      <c r="P1160" s="108">
        <f>+N1160+O1160</f>
        <v>219000</v>
      </c>
      <c r="Q1160" s="39">
        <v>72</v>
      </c>
      <c r="R1160" s="39">
        <f t="shared" si="207"/>
        <v>1863360</v>
      </c>
      <c r="S1160" s="42">
        <f t="shared" si="208"/>
        <v>724640</v>
      </c>
    </row>
    <row r="1161" spans="1:19">
      <c r="A1161" s="99">
        <v>2026</v>
      </c>
      <c r="B1161" s="100">
        <v>3</v>
      </c>
      <c r="C1161" s="101">
        <v>46083</v>
      </c>
      <c r="D1161" s="101" t="str">
        <f t="shared" si="206"/>
        <v>RMF00000854Самарканд_Хуршед ака</v>
      </c>
      <c r="E1161" s="99" t="s">
        <v>1670</v>
      </c>
      <c r="F1161" s="102" t="s">
        <v>1648</v>
      </c>
      <c r="G1161" s="102" t="s">
        <v>272</v>
      </c>
      <c r="H1161" s="99" t="s">
        <v>1303</v>
      </c>
      <c r="I1161" s="102" t="s">
        <v>1325</v>
      </c>
      <c r="J1161" s="102" t="s">
        <v>21</v>
      </c>
      <c r="K1161" s="103">
        <v>87</v>
      </c>
      <c r="L1161" s="104">
        <v>40621</v>
      </c>
      <c r="M1161" s="104">
        <v>3534027</v>
      </c>
      <c r="N1161" s="39">
        <v>1187000</v>
      </c>
      <c r="O1161" s="39"/>
      <c r="P1161" s="108">
        <f>+N1161+O1161</f>
        <v>1187000</v>
      </c>
      <c r="Q1161" s="39">
        <v>100</v>
      </c>
      <c r="R1161" s="39">
        <f t="shared" si="207"/>
        <v>3534027</v>
      </c>
      <c r="S1161" s="42">
        <f t="shared" si="208"/>
        <v>0</v>
      </c>
    </row>
    <row r="1162" spans="1:19">
      <c r="A1162" s="99">
        <v>2026</v>
      </c>
      <c r="B1162" s="100">
        <v>3</v>
      </c>
      <c r="C1162" s="101">
        <v>46084</v>
      </c>
      <c r="D1162" s="101" t="str">
        <f t="shared" si="206"/>
        <v>RMF00000868Самарканд_Хуршед ака 2</v>
      </c>
      <c r="E1162" s="99" t="s">
        <v>1671</v>
      </c>
      <c r="F1162" s="102" t="s">
        <v>1590</v>
      </c>
      <c r="G1162" s="102" t="s">
        <v>871</v>
      </c>
      <c r="H1162" s="99" t="s">
        <v>1303</v>
      </c>
      <c r="I1162" s="102" t="s">
        <v>986</v>
      </c>
      <c r="J1162" s="102" t="s">
        <v>38</v>
      </c>
      <c r="K1162" s="103">
        <v>50</v>
      </c>
      <c r="L1162" s="104">
        <v>65000</v>
      </c>
      <c r="M1162" s="104">
        <v>3250000</v>
      </c>
      <c r="N1162" s="39">
        <v>771000</v>
      </c>
      <c r="O1162" s="39"/>
      <c r="P1162" s="108">
        <f>+N1162+O1162</f>
        <v>771000</v>
      </c>
      <c r="Q1162" s="39">
        <v>100</v>
      </c>
      <c r="R1162" s="39">
        <f t="shared" si="207"/>
        <v>3250000</v>
      </c>
      <c r="S1162" s="42">
        <f t="shared" si="208"/>
        <v>0</v>
      </c>
    </row>
    <row r="1163" spans="1:19">
      <c r="A1163" s="99">
        <v>2026</v>
      </c>
      <c r="B1163" s="100">
        <v>3</v>
      </c>
      <c r="C1163" s="101">
        <v>46084</v>
      </c>
      <c r="D1163" s="101" t="str">
        <f t="shared" si="206"/>
        <v>RMF00000870Сурхондарьё_Анвар ака</v>
      </c>
      <c r="E1163" s="99" t="s">
        <v>1672</v>
      </c>
      <c r="F1163" s="102" t="s">
        <v>1578</v>
      </c>
      <c r="G1163" s="102" t="s">
        <v>875</v>
      </c>
      <c r="H1163" s="99" t="s">
        <v>1303</v>
      </c>
      <c r="I1163" s="102" t="s">
        <v>1673</v>
      </c>
      <c r="J1163" s="102" t="s">
        <v>38</v>
      </c>
      <c r="K1163" s="103">
        <v>10</v>
      </c>
      <c r="L1163" s="104">
        <v>65000</v>
      </c>
      <c r="M1163" s="104">
        <v>650000</v>
      </c>
      <c r="N1163" s="39">
        <v>380000</v>
      </c>
      <c r="O1163" s="39"/>
      <c r="P1163" s="108">
        <f>+N1163+O1163</f>
        <v>380000</v>
      </c>
      <c r="Q1163" s="39">
        <v>100</v>
      </c>
      <c r="R1163" s="39">
        <f t="shared" si="207"/>
        <v>650000</v>
      </c>
      <c r="S1163" s="42">
        <f t="shared" si="208"/>
        <v>0</v>
      </c>
    </row>
    <row r="1164" spans="1:19">
      <c r="A1164" s="99">
        <v>2026</v>
      </c>
      <c r="B1164" s="100">
        <v>3</v>
      </c>
      <c r="C1164" s="101">
        <v>46084</v>
      </c>
      <c r="D1164" s="101" t="str">
        <f t="shared" si="206"/>
        <v>RMF00000876Самарканд_Хуршед ака 3</v>
      </c>
      <c r="E1164" s="99" t="s">
        <v>1674</v>
      </c>
      <c r="F1164" s="102" t="s">
        <v>886</v>
      </c>
      <c r="G1164" s="102" t="s">
        <v>887</v>
      </c>
      <c r="H1164" s="99" t="s">
        <v>1303</v>
      </c>
      <c r="I1164" s="102" t="s">
        <v>1675</v>
      </c>
      <c r="J1164" s="102" t="s">
        <v>46</v>
      </c>
      <c r="K1164" s="103">
        <v>20</v>
      </c>
      <c r="L1164" s="104">
        <v>64700</v>
      </c>
      <c r="M1164" s="104">
        <v>1294000</v>
      </c>
      <c r="N1164" s="39">
        <v>799000</v>
      </c>
      <c r="O1164" s="39"/>
      <c r="P1164" s="108">
        <f>+N1164+O1164</f>
        <v>799000</v>
      </c>
      <c r="Q1164" s="39">
        <v>100</v>
      </c>
      <c r="R1164" s="39">
        <f t="shared" si="207"/>
        <v>1294000</v>
      </c>
      <c r="S1164" s="42">
        <f t="shared" si="208"/>
        <v>0</v>
      </c>
    </row>
    <row r="1165" spans="1:19">
      <c r="A1165" s="99">
        <v>2026</v>
      </c>
      <c r="B1165" s="100">
        <v>3</v>
      </c>
      <c r="C1165" s="101">
        <v>46084</v>
      </c>
      <c r="D1165" s="101" t="str">
        <f t="shared" si="206"/>
        <v>RMF00000878Самарканд_Хуршед ака 2</v>
      </c>
      <c r="E1165" s="99" t="s">
        <v>1676</v>
      </c>
      <c r="F1165" s="102" t="s">
        <v>1618</v>
      </c>
      <c r="G1165" s="102" t="s">
        <v>871</v>
      </c>
      <c r="H1165" s="99" t="s">
        <v>1303</v>
      </c>
      <c r="I1165" s="102" t="s">
        <v>913</v>
      </c>
      <c r="J1165" s="102" t="s">
        <v>38</v>
      </c>
      <c r="K1165" s="103">
        <v>100</v>
      </c>
      <c r="L1165" s="104">
        <v>65000</v>
      </c>
      <c r="M1165" s="104">
        <v>6500000</v>
      </c>
      <c r="N1165" s="39">
        <v>1671000</v>
      </c>
      <c r="O1165" s="39"/>
      <c r="P1165" s="108">
        <f>+N1165+O1165</f>
        <v>1671000</v>
      </c>
      <c r="Q1165" s="39">
        <v>100</v>
      </c>
      <c r="R1165" s="39">
        <f t="shared" si="207"/>
        <v>6500000</v>
      </c>
      <c r="S1165" s="42">
        <f t="shared" si="208"/>
        <v>0</v>
      </c>
    </row>
    <row r="1166" spans="1:19">
      <c r="A1166" s="99">
        <v>2026</v>
      </c>
      <c r="B1166" s="100">
        <v>3</v>
      </c>
      <c r="C1166" s="101">
        <v>46085</v>
      </c>
      <c r="D1166" s="101" t="str">
        <f t="shared" si="206"/>
        <v>RMF00000896Сурхондарьё_Анвар ака</v>
      </c>
      <c r="E1166" s="99" t="s">
        <v>1678</v>
      </c>
      <c r="F1166" s="102" t="s">
        <v>1578</v>
      </c>
      <c r="G1166" s="102" t="s">
        <v>875</v>
      </c>
      <c r="H1166" s="99" t="s">
        <v>1303</v>
      </c>
      <c r="I1166" s="102" t="s">
        <v>930</v>
      </c>
      <c r="J1166" s="102" t="s">
        <v>38</v>
      </c>
      <c r="K1166" s="103">
        <v>20</v>
      </c>
      <c r="L1166" s="104">
        <v>65000</v>
      </c>
      <c r="M1166" s="104">
        <v>1300000</v>
      </c>
      <c r="N1166" s="39">
        <v>759000</v>
      </c>
      <c r="O1166" s="39"/>
      <c r="P1166" s="108">
        <f>+N1166+O1166</f>
        <v>759000</v>
      </c>
      <c r="Q1166" s="39">
        <v>100</v>
      </c>
      <c r="R1166" s="39">
        <f t="shared" si="207"/>
        <v>1300000</v>
      </c>
      <c r="S1166" s="42">
        <f t="shared" si="208"/>
        <v>0</v>
      </c>
    </row>
    <row r="1167" spans="1:19">
      <c r="A1167" s="99">
        <v>2026</v>
      </c>
      <c r="B1167" s="100">
        <v>3</v>
      </c>
      <c r="C1167" s="101">
        <v>46086</v>
      </c>
      <c r="D1167" s="101" t="str">
        <f t="shared" si="206"/>
        <v>RMF00000903Самарканд_Хуршед ака</v>
      </c>
      <c r="E1167" s="99" t="s">
        <v>1679</v>
      </c>
      <c r="F1167" s="102" t="s">
        <v>1462</v>
      </c>
      <c r="G1167" s="102" t="s">
        <v>272</v>
      </c>
      <c r="H1167" s="99" t="s">
        <v>1303</v>
      </c>
      <c r="I1167" s="102" t="s">
        <v>1445</v>
      </c>
      <c r="J1167" s="102" t="s">
        <v>21</v>
      </c>
      <c r="K1167" s="103">
        <v>40</v>
      </c>
      <c r="L1167" s="104">
        <v>40621</v>
      </c>
      <c r="M1167" s="104">
        <v>1624840</v>
      </c>
      <c r="N1167" s="39">
        <v>1239000</v>
      </c>
      <c r="O1167" s="39"/>
      <c r="P1167" s="108">
        <f>+N1167+O1167</f>
        <v>1239000</v>
      </c>
      <c r="Q1167" s="39">
        <v>100</v>
      </c>
      <c r="R1167" s="39">
        <f t="shared" si="207"/>
        <v>1624840</v>
      </c>
      <c r="S1167" s="42">
        <f t="shared" si="208"/>
        <v>0</v>
      </c>
    </row>
    <row r="1168" spans="1:19">
      <c r="A1168" s="99">
        <v>2026</v>
      </c>
      <c r="B1168" s="100">
        <v>3</v>
      </c>
      <c r="C1168" s="101">
        <v>46087</v>
      </c>
      <c r="D1168" s="101" t="str">
        <f t="shared" si="206"/>
        <v>RMF00000920Самарканд_Хуршед ака 2</v>
      </c>
      <c r="E1168" s="99" t="s">
        <v>1680</v>
      </c>
      <c r="F1168" s="102" t="s">
        <v>1590</v>
      </c>
      <c r="G1168" s="102" t="s">
        <v>871</v>
      </c>
      <c r="H1168" s="99" t="s">
        <v>1303</v>
      </c>
      <c r="I1168" s="102" t="s">
        <v>1330</v>
      </c>
      <c r="J1168" s="102" t="s">
        <v>41</v>
      </c>
      <c r="K1168" s="103">
        <v>87</v>
      </c>
      <c r="L1168" s="104">
        <v>90000</v>
      </c>
      <c r="M1168" s="104">
        <v>7830000</v>
      </c>
      <c r="N1168" s="39">
        <v>1041000</v>
      </c>
      <c r="O1168" s="39"/>
      <c r="P1168" s="108">
        <f>+N1168+O1168</f>
        <v>1041000</v>
      </c>
      <c r="Q1168" s="39">
        <v>100</v>
      </c>
      <c r="R1168" s="39">
        <f t="shared" si="207"/>
        <v>7830000</v>
      </c>
      <c r="S1168" s="42">
        <f t="shared" si="208"/>
        <v>0</v>
      </c>
    </row>
    <row r="1169" spans="1:19">
      <c r="A1169" s="99">
        <v>2026</v>
      </c>
      <c r="B1169" s="100">
        <v>3</v>
      </c>
      <c r="C1169" s="101">
        <v>46087</v>
      </c>
      <c r="D1169" s="101" t="str">
        <f t="shared" si="206"/>
        <v>RMF00000925Таш.Обл_Рустам ака (S)</v>
      </c>
      <c r="E1169" s="99" t="s">
        <v>1681</v>
      </c>
      <c r="F1169" s="102" t="s">
        <v>265</v>
      </c>
      <c r="G1169" s="102" t="s">
        <v>1499</v>
      </c>
      <c r="H1169" s="99" t="s">
        <v>1303</v>
      </c>
      <c r="I1169" s="102" t="s">
        <v>1682</v>
      </c>
      <c r="J1169" s="102" t="s">
        <v>41</v>
      </c>
      <c r="K1169" s="103">
        <v>40</v>
      </c>
      <c r="L1169" s="104">
        <v>90000</v>
      </c>
      <c r="M1169" s="104">
        <v>3600000</v>
      </c>
      <c r="N1169" s="39">
        <v>1007000</v>
      </c>
      <c r="O1169" s="39"/>
      <c r="P1169" s="108">
        <f>+N1169+O1169</f>
        <v>1007000</v>
      </c>
      <c r="Q1169" s="39">
        <v>50</v>
      </c>
      <c r="R1169" s="39">
        <f t="shared" si="207"/>
        <v>1800000</v>
      </c>
      <c r="S1169" s="42">
        <f t="shared" si="208"/>
        <v>1800000</v>
      </c>
    </row>
    <row r="1170" spans="1:19">
      <c r="A1170" s="99">
        <v>2026</v>
      </c>
      <c r="B1170" s="100">
        <v>3</v>
      </c>
      <c r="C1170" s="101">
        <v>46087</v>
      </c>
      <c r="D1170" s="101" t="str">
        <f t="shared" si="206"/>
        <v>RMF00000933Самарканд_Хуршед ака 2</v>
      </c>
      <c r="E1170" s="99" t="s">
        <v>1683</v>
      </c>
      <c r="F1170" s="102" t="s">
        <v>1590</v>
      </c>
      <c r="G1170" s="102" t="s">
        <v>871</v>
      </c>
      <c r="H1170" s="99" t="s">
        <v>1303</v>
      </c>
      <c r="I1170" s="102" t="s">
        <v>973</v>
      </c>
      <c r="J1170" s="102" t="s">
        <v>41</v>
      </c>
      <c r="K1170" s="103">
        <v>50</v>
      </c>
      <c r="L1170" s="104">
        <v>90000</v>
      </c>
      <c r="M1170" s="104">
        <v>4500000</v>
      </c>
      <c r="N1170" s="39">
        <v>1259000</v>
      </c>
      <c r="O1170" s="39"/>
      <c r="P1170" s="108">
        <f>+N1170+O1170</f>
        <v>1259000</v>
      </c>
      <c r="Q1170" s="39">
        <v>100</v>
      </c>
      <c r="R1170" s="39">
        <f t="shared" si="207"/>
        <v>4500000</v>
      </c>
      <c r="S1170" s="42">
        <f t="shared" si="208"/>
        <v>0</v>
      </c>
    </row>
    <row r="1171" spans="1:19">
      <c r="A1171" s="99">
        <v>2026</v>
      </c>
      <c r="B1171" s="100">
        <v>3</v>
      </c>
      <c r="C1171" s="101">
        <v>46091</v>
      </c>
      <c r="D1171" s="101" t="str">
        <f t="shared" si="206"/>
        <v>RMF00000939Самарканд_Хуршед ака</v>
      </c>
      <c r="E1171" s="99" t="s">
        <v>1684</v>
      </c>
      <c r="F1171" s="102" t="s">
        <v>1462</v>
      </c>
      <c r="G1171" s="102" t="s">
        <v>272</v>
      </c>
      <c r="H1171" s="99" t="s">
        <v>1303</v>
      </c>
      <c r="I1171" s="102" t="s">
        <v>1445</v>
      </c>
      <c r="J1171" s="102" t="s">
        <v>21</v>
      </c>
      <c r="K1171" s="103">
        <v>30</v>
      </c>
      <c r="L1171" s="104">
        <v>40621</v>
      </c>
      <c r="M1171" s="104">
        <v>1218630</v>
      </c>
      <c r="N1171" s="39">
        <v>929000</v>
      </c>
      <c r="O1171" s="39"/>
      <c r="P1171" s="108">
        <f>+N1171+O1171</f>
        <v>929000</v>
      </c>
      <c r="Q1171" s="39">
        <v>100</v>
      </c>
      <c r="R1171" s="39">
        <f t="shared" si="207"/>
        <v>1218630</v>
      </c>
      <c r="S1171" s="42">
        <f t="shared" si="208"/>
        <v>0</v>
      </c>
    </row>
    <row r="1172" spans="1:19">
      <c r="A1172" s="99">
        <v>2026</v>
      </c>
      <c r="B1172" s="100">
        <v>3</v>
      </c>
      <c r="C1172" s="101">
        <v>46091</v>
      </c>
      <c r="D1172" s="101" t="str">
        <f t="shared" si="206"/>
        <v>RMF00000942Самарканд_Хуршед ака 2</v>
      </c>
      <c r="E1172" s="99" t="s">
        <v>1685</v>
      </c>
      <c r="F1172" s="102" t="s">
        <v>1618</v>
      </c>
      <c r="G1172" s="102" t="s">
        <v>871</v>
      </c>
      <c r="H1172" s="99" t="s">
        <v>1303</v>
      </c>
      <c r="I1172" s="102" t="s">
        <v>1545</v>
      </c>
      <c r="J1172" s="102" t="s">
        <v>38</v>
      </c>
      <c r="K1172" s="103">
        <v>100</v>
      </c>
      <c r="L1172" s="104">
        <v>65000</v>
      </c>
      <c r="M1172" s="104">
        <v>6500000</v>
      </c>
      <c r="N1172" s="39">
        <v>1619000</v>
      </c>
      <c r="O1172" s="39"/>
      <c r="P1172" s="108">
        <f>+N1172+O1172</f>
        <v>1619000</v>
      </c>
      <c r="Q1172" s="39">
        <v>100</v>
      </c>
      <c r="R1172" s="39">
        <f t="shared" si="207"/>
        <v>6500000</v>
      </c>
      <c r="S1172" s="42">
        <f t="shared" si="208"/>
        <v>0</v>
      </c>
    </row>
    <row r="1173" spans="1:19">
      <c r="A1173" s="99">
        <v>2026</v>
      </c>
      <c r="B1173" s="100">
        <v>3</v>
      </c>
      <c r="C1173" s="101">
        <v>46091</v>
      </c>
      <c r="D1173" s="101" t="str">
        <f t="shared" si="206"/>
        <v>RMF00000943Андижон_Жонибек ака (S)</v>
      </c>
      <c r="E1173" s="99" t="s">
        <v>1686</v>
      </c>
      <c r="F1173" s="102" t="s">
        <v>1383</v>
      </c>
      <c r="G1173" s="102" t="s">
        <v>1280</v>
      </c>
      <c r="H1173" s="99" t="s">
        <v>1303</v>
      </c>
      <c r="I1173" s="102" t="s">
        <v>1410</v>
      </c>
      <c r="J1173" s="102" t="s">
        <v>38</v>
      </c>
      <c r="K1173" s="103">
        <v>100</v>
      </c>
      <c r="L1173" s="104">
        <v>65000</v>
      </c>
      <c r="M1173" s="104">
        <v>6500000</v>
      </c>
      <c r="N1173" s="39">
        <v>3797000</v>
      </c>
      <c r="O1173" s="39"/>
      <c r="P1173" s="108">
        <f>+N1173+O1173</f>
        <v>3797000</v>
      </c>
      <c r="Q1173" s="39">
        <v>100</v>
      </c>
      <c r="R1173" s="39">
        <f t="shared" si="207"/>
        <v>6500000</v>
      </c>
      <c r="S1173" s="42">
        <f t="shared" si="208"/>
        <v>0</v>
      </c>
    </row>
    <row r="1174" spans="1:19">
      <c r="A1174" s="99">
        <v>2026</v>
      </c>
      <c r="B1174" s="100">
        <v>3</v>
      </c>
      <c r="C1174" s="101">
        <v>46092</v>
      </c>
      <c r="D1174" s="101" t="str">
        <f t="shared" si="206"/>
        <v>RMF00000953Самарканд_Хуршед ака 3</v>
      </c>
      <c r="E1174" s="99" t="s">
        <v>1687</v>
      </c>
      <c r="F1174" s="102" t="s">
        <v>886</v>
      </c>
      <c r="G1174" s="102" t="s">
        <v>887</v>
      </c>
      <c r="H1174" s="99" t="s">
        <v>1303</v>
      </c>
      <c r="I1174" s="102" t="s">
        <v>995</v>
      </c>
      <c r="J1174" s="102" t="s">
        <v>46</v>
      </c>
      <c r="K1174" s="103">
        <v>30</v>
      </c>
      <c r="L1174" s="104">
        <v>64700</v>
      </c>
      <c r="M1174" s="104">
        <v>1941000</v>
      </c>
      <c r="N1174" s="39">
        <v>533000</v>
      </c>
      <c r="O1174" s="39"/>
      <c r="P1174" s="108">
        <f>+N1174+O1174</f>
        <v>533000</v>
      </c>
      <c r="Q1174" s="39">
        <v>100</v>
      </c>
      <c r="R1174" s="39">
        <f t="shared" si="207"/>
        <v>1941000</v>
      </c>
      <c r="S1174" s="42">
        <f t="shared" si="208"/>
        <v>0</v>
      </c>
    </row>
    <row r="1175" spans="1:19">
      <c r="A1175" s="99">
        <v>2026</v>
      </c>
      <c r="B1175" s="100">
        <v>3</v>
      </c>
      <c r="C1175" s="101">
        <v>46092</v>
      </c>
      <c r="D1175" s="101" t="str">
        <f t="shared" si="206"/>
        <v>RMF00000957Кукон_Баходирхон ака</v>
      </c>
      <c r="E1175" s="99" t="s">
        <v>1689</v>
      </c>
      <c r="F1175" s="102" t="s">
        <v>1690</v>
      </c>
      <c r="G1175" s="102" t="s">
        <v>1264</v>
      </c>
      <c r="H1175" s="99" t="s">
        <v>1303</v>
      </c>
      <c r="I1175" s="102" t="s">
        <v>1265</v>
      </c>
      <c r="J1175" s="102" t="s">
        <v>38</v>
      </c>
      <c r="K1175" s="103">
        <v>15</v>
      </c>
      <c r="L1175" s="104">
        <v>65000</v>
      </c>
      <c r="M1175" s="104">
        <v>975000</v>
      </c>
      <c r="N1175" s="39">
        <v>209000</v>
      </c>
      <c r="O1175" s="39"/>
      <c r="P1175" s="108">
        <f>+N1175+O1175</f>
        <v>209000</v>
      </c>
      <c r="Q1175" s="39">
        <v>100</v>
      </c>
      <c r="R1175" s="39">
        <f t="shared" si="207"/>
        <v>975000</v>
      </c>
      <c r="S1175" s="42">
        <f t="shared" si="208"/>
        <v>0</v>
      </c>
    </row>
    <row r="1176" spans="1:19">
      <c r="A1176" s="99">
        <v>2026</v>
      </c>
      <c r="B1176" s="100">
        <v>3</v>
      </c>
      <c r="C1176" s="101">
        <v>46093</v>
      </c>
      <c r="D1176" s="101" t="str">
        <f t="shared" si="206"/>
        <v>RMF00000964Навоий_Гулшода опа</v>
      </c>
      <c r="E1176" s="99" t="s">
        <v>1691</v>
      </c>
      <c r="F1176" s="102" t="s">
        <v>287</v>
      </c>
      <c r="G1176" s="102" t="s">
        <v>288</v>
      </c>
      <c r="H1176" s="99" t="s">
        <v>1303</v>
      </c>
      <c r="I1176" s="102" t="s">
        <v>686</v>
      </c>
      <c r="J1176" s="102" t="s">
        <v>466</v>
      </c>
      <c r="K1176" s="103">
        <v>10</v>
      </c>
      <c r="L1176" s="104">
        <v>120000</v>
      </c>
      <c r="M1176" s="104">
        <v>1200000</v>
      </c>
      <c r="N1176" s="39">
        <v>366000</v>
      </c>
      <c r="O1176" s="39"/>
      <c r="P1176" s="108">
        <f>+N1176+O1176</f>
        <v>366000</v>
      </c>
      <c r="Q1176" s="39">
        <v>100</v>
      </c>
      <c r="R1176" s="39">
        <f t="shared" si="207"/>
        <v>1200000</v>
      </c>
      <c r="S1176" s="42">
        <f t="shared" si="208"/>
        <v>0</v>
      </c>
    </row>
    <row r="1177" spans="1:19">
      <c r="A1177" s="99">
        <v>2026</v>
      </c>
      <c r="B1177" s="100">
        <v>3</v>
      </c>
      <c r="C1177" s="101">
        <v>46093</v>
      </c>
      <c r="D1177" s="101" t="str">
        <f t="shared" si="206"/>
        <v>RMF00000964Навоий_Гулшода опа</v>
      </c>
      <c r="E1177" s="99" t="s">
        <v>1691</v>
      </c>
      <c r="F1177" s="102" t="s">
        <v>287</v>
      </c>
      <c r="G1177" s="102" t="s">
        <v>288</v>
      </c>
      <c r="H1177" s="99" t="s">
        <v>1303</v>
      </c>
      <c r="I1177" s="102" t="s">
        <v>686</v>
      </c>
      <c r="J1177" s="102" t="s">
        <v>38</v>
      </c>
      <c r="K1177" s="103">
        <v>10</v>
      </c>
      <c r="L1177" s="104">
        <v>65000</v>
      </c>
      <c r="M1177" s="104">
        <v>650000</v>
      </c>
      <c r="N1177" s="39">
        <v>170000</v>
      </c>
      <c r="O1177" s="39"/>
      <c r="P1177" s="108">
        <f>+N1177+O1177</f>
        <v>170000</v>
      </c>
      <c r="Q1177" s="39">
        <v>100</v>
      </c>
      <c r="R1177" s="39">
        <f t="shared" si="207"/>
        <v>650000</v>
      </c>
      <c r="S1177" s="42">
        <f t="shared" si="208"/>
        <v>0</v>
      </c>
    </row>
    <row r="1178" spans="1:19">
      <c r="A1178" s="99">
        <v>2026</v>
      </c>
      <c r="B1178" s="100">
        <v>3</v>
      </c>
      <c r="C1178" s="101">
        <v>46093</v>
      </c>
      <c r="D1178" s="101" t="str">
        <f t="shared" si="206"/>
        <v>RMF00000968Самарканд_Хуршед ака</v>
      </c>
      <c r="E1178" s="99" t="s">
        <v>1692</v>
      </c>
      <c r="F1178" s="102" t="s">
        <v>1302</v>
      </c>
      <c r="G1178" s="102" t="s">
        <v>272</v>
      </c>
      <c r="H1178" s="99" t="s">
        <v>1303</v>
      </c>
      <c r="I1178" s="102" t="s">
        <v>1693</v>
      </c>
      <c r="J1178" s="102" t="s">
        <v>21</v>
      </c>
      <c r="K1178" s="103">
        <v>83</v>
      </c>
      <c r="L1178" s="104">
        <v>40621</v>
      </c>
      <c r="M1178" s="104">
        <v>3371543</v>
      </c>
      <c r="N1178" s="39">
        <v>1125000</v>
      </c>
      <c r="O1178" s="39"/>
      <c r="P1178" s="108">
        <f>+N1178+O1178</f>
        <v>1125000</v>
      </c>
      <c r="Q1178" s="39">
        <v>100</v>
      </c>
      <c r="R1178" s="39">
        <f t="shared" si="207"/>
        <v>3371543</v>
      </c>
      <c r="S1178" s="42">
        <f t="shared" si="208"/>
        <v>0</v>
      </c>
    </row>
    <row r="1179" spans="1:19">
      <c r="A1179" s="99">
        <v>2026</v>
      </c>
      <c r="B1179" s="100">
        <v>3</v>
      </c>
      <c r="C1179" s="101">
        <v>46093</v>
      </c>
      <c r="D1179" s="101" t="str">
        <f t="shared" si="206"/>
        <v>RMF00000968Самарканд_Хуршед ака</v>
      </c>
      <c r="E1179" s="99" t="s">
        <v>1692</v>
      </c>
      <c r="F1179" s="102" t="s">
        <v>1302</v>
      </c>
      <c r="G1179" s="102" t="s">
        <v>272</v>
      </c>
      <c r="H1179" s="99" t="s">
        <v>1303</v>
      </c>
      <c r="I1179" s="102" t="s">
        <v>1693</v>
      </c>
      <c r="J1179" s="102" t="s">
        <v>21</v>
      </c>
      <c r="K1179" s="103">
        <v>117</v>
      </c>
      <c r="L1179" s="104">
        <v>40621</v>
      </c>
      <c r="M1179" s="104">
        <v>4752657</v>
      </c>
      <c r="N1179" s="39">
        <v>1125000</v>
      </c>
      <c r="O1179" s="39"/>
      <c r="P1179" s="108">
        <f>+N1179+O1179</f>
        <v>1125000</v>
      </c>
      <c r="Q1179" s="39">
        <v>100</v>
      </c>
      <c r="R1179" s="39">
        <f t="shared" si="207"/>
        <v>4752657</v>
      </c>
      <c r="S1179" s="42">
        <f t="shared" si="208"/>
        <v>0</v>
      </c>
    </row>
    <row r="1180" spans="1:19">
      <c r="A1180" s="99">
        <v>2026</v>
      </c>
      <c r="B1180" s="100">
        <v>3</v>
      </c>
      <c r="C1180" s="101">
        <v>46093</v>
      </c>
      <c r="D1180" s="101" t="str">
        <f t="shared" si="206"/>
        <v>RMF00000969Самарканд_Хуршед ака</v>
      </c>
      <c r="E1180" s="99" t="s">
        <v>1694</v>
      </c>
      <c r="F1180" s="102" t="s">
        <v>1302</v>
      </c>
      <c r="G1180" s="102" t="s">
        <v>272</v>
      </c>
      <c r="H1180" s="99" t="s">
        <v>1303</v>
      </c>
      <c r="I1180" s="102" t="s">
        <v>417</v>
      </c>
      <c r="J1180" s="102" t="s">
        <v>21</v>
      </c>
      <c r="K1180" s="103">
        <v>227</v>
      </c>
      <c r="L1180" s="104">
        <v>40621</v>
      </c>
      <c r="M1180" s="104">
        <v>9220967</v>
      </c>
      <c r="N1180" s="39">
        <v>2261000</v>
      </c>
      <c r="O1180" s="39"/>
      <c r="P1180" s="108">
        <f>+N1180+O1180</f>
        <v>2261000</v>
      </c>
      <c r="Q1180" s="39">
        <v>100</v>
      </c>
      <c r="R1180" s="39">
        <f t="shared" si="207"/>
        <v>9220967</v>
      </c>
      <c r="S1180" s="42">
        <f t="shared" si="208"/>
        <v>0</v>
      </c>
    </row>
    <row r="1181" spans="1:19">
      <c r="A1181" s="99">
        <v>2026</v>
      </c>
      <c r="B1181" s="100">
        <v>3</v>
      </c>
      <c r="C1181" s="101">
        <v>46093</v>
      </c>
      <c r="D1181" s="101" t="str">
        <f t="shared" si="206"/>
        <v>RMF00000969Самарканд_Хуршед ака</v>
      </c>
      <c r="E1181" s="99" t="s">
        <v>1694</v>
      </c>
      <c r="F1181" s="102" t="s">
        <v>1302</v>
      </c>
      <c r="G1181" s="102" t="s">
        <v>272</v>
      </c>
      <c r="H1181" s="99" t="s">
        <v>1303</v>
      </c>
      <c r="I1181" s="102" t="s">
        <v>417</v>
      </c>
      <c r="J1181" s="102" t="s">
        <v>21</v>
      </c>
      <c r="K1181" s="103">
        <v>73</v>
      </c>
      <c r="L1181" s="104">
        <v>40621</v>
      </c>
      <c r="M1181" s="104">
        <v>2965333</v>
      </c>
      <c r="N1181" s="39">
        <v>2261000</v>
      </c>
      <c r="O1181" s="39"/>
      <c r="P1181" s="108">
        <f>+N1181+O1181</f>
        <v>2261000</v>
      </c>
      <c r="Q1181" s="39">
        <v>100</v>
      </c>
      <c r="R1181" s="39">
        <f t="shared" si="207"/>
        <v>2965333</v>
      </c>
      <c r="S1181" s="42">
        <f t="shared" si="208"/>
        <v>0</v>
      </c>
    </row>
    <row r="1182" spans="1:19">
      <c r="A1182" s="99">
        <v>2026</v>
      </c>
      <c r="B1182" s="100">
        <v>3</v>
      </c>
      <c r="C1182" s="101">
        <v>46093</v>
      </c>
      <c r="D1182" s="101" t="str">
        <f t="shared" si="206"/>
        <v>RMF00000972Навоий_Гулшода опа</v>
      </c>
      <c r="E1182" s="99" t="s">
        <v>1695</v>
      </c>
      <c r="F1182" s="102" t="s">
        <v>287</v>
      </c>
      <c r="G1182" s="102" t="s">
        <v>288</v>
      </c>
      <c r="H1182" s="99" t="s">
        <v>1303</v>
      </c>
      <c r="I1182" s="102" t="s">
        <v>358</v>
      </c>
      <c r="J1182" s="102" t="s">
        <v>38</v>
      </c>
      <c r="K1182" s="103">
        <v>10</v>
      </c>
      <c r="L1182" s="104">
        <v>65000</v>
      </c>
      <c r="M1182" s="104">
        <v>650000</v>
      </c>
      <c r="N1182" s="39">
        <v>81000</v>
      </c>
      <c r="O1182" s="39"/>
      <c r="P1182" s="108">
        <f>+N1182+O1182</f>
        <v>81000</v>
      </c>
      <c r="Q1182" s="39">
        <v>100</v>
      </c>
      <c r="R1182" s="39">
        <f t="shared" si="207"/>
        <v>650000</v>
      </c>
      <c r="S1182" s="42">
        <f t="shared" si="208"/>
        <v>0</v>
      </c>
    </row>
    <row r="1183" spans="1:19">
      <c r="A1183" s="99">
        <v>2026</v>
      </c>
      <c r="B1183" s="100">
        <v>3</v>
      </c>
      <c r="C1183" s="101">
        <v>46093</v>
      </c>
      <c r="D1183" s="101" t="str">
        <f t="shared" si="206"/>
        <v>RMF00000972Навоий_Гулшода опа</v>
      </c>
      <c r="E1183" s="99" t="s">
        <v>1695</v>
      </c>
      <c r="F1183" s="102" t="s">
        <v>287</v>
      </c>
      <c r="G1183" s="102" t="s">
        <v>288</v>
      </c>
      <c r="H1183" s="99" t="s">
        <v>1303</v>
      </c>
      <c r="I1183" s="102" t="s">
        <v>358</v>
      </c>
      <c r="J1183" s="102" t="s">
        <v>466</v>
      </c>
      <c r="K1183" s="103">
        <v>10</v>
      </c>
      <c r="L1183" s="104">
        <v>120000</v>
      </c>
      <c r="M1183" s="104">
        <v>1200000</v>
      </c>
      <c r="N1183" s="39">
        <v>174000</v>
      </c>
      <c r="O1183" s="39"/>
      <c r="P1183" s="108">
        <f>+N1183+O1183</f>
        <v>174000</v>
      </c>
      <c r="Q1183" s="39">
        <v>100</v>
      </c>
      <c r="R1183" s="39">
        <f t="shared" si="207"/>
        <v>1200000</v>
      </c>
      <c r="S1183" s="42">
        <f t="shared" si="208"/>
        <v>0</v>
      </c>
    </row>
    <row r="1184" spans="1:19">
      <c r="A1184" s="99">
        <v>2026</v>
      </c>
      <c r="B1184" s="100">
        <v>3</v>
      </c>
      <c r="C1184" s="101">
        <v>46094</v>
      </c>
      <c r="D1184" s="101" t="str">
        <f t="shared" si="206"/>
        <v>RMF00000976Самарканд_Хуршед ака 2</v>
      </c>
      <c r="E1184" s="99" t="s">
        <v>1696</v>
      </c>
      <c r="F1184" s="102" t="s">
        <v>1618</v>
      </c>
      <c r="G1184" s="102" t="s">
        <v>871</v>
      </c>
      <c r="H1184" s="99" t="s">
        <v>1303</v>
      </c>
      <c r="I1184" s="102" t="s">
        <v>944</v>
      </c>
      <c r="J1184" s="102" t="s">
        <v>41</v>
      </c>
      <c r="K1184" s="103">
        <v>20</v>
      </c>
      <c r="L1184" s="104">
        <v>90000</v>
      </c>
      <c r="M1184" s="104">
        <v>1800000</v>
      </c>
      <c r="N1184" s="39">
        <v>504000</v>
      </c>
      <c r="O1184" s="39"/>
      <c r="P1184" s="108">
        <f>+N1184+O1184</f>
        <v>504000</v>
      </c>
      <c r="Q1184" s="39">
        <v>100</v>
      </c>
      <c r="R1184" s="39">
        <f t="shared" si="207"/>
        <v>1800000</v>
      </c>
      <c r="S1184" s="42">
        <f t="shared" si="208"/>
        <v>0</v>
      </c>
    </row>
    <row r="1185" spans="1:19">
      <c r="A1185" s="99">
        <v>2026</v>
      </c>
      <c r="B1185" s="100">
        <v>3</v>
      </c>
      <c r="C1185" s="101">
        <v>46094</v>
      </c>
      <c r="D1185" s="101" t="str">
        <f t="shared" si="206"/>
        <v>RMF00000976Самарканд_Хуршед ака 2</v>
      </c>
      <c r="E1185" s="99" t="s">
        <v>1696</v>
      </c>
      <c r="F1185" s="102" t="s">
        <v>1618</v>
      </c>
      <c r="G1185" s="102" t="s">
        <v>871</v>
      </c>
      <c r="H1185" s="99" t="s">
        <v>1303</v>
      </c>
      <c r="I1185" s="102" t="s">
        <v>944</v>
      </c>
      <c r="J1185" s="102" t="s">
        <v>38</v>
      </c>
      <c r="K1185" s="103">
        <v>30</v>
      </c>
      <c r="L1185" s="104">
        <v>65000</v>
      </c>
      <c r="M1185" s="104">
        <v>1950000</v>
      </c>
      <c r="N1185" s="39">
        <v>501000</v>
      </c>
      <c r="O1185" s="39"/>
      <c r="P1185" s="108">
        <f>+N1185+O1185</f>
        <v>501000</v>
      </c>
      <c r="Q1185" s="39">
        <v>100</v>
      </c>
      <c r="R1185" s="39">
        <f t="shared" si="207"/>
        <v>1950000</v>
      </c>
      <c r="S1185" s="42">
        <f t="shared" si="208"/>
        <v>0</v>
      </c>
    </row>
    <row r="1186" spans="1:19">
      <c r="A1186" s="99">
        <v>2026</v>
      </c>
      <c r="B1186" s="100">
        <v>3</v>
      </c>
      <c r="C1186" s="101">
        <v>46094</v>
      </c>
      <c r="D1186" s="101" t="str">
        <f t="shared" si="206"/>
        <v>RMF00000980Самарканд_Хуршед ака 2</v>
      </c>
      <c r="E1186" s="99" t="s">
        <v>1697</v>
      </c>
      <c r="F1186" s="102" t="s">
        <v>1618</v>
      </c>
      <c r="G1186" s="102" t="s">
        <v>871</v>
      </c>
      <c r="H1186" s="99" t="s">
        <v>1303</v>
      </c>
      <c r="I1186" s="102" t="s">
        <v>1545</v>
      </c>
      <c r="J1186" s="102" t="s">
        <v>21</v>
      </c>
      <c r="K1186" s="103">
        <v>50</v>
      </c>
      <c r="L1186" s="104">
        <v>40621</v>
      </c>
      <c r="M1186" s="104">
        <v>2031050</v>
      </c>
      <c r="N1186" s="39">
        <v>779000</v>
      </c>
      <c r="O1186" s="39"/>
      <c r="P1186" s="108">
        <f>+N1186+O1186</f>
        <v>779000</v>
      </c>
      <c r="Q1186" s="39">
        <v>100</v>
      </c>
      <c r="R1186" s="39">
        <f t="shared" si="207"/>
        <v>2031050</v>
      </c>
      <c r="S1186" s="42">
        <f t="shared" si="208"/>
        <v>0</v>
      </c>
    </row>
    <row r="1187" spans="1:19">
      <c r="A1187" s="99">
        <v>2026</v>
      </c>
      <c r="B1187" s="100">
        <v>3</v>
      </c>
      <c r="C1187" s="101">
        <v>46094</v>
      </c>
      <c r="D1187" s="101" t="str">
        <f t="shared" si="206"/>
        <v>RMF00000986Самарканд_Хуршед ака 2</v>
      </c>
      <c r="E1187" s="99" t="s">
        <v>1698</v>
      </c>
      <c r="F1187" s="102" t="s">
        <v>1618</v>
      </c>
      <c r="G1187" s="102" t="s">
        <v>871</v>
      </c>
      <c r="H1187" s="99" t="s">
        <v>1303</v>
      </c>
      <c r="I1187" s="102" t="s">
        <v>981</v>
      </c>
      <c r="J1187" s="102" t="s">
        <v>38</v>
      </c>
      <c r="K1187" s="103">
        <v>15</v>
      </c>
      <c r="L1187" s="104">
        <v>65000</v>
      </c>
      <c r="M1187" s="104">
        <v>975000</v>
      </c>
      <c r="N1187" s="39">
        <v>251000</v>
      </c>
      <c r="O1187" s="39"/>
      <c r="P1187" s="108">
        <f>+N1187+O1187</f>
        <v>251000</v>
      </c>
      <c r="Q1187" s="39">
        <v>100</v>
      </c>
      <c r="R1187" s="39">
        <f t="shared" si="207"/>
        <v>975000</v>
      </c>
      <c r="S1187" s="42">
        <f t="shared" si="208"/>
        <v>0</v>
      </c>
    </row>
    <row r="1188" spans="1:19">
      <c r="A1188" s="99">
        <v>2026</v>
      </c>
      <c r="B1188" s="100">
        <v>3</v>
      </c>
      <c r="C1188" s="101">
        <v>46094</v>
      </c>
      <c r="D1188" s="101" t="str">
        <f t="shared" si="206"/>
        <v>RMF00000986Самарканд_Хуршед ака 2</v>
      </c>
      <c r="E1188" s="99" t="s">
        <v>1698</v>
      </c>
      <c r="F1188" s="102" t="s">
        <v>1618</v>
      </c>
      <c r="G1188" s="102" t="s">
        <v>871</v>
      </c>
      <c r="H1188" s="99" t="s">
        <v>1303</v>
      </c>
      <c r="I1188" s="102" t="s">
        <v>981</v>
      </c>
      <c r="J1188" s="102" t="s">
        <v>41</v>
      </c>
      <c r="K1188" s="103">
        <v>10</v>
      </c>
      <c r="L1188" s="104">
        <v>90000</v>
      </c>
      <c r="M1188" s="104">
        <v>900000</v>
      </c>
      <c r="N1188" s="39">
        <v>252000</v>
      </c>
      <c r="O1188" s="39"/>
      <c r="P1188" s="108">
        <f>+N1188+O1188</f>
        <v>252000</v>
      </c>
      <c r="Q1188" s="39">
        <v>100</v>
      </c>
      <c r="R1188" s="39">
        <f t="shared" si="207"/>
        <v>900000</v>
      </c>
      <c r="S1188" s="42">
        <f t="shared" si="208"/>
        <v>0</v>
      </c>
    </row>
    <row r="1189" spans="1:19">
      <c r="A1189" s="99">
        <v>2026</v>
      </c>
      <c r="B1189" s="100">
        <v>3</v>
      </c>
      <c r="C1189" s="101">
        <v>46094</v>
      </c>
      <c r="D1189" s="101" t="str">
        <f t="shared" si="206"/>
        <v>RMF00000987Нукус_Мехрибон опа</v>
      </c>
      <c r="E1189" s="99" t="s">
        <v>1699</v>
      </c>
      <c r="F1189" s="102" t="s">
        <v>1318</v>
      </c>
      <c r="G1189" s="102" t="s">
        <v>1319</v>
      </c>
      <c r="H1189" s="99" t="s">
        <v>1303</v>
      </c>
      <c r="I1189" s="102" t="s">
        <v>1339</v>
      </c>
      <c r="J1189" s="102" t="s">
        <v>41</v>
      </c>
      <c r="K1189" s="103">
        <v>100</v>
      </c>
      <c r="L1189" s="104">
        <v>90000</v>
      </c>
      <c r="M1189" s="104">
        <v>9000000</v>
      </c>
      <c r="N1189" s="39">
        <v>1534000</v>
      </c>
      <c r="O1189" s="39"/>
      <c r="P1189" s="108">
        <f>+N1189+O1189</f>
        <v>1534000</v>
      </c>
      <c r="Q1189" s="39">
        <v>100</v>
      </c>
      <c r="R1189" s="39">
        <f t="shared" si="207"/>
        <v>9000000</v>
      </c>
      <c r="S1189" s="42">
        <f t="shared" si="208"/>
        <v>0</v>
      </c>
    </row>
    <row r="1190" spans="1:19">
      <c r="A1190" s="99">
        <v>2026</v>
      </c>
      <c r="B1190" s="100">
        <v>3</v>
      </c>
      <c r="C1190" s="101">
        <v>46094</v>
      </c>
      <c r="D1190" s="101" t="str">
        <f t="shared" si="206"/>
        <v>RMF00000988Самарканд_Хуршед ака 2</v>
      </c>
      <c r="E1190" s="99" t="s">
        <v>1700</v>
      </c>
      <c r="F1190" s="102" t="s">
        <v>1618</v>
      </c>
      <c r="G1190" s="102" t="s">
        <v>871</v>
      </c>
      <c r="H1190" s="99" t="s">
        <v>1303</v>
      </c>
      <c r="I1190" s="102" t="s">
        <v>1701</v>
      </c>
      <c r="J1190" s="102" t="s">
        <v>38</v>
      </c>
      <c r="K1190" s="103">
        <v>60</v>
      </c>
      <c r="L1190" s="104">
        <v>65000</v>
      </c>
      <c r="M1190" s="104">
        <v>3900000</v>
      </c>
      <c r="N1190" s="39">
        <v>300000</v>
      </c>
      <c r="O1190" s="39"/>
      <c r="P1190" s="108">
        <f>+N1190+O1190</f>
        <v>300000</v>
      </c>
      <c r="Q1190" s="39">
        <v>100</v>
      </c>
      <c r="R1190" s="39">
        <f t="shared" si="207"/>
        <v>3900000</v>
      </c>
      <c r="S1190" s="42">
        <f t="shared" si="208"/>
        <v>0</v>
      </c>
    </row>
    <row r="1191" spans="1:19">
      <c r="A1191" s="99">
        <v>2026</v>
      </c>
      <c r="B1191" s="100">
        <v>3</v>
      </c>
      <c r="C1191" s="101">
        <v>46094</v>
      </c>
      <c r="D1191" s="101" t="str">
        <f t="shared" si="206"/>
        <v>RMF00000988Самарканд_Хуршед ака 2</v>
      </c>
      <c r="E1191" s="99" t="s">
        <v>1700</v>
      </c>
      <c r="F1191" s="102" t="s">
        <v>1618</v>
      </c>
      <c r="G1191" s="102" t="s">
        <v>871</v>
      </c>
      <c r="H1191" s="99" t="s">
        <v>1303</v>
      </c>
      <c r="I1191" s="102" t="s">
        <v>1701</v>
      </c>
      <c r="J1191" s="102" t="s">
        <v>41</v>
      </c>
      <c r="K1191" s="103">
        <v>30</v>
      </c>
      <c r="L1191" s="104">
        <v>90000</v>
      </c>
      <c r="M1191" s="104">
        <v>2700000</v>
      </c>
      <c r="N1191" s="39">
        <v>755000</v>
      </c>
      <c r="O1191" s="39"/>
      <c r="P1191" s="108">
        <f>+N1191+O1191</f>
        <v>755000</v>
      </c>
      <c r="Q1191" s="39">
        <v>100</v>
      </c>
      <c r="R1191" s="39">
        <f t="shared" si="207"/>
        <v>2700000</v>
      </c>
      <c r="S1191" s="42">
        <f t="shared" si="208"/>
        <v>0</v>
      </c>
    </row>
    <row r="1192" spans="1:19">
      <c r="A1192" s="99">
        <v>2026</v>
      </c>
      <c r="B1192" s="100">
        <v>3</v>
      </c>
      <c r="C1192" s="101">
        <v>46094</v>
      </c>
      <c r="D1192" s="101" t="str">
        <f t="shared" si="206"/>
        <v>RMF00000988Самарканд_Хуршед ака 2</v>
      </c>
      <c r="E1192" s="99" t="s">
        <v>1700</v>
      </c>
      <c r="F1192" s="102" t="s">
        <v>1618</v>
      </c>
      <c r="G1192" s="102" t="s">
        <v>871</v>
      </c>
      <c r="H1192" s="99" t="s">
        <v>1303</v>
      </c>
      <c r="I1192" s="102" t="s">
        <v>1701</v>
      </c>
      <c r="J1192" s="102" t="s">
        <v>38</v>
      </c>
      <c r="K1192" s="103">
        <v>18</v>
      </c>
      <c r="L1192" s="104">
        <v>65000</v>
      </c>
      <c r="M1192" s="104">
        <v>1170000</v>
      </c>
      <c r="N1192" s="39">
        <v>300000</v>
      </c>
      <c r="O1192" s="39"/>
      <c r="P1192" s="108">
        <f>+N1192+O1192</f>
        <v>300000</v>
      </c>
      <c r="Q1192" s="39">
        <v>100</v>
      </c>
      <c r="R1192" s="39">
        <f t="shared" si="207"/>
        <v>1170000</v>
      </c>
      <c r="S1192" s="42">
        <f t="shared" si="208"/>
        <v>0</v>
      </c>
    </row>
    <row r="1193" spans="1:19">
      <c r="A1193" s="99">
        <v>2026</v>
      </c>
      <c r="B1193" s="100">
        <v>3</v>
      </c>
      <c r="C1193" s="101">
        <v>46097</v>
      </c>
      <c r="D1193" s="101" t="str">
        <f t="shared" si="206"/>
        <v>RMF00001004Самарканд_Хуршед ака</v>
      </c>
      <c r="E1193" s="99" t="s">
        <v>1702</v>
      </c>
      <c r="F1193" s="102" t="s">
        <v>1462</v>
      </c>
      <c r="G1193" s="102" t="s">
        <v>272</v>
      </c>
      <c r="H1193" s="99" t="s">
        <v>1303</v>
      </c>
      <c r="I1193" s="102" t="s">
        <v>1445</v>
      </c>
      <c r="J1193" s="102" t="s">
        <v>21</v>
      </c>
      <c r="K1193" s="103">
        <v>35</v>
      </c>
      <c r="L1193" s="104">
        <v>40621</v>
      </c>
      <c r="M1193" s="104">
        <v>1421735</v>
      </c>
      <c r="N1193" s="39">
        <v>1084000</v>
      </c>
      <c r="O1193" s="39"/>
      <c r="P1193" s="108">
        <f>+N1193+O1193</f>
        <v>1084000</v>
      </c>
      <c r="Q1193" s="39">
        <v>100</v>
      </c>
      <c r="R1193" s="39">
        <f t="shared" si="207"/>
        <v>1421735</v>
      </c>
      <c r="S1193" s="42">
        <f t="shared" si="208"/>
        <v>0</v>
      </c>
    </row>
    <row r="1194" spans="1:19">
      <c r="A1194" s="99">
        <v>2026</v>
      </c>
      <c r="B1194" s="100">
        <v>3</v>
      </c>
      <c r="C1194" s="101">
        <v>46097</v>
      </c>
      <c r="D1194" s="101" t="str">
        <f t="shared" si="206"/>
        <v>RMF00001005Самарканд_Хуршед ака 2</v>
      </c>
      <c r="E1194" s="99" t="s">
        <v>1703</v>
      </c>
      <c r="F1194" s="102" t="s">
        <v>1590</v>
      </c>
      <c r="G1194" s="102" t="s">
        <v>871</v>
      </c>
      <c r="H1194" s="99" t="s">
        <v>1303</v>
      </c>
      <c r="I1194" s="102" t="s">
        <v>942</v>
      </c>
      <c r="J1194" s="102" t="s">
        <v>38</v>
      </c>
      <c r="K1194" s="103">
        <v>50</v>
      </c>
      <c r="L1194" s="104">
        <v>65000</v>
      </c>
      <c r="M1194" s="104">
        <v>3250000</v>
      </c>
      <c r="N1194" s="39">
        <v>836000</v>
      </c>
      <c r="O1194" s="39"/>
      <c r="P1194" s="108">
        <f>+N1194+O1194</f>
        <v>836000</v>
      </c>
      <c r="Q1194" s="39">
        <v>100</v>
      </c>
      <c r="R1194" s="39">
        <f t="shared" si="207"/>
        <v>3250000</v>
      </c>
      <c r="S1194" s="42">
        <f t="shared" si="208"/>
        <v>0</v>
      </c>
    </row>
    <row r="1195" spans="1:19">
      <c r="A1195" s="99">
        <v>2026</v>
      </c>
      <c r="B1195" s="100">
        <v>3</v>
      </c>
      <c r="C1195" s="101">
        <v>46097</v>
      </c>
      <c r="D1195" s="101" t="str">
        <f t="shared" si="206"/>
        <v>RMF00001005Самарканд_Хуршед ака 2</v>
      </c>
      <c r="E1195" s="99" t="s">
        <v>1703</v>
      </c>
      <c r="F1195" s="102" t="s">
        <v>1590</v>
      </c>
      <c r="G1195" s="102" t="s">
        <v>871</v>
      </c>
      <c r="H1195" s="99" t="s">
        <v>1303</v>
      </c>
      <c r="I1195" s="102" t="s">
        <v>942</v>
      </c>
      <c r="J1195" s="102" t="s">
        <v>41</v>
      </c>
      <c r="K1195" s="103">
        <v>20</v>
      </c>
      <c r="L1195" s="104">
        <v>90000</v>
      </c>
      <c r="M1195" s="104">
        <v>1800000</v>
      </c>
      <c r="N1195" s="39">
        <v>504000</v>
      </c>
      <c r="O1195" s="39"/>
      <c r="P1195" s="108">
        <f>+N1195+O1195</f>
        <v>504000</v>
      </c>
      <c r="Q1195" s="39">
        <v>100</v>
      </c>
      <c r="R1195" s="39">
        <f t="shared" si="207"/>
        <v>1800000</v>
      </c>
      <c r="S1195" s="42">
        <f t="shared" si="208"/>
        <v>0</v>
      </c>
    </row>
    <row r="1196" spans="1:19">
      <c r="A1196" s="99">
        <v>2026</v>
      </c>
      <c r="B1196" s="100">
        <v>3</v>
      </c>
      <c r="C1196" s="101">
        <v>46097</v>
      </c>
      <c r="D1196" s="101" t="str">
        <f t="shared" si="206"/>
        <v>RMF00001007Самарканд_Хуршед ака 3</v>
      </c>
      <c r="E1196" s="99" t="s">
        <v>1704</v>
      </c>
      <c r="F1196" s="102" t="s">
        <v>886</v>
      </c>
      <c r="G1196" s="102" t="s">
        <v>887</v>
      </c>
      <c r="H1196" s="99" t="s">
        <v>1303</v>
      </c>
      <c r="I1196" s="102" t="s">
        <v>1705</v>
      </c>
      <c r="J1196" s="102" t="s">
        <v>46</v>
      </c>
      <c r="K1196" s="103">
        <v>50</v>
      </c>
      <c r="L1196" s="104">
        <v>64700</v>
      </c>
      <c r="M1196" s="104">
        <v>3235000</v>
      </c>
      <c r="N1196" s="39">
        <v>879000</v>
      </c>
      <c r="O1196" s="39"/>
      <c r="P1196" s="108">
        <f>+N1196+O1196</f>
        <v>879000</v>
      </c>
      <c r="Q1196" s="39">
        <v>100</v>
      </c>
      <c r="R1196" s="39">
        <f t="shared" si="207"/>
        <v>3235000</v>
      </c>
      <c r="S1196" s="42">
        <f t="shared" si="208"/>
        <v>0</v>
      </c>
    </row>
    <row r="1197" spans="1:19">
      <c r="A1197" s="99">
        <v>2026</v>
      </c>
      <c r="B1197" s="100">
        <v>3</v>
      </c>
      <c r="C1197" s="101">
        <v>46097</v>
      </c>
      <c r="D1197" s="101" t="str">
        <f t="shared" si="206"/>
        <v>RMF00001009Сурхондарьё_Анвар ака</v>
      </c>
      <c r="E1197" s="99" t="s">
        <v>1706</v>
      </c>
      <c r="F1197" s="102" t="s">
        <v>1578</v>
      </c>
      <c r="G1197" s="102" t="s">
        <v>875</v>
      </c>
      <c r="H1197" s="99" t="s">
        <v>1303</v>
      </c>
      <c r="I1197" s="102" t="s">
        <v>1579</v>
      </c>
      <c r="J1197" s="102" t="s">
        <v>38</v>
      </c>
      <c r="K1197" s="103">
        <v>20</v>
      </c>
      <c r="L1197" s="104">
        <v>65000</v>
      </c>
      <c r="M1197" s="104">
        <v>1300000</v>
      </c>
      <c r="N1197" s="39">
        <v>422000</v>
      </c>
      <c r="O1197" s="39"/>
      <c r="P1197" s="108">
        <f>+N1197+O1197</f>
        <v>422000</v>
      </c>
      <c r="Q1197" s="39">
        <v>100</v>
      </c>
      <c r="R1197" s="39">
        <f t="shared" si="207"/>
        <v>1300000</v>
      </c>
      <c r="S1197" s="42">
        <f t="shared" si="208"/>
        <v>0</v>
      </c>
    </row>
    <row r="1198" spans="1:19">
      <c r="A1198" s="99">
        <v>2026</v>
      </c>
      <c r="B1198" s="100">
        <v>3</v>
      </c>
      <c r="C1198" s="101">
        <v>46097</v>
      </c>
      <c r="D1198" s="101" t="str">
        <f t="shared" si="206"/>
        <v>RMF00001010Самарканд_Хуршед ака 2</v>
      </c>
      <c r="E1198" s="99" t="s">
        <v>1707</v>
      </c>
      <c r="F1198" s="102" t="s">
        <v>1618</v>
      </c>
      <c r="G1198" s="102" t="s">
        <v>871</v>
      </c>
      <c r="H1198" s="99" t="s">
        <v>1303</v>
      </c>
      <c r="I1198" s="102" t="s">
        <v>1658</v>
      </c>
      <c r="J1198" s="102" t="s">
        <v>41</v>
      </c>
      <c r="K1198" s="103">
        <v>20</v>
      </c>
      <c r="L1198" s="104">
        <v>90000</v>
      </c>
      <c r="M1198" s="104">
        <v>1800000</v>
      </c>
      <c r="N1198" s="39">
        <v>340000</v>
      </c>
      <c r="O1198" s="39"/>
      <c r="P1198" s="108">
        <f>+N1198+O1198</f>
        <v>340000</v>
      </c>
      <c r="Q1198" s="39">
        <v>82</v>
      </c>
      <c r="R1198" s="39">
        <f t="shared" si="207"/>
        <v>1476000</v>
      </c>
      <c r="S1198" s="42">
        <f t="shared" si="208"/>
        <v>324000</v>
      </c>
    </row>
    <row r="1199" spans="1:19">
      <c r="A1199" s="99">
        <v>2026</v>
      </c>
      <c r="B1199" s="100">
        <v>3</v>
      </c>
      <c r="C1199" s="101">
        <v>46097</v>
      </c>
      <c r="D1199" s="101" t="str">
        <f t="shared" si="206"/>
        <v>RMF00001010Самарканд_Хуршед ака 2</v>
      </c>
      <c r="E1199" s="99" t="s">
        <v>1707</v>
      </c>
      <c r="F1199" s="102" t="s">
        <v>1618</v>
      </c>
      <c r="G1199" s="102" t="s">
        <v>871</v>
      </c>
      <c r="H1199" s="99" t="s">
        <v>1303</v>
      </c>
      <c r="I1199" s="102" t="s">
        <v>1658</v>
      </c>
      <c r="J1199" s="102" t="s">
        <v>38</v>
      </c>
      <c r="K1199" s="103">
        <v>22</v>
      </c>
      <c r="L1199" s="104">
        <v>65000</v>
      </c>
      <c r="M1199" s="104">
        <v>1430000</v>
      </c>
      <c r="N1199" s="39">
        <v>90000</v>
      </c>
      <c r="O1199" s="39"/>
      <c r="P1199" s="108">
        <f>+N1199+O1199</f>
        <v>90000</v>
      </c>
      <c r="Q1199" s="39">
        <v>82</v>
      </c>
      <c r="R1199" s="39">
        <f t="shared" si="207"/>
        <v>1172600</v>
      </c>
      <c r="S1199" s="42">
        <f t="shared" si="208"/>
        <v>257400</v>
      </c>
    </row>
    <row r="1200" spans="1:19">
      <c r="A1200" s="99">
        <v>2026</v>
      </c>
      <c r="B1200" s="100">
        <v>3</v>
      </c>
      <c r="C1200" s="101">
        <v>46097</v>
      </c>
      <c r="D1200" s="101" t="str">
        <f t="shared" si="206"/>
        <v>RMF00001010Самарканд_Хуршед ака 2</v>
      </c>
      <c r="E1200" s="99" t="s">
        <v>1707</v>
      </c>
      <c r="F1200" s="102" t="s">
        <v>1618</v>
      </c>
      <c r="G1200" s="102" t="s">
        <v>871</v>
      </c>
      <c r="H1200" s="99" t="s">
        <v>1303</v>
      </c>
      <c r="I1200" s="102" t="s">
        <v>1658</v>
      </c>
      <c r="J1200" s="102" t="s">
        <v>38</v>
      </c>
      <c r="K1200" s="103">
        <v>8</v>
      </c>
      <c r="L1200" s="104">
        <v>65000</v>
      </c>
      <c r="M1200" s="104">
        <v>520000</v>
      </c>
      <c r="N1200" s="39">
        <v>90000</v>
      </c>
      <c r="O1200" s="39"/>
      <c r="P1200" s="108">
        <f>+N1200+O1200</f>
        <v>90000</v>
      </c>
      <c r="Q1200" s="39">
        <v>82</v>
      </c>
      <c r="R1200" s="39">
        <f t="shared" si="207"/>
        <v>426400</v>
      </c>
      <c r="S1200" s="42">
        <f t="shared" si="208"/>
        <v>93600</v>
      </c>
    </row>
    <row r="1201" spans="1:19">
      <c r="A1201" s="99">
        <v>2026</v>
      </c>
      <c r="B1201" s="100">
        <v>3</v>
      </c>
      <c r="C1201" s="101">
        <v>46097</v>
      </c>
      <c r="D1201" s="101" t="str">
        <f t="shared" si="206"/>
        <v>RMF00001011Самарканд_Хуршед ака</v>
      </c>
      <c r="E1201" s="99" t="s">
        <v>1708</v>
      </c>
      <c r="F1201" s="102" t="s">
        <v>1302</v>
      </c>
      <c r="G1201" s="102" t="s">
        <v>272</v>
      </c>
      <c r="H1201" s="99" t="s">
        <v>1303</v>
      </c>
      <c r="I1201" s="102" t="s">
        <v>1709</v>
      </c>
      <c r="J1201" s="102" t="s">
        <v>41</v>
      </c>
      <c r="K1201" s="103">
        <v>20</v>
      </c>
      <c r="L1201" s="104">
        <v>90000</v>
      </c>
      <c r="M1201" s="104">
        <v>1800000</v>
      </c>
      <c r="N1201" s="39">
        <v>504000</v>
      </c>
      <c r="O1201" s="39"/>
      <c r="P1201" s="108">
        <f>+N1201+O1201</f>
        <v>504000</v>
      </c>
      <c r="Q1201" s="39">
        <v>50</v>
      </c>
      <c r="R1201" s="39">
        <f t="shared" si="207"/>
        <v>900000</v>
      </c>
      <c r="S1201" s="42">
        <f t="shared" si="208"/>
        <v>900000</v>
      </c>
    </row>
    <row r="1202" spans="1:19">
      <c r="A1202" s="99">
        <v>2026</v>
      </c>
      <c r="B1202" s="100">
        <v>3</v>
      </c>
      <c r="C1202" s="101">
        <v>46097</v>
      </c>
      <c r="D1202" s="101" t="str">
        <f t="shared" si="206"/>
        <v>RMF00001012Сурхондарьё_Анвар ака</v>
      </c>
      <c r="E1202" s="99" t="s">
        <v>1710</v>
      </c>
      <c r="F1202" s="102" t="s">
        <v>1578</v>
      </c>
      <c r="G1202" s="102" t="s">
        <v>875</v>
      </c>
      <c r="H1202" s="99" t="s">
        <v>1303</v>
      </c>
      <c r="I1202" s="102" t="s">
        <v>930</v>
      </c>
      <c r="J1202" s="102" t="s">
        <v>38</v>
      </c>
      <c r="K1202" s="103">
        <v>20</v>
      </c>
      <c r="L1202" s="104">
        <v>65000</v>
      </c>
      <c r="M1202" s="104">
        <v>1300000</v>
      </c>
      <c r="N1202" s="39">
        <v>759000</v>
      </c>
      <c r="O1202" s="39"/>
      <c r="P1202" s="108">
        <f>+N1202+O1202</f>
        <v>759000</v>
      </c>
      <c r="Q1202" s="39">
        <v>100</v>
      </c>
      <c r="R1202" s="39">
        <f t="shared" si="207"/>
        <v>1300000</v>
      </c>
      <c r="S1202" s="42">
        <f t="shared" si="208"/>
        <v>0</v>
      </c>
    </row>
    <row r="1203" spans="1:19">
      <c r="A1203" s="99">
        <v>2026</v>
      </c>
      <c r="B1203" s="100">
        <v>3</v>
      </c>
      <c r="C1203" s="101">
        <v>46098</v>
      </c>
      <c r="D1203" s="101" t="str">
        <f t="shared" si="206"/>
        <v>RMF00001016Бухоро_Нафосат опа</v>
      </c>
      <c r="E1203" s="99" t="s">
        <v>1711</v>
      </c>
      <c r="F1203" s="102" t="s">
        <v>893</v>
      </c>
      <c r="G1203" s="102" t="s">
        <v>894</v>
      </c>
      <c r="H1203" s="99" t="s">
        <v>1303</v>
      </c>
      <c r="I1203" s="102" t="s">
        <v>1351</v>
      </c>
      <c r="J1203" s="102" t="s">
        <v>41</v>
      </c>
      <c r="K1203" s="103">
        <v>50</v>
      </c>
      <c r="L1203" s="104">
        <v>90000</v>
      </c>
      <c r="M1203" s="104">
        <v>4500000</v>
      </c>
      <c r="N1203" s="39">
        <v>2861000</v>
      </c>
      <c r="O1203" s="39"/>
      <c r="P1203" s="108">
        <f>+N1203+O1203</f>
        <v>2861000</v>
      </c>
      <c r="Q1203" s="39">
        <v>100</v>
      </c>
      <c r="R1203" s="39">
        <f t="shared" si="207"/>
        <v>4500000</v>
      </c>
      <c r="S1203" s="42">
        <f t="shared" si="208"/>
        <v>0</v>
      </c>
    </row>
    <row r="1204" spans="1:19">
      <c r="A1204" s="99">
        <v>2026</v>
      </c>
      <c r="B1204" s="100">
        <v>3</v>
      </c>
      <c r="C1204" s="101">
        <v>46098</v>
      </c>
      <c r="D1204" s="101" t="str">
        <f t="shared" si="206"/>
        <v>RMF00001020Сирдарё_Фотима опа</v>
      </c>
      <c r="E1204" s="99" t="s">
        <v>1712</v>
      </c>
      <c r="F1204" s="102" t="s">
        <v>284</v>
      </c>
      <c r="G1204" s="102" t="s">
        <v>281</v>
      </c>
      <c r="H1204" s="99" t="s">
        <v>1303</v>
      </c>
      <c r="I1204" s="102" t="s">
        <v>443</v>
      </c>
      <c r="J1204" s="102" t="s">
        <v>21</v>
      </c>
      <c r="K1204" s="103">
        <v>50</v>
      </c>
      <c r="L1204" s="104">
        <v>40621</v>
      </c>
      <c r="M1204" s="104">
        <v>2031050</v>
      </c>
      <c r="N1204" s="39">
        <v>548000</v>
      </c>
      <c r="O1204" s="39"/>
      <c r="P1204" s="108">
        <f>+N1204+O1204</f>
        <v>548000</v>
      </c>
      <c r="Q1204" s="39">
        <v>100</v>
      </c>
      <c r="R1204" s="39">
        <f t="shared" si="207"/>
        <v>2031050</v>
      </c>
      <c r="S1204" s="42">
        <f t="shared" si="208"/>
        <v>0</v>
      </c>
    </row>
    <row r="1205" spans="1:19">
      <c r="A1205" s="99">
        <v>2026</v>
      </c>
      <c r="B1205" s="100">
        <v>3</v>
      </c>
      <c r="C1205" s="101">
        <v>46098</v>
      </c>
      <c r="D1205" s="101" t="str">
        <f t="shared" si="206"/>
        <v>RMF00001024Кукон_Бахромжон ака</v>
      </c>
      <c r="E1205" s="99" t="s">
        <v>1713</v>
      </c>
      <c r="F1205" s="102" t="s">
        <v>1468</v>
      </c>
      <c r="G1205" s="102" t="s">
        <v>1359</v>
      </c>
      <c r="H1205" s="99" t="s">
        <v>1303</v>
      </c>
      <c r="I1205" s="102" t="s">
        <v>1714</v>
      </c>
      <c r="J1205" s="102" t="s">
        <v>41</v>
      </c>
      <c r="K1205" s="103">
        <v>30</v>
      </c>
      <c r="L1205" s="104">
        <v>90000</v>
      </c>
      <c r="M1205" s="104">
        <v>2700000</v>
      </c>
      <c r="N1205" s="39">
        <v>1717000</v>
      </c>
      <c r="O1205" s="39"/>
      <c r="P1205" s="108">
        <f>+N1205+O1205</f>
        <v>1717000</v>
      </c>
      <c r="Q1205" s="39">
        <v>100</v>
      </c>
      <c r="R1205" s="39">
        <f t="shared" si="207"/>
        <v>2700000</v>
      </c>
      <c r="S1205" s="42">
        <f t="shared" si="208"/>
        <v>0</v>
      </c>
    </row>
    <row r="1206" spans="1:19">
      <c r="A1206" s="99">
        <v>2026</v>
      </c>
      <c r="B1206" s="100">
        <v>3</v>
      </c>
      <c r="C1206" s="101">
        <v>46098</v>
      </c>
      <c r="D1206" s="101" t="str">
        <f t="shared" si="206"/>
        <v>RMF00001026Сирдарё_Фотима опа</v>
      </c>
      <c r="E1206" s="99" t="s">
        <v>1715</v>
      </c>
      <c r="F1206" s="102" t="s">
        <v>284</v>
      </c>
      <c r="G1206" s="102" t="s">
        <v>281</v>
      </c>
      <c r="H1206" s="99" t="s">
        <v>1303</v>
      </c>
      <c r="I1206" s="102" t="s">
        <v>317</v>
      </c>
      <c r="J1206" s="102" t="s">
        <v>38</v>
      </c>
      <c r="K1206" s="103">
        <v>20</v>
      </c>
      <c r="L1206" s="104">
        <v>65000</v>
      </c>
      <c r="M1206" s="104">
        <v>1300000</v>
      </c>
      <c r="N1206" s="39">
        <v>334000</v>
      </c>
      <c r="O1206" s="39"/>
      <c r="P1206" s="108">
        <f>+N1206+O1206</f>
        <v>334000</v>
      </c>
      <c r="Q1206" s="39">
        <v>100</v>
      </c>
      <c r="R1206" s="39">
        <f t="shared" si="207"/>
        <v>1300000</v>
      </c>
      <c r="S1206" s="42">
        <f t="shared" si="208"/>
        <v>0</v>
      </c>
    </row>
    <row r="1207" spans="1:19">
      <c r="A1207" s="99">
        <v>2026</v>
      </c>
      <c r="B1207" s="100">
        <v>3</v>
      </c>
      <c r="C1207" s="101">
        <v>46098</v>
      </c>
      <c r="D1207" s="101" t="str">
        <f t="shared" si="206"/>
        <v>RMF00001027Хоразм_Улугбек ака</v>
      </c>
      <c r="E1207" s="99" t="s">
        <v>1716</v>
      </c>
      <c r="F1207" s="102" t="s">
        <v>1717</v>
      </c>
      <c r="G1207" s="102" t="s">
        <v>864</v>
      </c>
      <c r="H1207" s="99" t="s">
        <v>1303</v>
      </c>
      <c r="I1207" s="102" t="s">
        <v>865</v>
      </c>
      <c r="J1207" s="102" t="s">
        <v>41</v>
      </c>
      <c r="K1207" s="103">
        <v>200</v>
      </c>
      <c r="L1207" s="104">
        <v>90000</v>
      </c>
      <c r="M1207" s="104">
        <v>18000000</v>
      </c>
      <c r="N1207" s="39">
        <v>477000</v>
      </c>
      <c r="O1207" s="39"/>
      <c r="P1207" s="108">
        <f>+N1207+O1207</f>
        <v>477000</v>
      </c>
      <c r="Q1207" s="39">
        <v>100</v>
      </c>
      <c r="R1207" s="39">
        <f t="shared" si="207"/>
        <v>18000000</v>
      </c>
      <c r="S1207" s="42">
        <f t="shared" si="208"/>
        <v>0</v>
      </c>
    </row>
    <row r="1208" spans="1:19">
      <c r="A1208" s="99">
        <v>2026</v>
      </c>
      <c r="B1208" s="100">
        <v>3</v>
      </c>
      <c r="C1208" s="101">
        <v>46098</v>
      </c>
      <c r="D1208" s="101" t="str">
        <f t="shared" si="206"/>
        <v>RMF00001030Таш.Обл_Рустам ака (S)</v>
      </c>
      <c r="E1208" s="99" t="s">
        <v>1718</v>
      </c>
      <c r="F1208" s="102" t="s">
        <v>265</v>
      </c>
      <c r="G1208" s="102" t="s">
        <v>1499</v>
      </c>
      <c r="H1208" s="99" t="s">
        <v>1303</v>
      </c>
      <c r="I1208" s="102" t="s">
        <v>1662</v>
      </c>
      <c r="J1208" s="102" t="s">
        <v>38</v>
      </c>
      <c r="K1208" s="103">
        <v>10</v>
      </c>
      <c r="L1208" s="104">
        <v>65000</v>
      </c>
      <c r="M1208" s="104">
        <v>650000</v>
      </c>
      <c r="N1208" s="39">
        <v>380000</v>
      </c>
      <c r="O1208" s="39"/>
      <c r="P1208" s="108">
        <f>+N1208+O1208</f>
        <v>380000</v>
      </c>
      <c r="Q1208" s="39">
        <v>100</v>
      </c>
      <c r="R1208" s="39">
        <f t="shared" si="207"/>
        <v>650000</v>
      </c>
      <c r="S1208" s="42">
        <f t="shared" si="208"/>
        <v>0</v>
      </c>
    </row>
    <row r="1209" spans="1:19">
      <c r="A1209" s="99">
        <v>2026</v>
      </c>
      <c r="B1209" s="100">
        <v>3</v>
      </c>
      <c r="C1209" s="101">
        <v>46099</v>
      </c>
      <c r="D1209" s="101" t="str">
        <f t="shared" si="206"/>
        <v>RMF00001031Сирдарё_Фотима опа</v>
      </c>
      <c r="E1209" s="99" t="s">
        <v>1719</v>
      </c>
      <c r="F1209" s="102" t="s">
        <v>284</v>
      </c>
      <c r="G1209" s="102" t="s">
        <v>281</v>
      </c>
      <c r="H1209" s="99" t="s">
        <v>1303</v>
      </c>
      <c r="I1209" s="102" t="s">
        <v>25</v>
      </c>
      <c r="J1209" s="102" t="s">
        <v>38</v>
      </c>
      <c r="K1209" s="103">
        <v>50</v>
      </c>
      <c r="L1209" s="104">
        <v>65000</v>
      </c>
      <c r="M1209" s="104">
        <v>3250000</v>
      </c>
      <c r="N1209" s="39">
        <v>1898000</v>
      </c>
      <c r="O1209" s="39"/>
      <c r="P1209" s="108">
        <f>+N1209+O1209</f>
        <v>1898000</v>
      </c>
      <c r="Q1209" s="39">
        <v>100</v>
      </c>
      <c r="R1209" s="39">
        <f t="shared" si="207"/>
        <v>3250000</v>
      </c>
      <c r="S1209" s="42">
        <f t="shared" si="208"/>
        <v>0</v>
      </c>
    </row>
    <row r="1210" spans="1:19">
      <c r="A1210" s="99">
        <v>2026</v>
      </c>
      <c r="B1210" s="100">
        <v>3</v>
      </c>
      <c r="C1210" s="101">
        <v>46099</v>
      </c>
      <c r="D1210" s="101" t="str">
        <f t="shared" si="206"/>
        <v>RMF00001037Кукон_Баходирхон ака</v>
      </c>
      <c r="E1210" s="99" t="s">
        <v>1720</v>
      </c>
      <c r="F1210" s="102" t="s">
        <v>1690</v>
      </c>
      <c r="G1210" s="102" t="s">
        <v>1264</v>
      </c>
      <c r="H1210" s="99" t="s">
        <v>1303</v>
      </c>
      <c r="I1210" s="102" t="s">
        <v>1283</v>
      </c>
      <c r="J1210" s="102" t="s">
        <v>38</v>
      </c>
      <c r="K1210" s="103">
        <v>10</v>
      </c>
      <c r="L1210" s="104">
        <v>65000</v>
      </c>
      <c r="M1210" s="104">
        <v>650000</v>
      </c>
      <c r="N1210" s="39">
        <v>358000</v>
      </c>
      <c r="O1210" s="39"/>
      <c r="P1210" s="108">
        <f>+N1210+O1210</f>
        <v>358000</v>
      </c>
      <c r="Q1210" s="39">
        <v>100</v>
      </c>
      <c r="R1210" s="39">
        <f t="shared" si="207"/>
        <v>650000</v>
      </c>
      <c r="S1210" s="42">
        <f t="shared" si="208"/>
        <v>0</v>
      </c>
    </row>
    <row r="1211" spans="1:19">
      <c r="A1211" s="99">
        <v>2026</v>
      </c>
      <c r="B1211" s="100">
        <v>3</v>
      </c>
      <c r="C1211" s="101">
        <v>46099</v>
      </c>
      <c r="D1211" s="101" t="str">
        <f t="shared" si="206"/>
        <v>RMF00001044Самарканд_Хуршед ака 3</v>
      </c>
      <c r="E1211" s="99" t="s">
        <v>1723</v>
      </c>
      <c r="F1211" s="102" t="s">
        <v>886</v>
      </c>
      <c r="G1211" s="102" t="s">
        <v>887</v>
      </c>
      <c r="H1211" s="99" t="s">
        <v>1303</v>
      </c>
      <c r="I1211" s="102" t="s">
        <v>995</v>
      </c>
      <c r="J1211" s="102" t="s">
        <v>46</v>
      </c>
      <c r="K1211" s="103">
        <v>100</v>
      </c>
      <c r="L1211" s="104">
        <v>64700</v>
      </c>
      <c r="M1211" s="104">
        <v>6470000</v>
      </c>
      <c r="N1211" s="39">
        <v>945000</v>
      </c>
      <c r="O1211" s="39"/>
      <c r="P1211" s="108">
        <f>+N1211+O1211</f>
        <v>945000</v>
      </c>
      <c r="Q1211" s="39">
        <v>100</v>
      </c>
      <c r="R1211" s="39">
        <f t="shared" si="207"/>
        <v>6470000</v>
      </c>
      <c r="S1211" s="42">
        <f t="shared" si="208"/>
        <v>0</v>
      </c>
    </row>
    <row r="1212" spans="1:19">
      <c r="A1212" s="99">
        <v>2026</v>
      </c>
      <c r="B1212" s="100">
        <v>3</v>
      </c>
      <c r="C1212" s="101">
        <v>46099</v>
      </c>
      <c r="D1212" s="101" t="str">
        <f t="shared" si="206"/>
        <v>RMF00001046Кукон_Бахромжон ака</v>
      </c>
      <c r="E1212" s="99" t="s">
        <v>1724</v>
      </c>
      <c r="F1212" s="102" t="s">
        <v>1468</v>
      </c>
      <c r="G1212" s="102" t="s">
        <v>1359</v>
      </c>
      <c r="H1212" s="99" t="s">
        <v>1303</v>
      </c>
      <c r="I1212" s="102" t="s">
        <v>1362</v>
      </c>
      <c r="J1212" s="102" t="s">
        <v>41</v>
      </c>
      <c r="K1212" s="103">
        <v>5</v>
      </c>
      <c r="L1212" s="104">
        <v>90000</v>
      </c>
      <c r="M1212" s="104">
        <v>450000</v>
      </c>
      <c r="N1212" s="39">
        <v>286000</v>
      </c>
      <c r="O1212" s="39"/>
      <c r="P1212" s="108">
        <f>+N1212+O1212</f>
        <v>286000</v>
      </c>
      <c r="Q1212" s="39">
        <v>100</v>
      </c>
      <c r="R1212" s="39">
        <f t="shared" si="207"/>
        <v>450000</v>
      </c>
      <c r="S1212" s="42">
        <f t="shared" si="208"/>
        <v>0</v>
      </c>
    </row>
    <row r="1213" spans="1:19">
      <c r="A1213" s="99">
        <v>2026</v>
      </c>
      <c r="B1213" s="100">
        <v>3</v>
      </c>
      <c r="C1213" s="101">
        <v>46099</v>
      </c>
      <c r="D1213" s="101" t="str">
        <f t="shared" si="206"/>
        <v>RMF00001050Самарканд_Хуршед ака</v>
      </c>
      <c r="E1213" s="99" t="s">
        <v>1725</v>
      </c>
      <c r="F1213" s="102" t="s">
        <v>1648</v>
      </c>
      <c r="G1213" s="102" t="s">
        <v>272</v>
      </c>
      <c r="H1213" s="99" t="s">
        <v>1303</v>
      </c>
      <c r="I1213" s="102" t="s">
        <v>900</v>
      </c>
      <c r="J1213" s="102" t="s">
        <v>21</v>
      </c>
      <c r="K1213" s="103">
        <v>118</v>
      </c>
      <c r="L1213" s="104">
        <v>40621</v>
      </c>
      <c r="M1213" s="104">
        <v>4793278</v>
      </c>
      <c r="N1213" s="39">
        <v>1608000</v>
      </c>
      <c r="O1213" s="39"/>
      <c r="P1213" s="108">
        <f>+N1213+O1213</f>
        <v>1608000</v>
      </c>
      <c r="Q1213" s="39">
        <v>100</v>
      </c>
      <c r="R1213" s="39">
        <f t="shared" si="207"/>
        <v>4793278</v>
      </c>
      <c r="S1213" s="42">
        <f t="shared" si="208"/>
        <v>0</v>
      </c>
    </row>
    <row r="1214" spans="1:19">
      <c r="A1214" s="99">
        <v>2026</v>
      </c>
      <c r="B1214" s="100">
        <v>3</v>
      </c>
      <c r="C1214" s="101">
        <v>46099</v>
      </c>
      <c r="D1214" s="101" t="str">
        <f t="shared" si="206"/>
        <v>RMF00001052Самарканд_Хуршед ака</v>
      </c>
      <c r="E1214" s="99" t="s">
        <v>1726</v>
      </c>
      <c r="F1214" s="102" t="s">
        <v>1302</v>
      </c>
      <c r="G1214" s="102" t="s">
        <v>272</v>
      </c>
      <c r="H1214" s="99" t="s">
        <v>1303</v>
      </c>
      <c r="I1214" s="102" t="s">
        <v>1727</v>
      </c>
      <c r="J1214" s="102" t="s">
        <v>21</v>
      </c>
      <c r="K1214" s="103">
        <v>100</v>
      </c>
      <c r="L1214" s="104">
        <v>40621</v>
      </c>
      <c r="M1214" s="104">
        <v>4062100</v>
      </c>
      <c r="N1214" s="39">
        <v>1386000</v>
      </c>
      <c r="O1214" s="39"/>
      <c r="P1214" s="108">
        <f>+N1214+O1214</f>
        <v>1386000</v>
      </c>
      <c r="Q1214" s="39">
        <v>100</v>
      </c>
      <c r="R1214" s="39">
        <f t="shared" si="207"/>
        <v>4062100</v>
      </c>
      <c r="S1214" s="42">
        <f t="shared" si="208"/>
        <v>0</v>
      </c>
    </row>
    <row r="1215" spans="1:19">
      <c r="A1215" s="99">
        <v>2026</v>
      </c>
      <c r="B1215" s="100">
        <v>3</v>
      </c>
      <c r="C1215" s="101">
        <v>46100</v>
      </c>
      <c r="D1215" s="101" t="str">
        <f t="shared" si="206"/>
        <v>RMF00001054Самарканд_Хуршед ака 2</v>
      </c>
      <c r="E1215" s="99" t="s">
        <v>1728</v>
      </c>
      <c r="F1215" s="102" t="s">
        <v>912</v>
      </c>
      <c r="G1215" s="102" t="s">
        <v>871</v>
      </c>
      <c r="H1215" s="99" t="s">
        <v>1303</v>
      </c>
      <c r="I1215" s="102" t="s">
        <v>1729</v>
      </c>
      <c r="J1215" s="102" t="s">
        <v>21</v>
      </c>
      <c r="K1215" s="103">
        <v>30</v>
      </c>
      <c r="L1215" s="104">
        <v>40621</v>
      </c>
      <c r="M1215" s="104">
        <v>1218630</v>
      </c>
      <c r="N1215" s="39">
        <v>319000</v>
      </c>
      <c r="O1215" s="39"/>
      <c r="P1215" s="108">
        <f>+N1215+O1215</f>
        <v>319000</v>
      </c>
      <c r="Q1215" s="39">
        <v>100</v>
      </c>
      <c r="R1215" s="39">
        <f t="shared" si="207"/>
        <v>1218630</v>
      </c>
      <c r="S1215" s="42">
        <f t="shared" si="208"/>
        <v>0</v>
      </c>
    </row>
    <row r="1216" spans="1:19">
      <c r="A1216" s="99">
        <v>2026</v>
      </c>
      <c r="B1216" s="100">
        <v>3</v>
      </c>
      <c r="C1216" s="101">
        <v>46100</v>
      </c>
      <c r="D1216" s="101" t="str">
        <f t="shared" si="206"/>
        <v>RMF00001055Самарканд_Хуршед ака 2</v>
      </c>
      <c r="E1216" s="99" t="s">
        <v>1730</v>
      </c>
      <c r="F1216" s="102" t="s">
        <v>1023</v>
      </c>
      <c r="G1216" s="102" t="s">
        <v>871</v>
      </c>
      <c r="H1216" s="99" t="s">
        <v>1303</v>
      </c>
      <c r="I1216" s="102" t="s">
        <v>1304</v>
      </c>
      <c r="J1216" s="102" t="s">
        <v>41</v>
      </c>
      <c r="K1216" s="103">
        <v>20</v>
      </c>
      <c r="L1216" s="104">
        <v>90000</v>
      </c>
      <c r="M1216" s="104">
        <v>1800000</v>
      </c>
      <c r="N1216" s="39">
        <v>504000</v>
      </c>
      <c r="O1216" s="39"/>
      <c r="P1216" s="108">
        <f>+N1216+O1216</f>
        <v>504000</v>
      </c>
      <c r="Q1216" s="39">
        <v>50</v>
      </c>
      <c r="R1216" s="39">
        <f t="shared" si="207"/>
        <v>900000</v>
      </c>
      <c r="S1216" s="42">
        <f t="shared" si="208"/>
        <v>900000</v>
      </c>
    </row>
    <row r="1217" spans="1:19">
      <c r="A1217" s="99">
        <v>2026</v>
      </c>
      <c r="B1217" s="100">
        <v>3</v>
      </c>
      <c r="C1217" s="101">
        <v>46100</v>
      </c>
      <c r="D1217" s="101" t="str">
        <f t="shared" si="206"/>
        <v>RMF00001055Самарканд_Хуршед ака 2</v>
      </c>
      <c r="E1217" s="99" t="s">
        <v>1730</v>
      </c>
      <c r="F1217" s="102" t="s">
        <v>1023</v>
      </c>
      <c r="G1217" s="102" t="s">
        <v>871</v>
      </c>
      <c r="H1217" s="99" t="s">
        <v>1303</v>
      </c>
      <c r="I1217" s="102" t="s">
        <v>1304</v>
      </c>
      <c r="J1217" s="102" t="s">
        <v>21</v>
      </c>
      <c r="K1217" s="103">
        <v>20</v>
      </c>
      <c r="L1217" s="104">
        <v>40621</v>
      </c>
      <c r="M1217" s="104">
        <v>812420</v>
      </c>
      <c r="N1217" s="39">
        <v>273000</v>
      </c>
      <c r="O1217" s="39"/>
      <c r="P1217" s="108">
        <f>+N1217+O1217</f>
        <v>273000</v>
      </c>
      <c r="Q1217" s="39">
        <v>50</v>
      </c>
      <c r="R1217" s="39">
        <f t="shared" si="207"/>
        <v>406210</v>
      </c>
      <c r="S1217" s="42">
        <f t="shared" si="208"/>
        <v>406210</v>
      </c>
    </row>
    <row r="1218" spans="1:19">
      <c r="A1218" s="99">
        <v>2026</v>
      </c>
      <c r="B1218" s="100">
        <v>3</v>
      </c>
      <c r="C1218" s="101">
        <v>46105</v>
      </c>
      <c r="D1218" s="101" t="str">
        <f t="shared" si="206"/>
        <v>RMF00001062Самарканд_Хуршед ака</v>
      </c>
      <c r="E1218" s="99" t="s">
        <v>1732</v>
      </c>
      <c r="F1218" s="102" t="s">
        <v>1462</v>
      </c>
      <c r="G1218" s="102" t="s">
        <v>272</v>
      </c>
      <c r="H1218" s="99" t="s">
        <v>1303</v>
      </c>
      <c r="I1218" s="102" t="s">
        <v>1445</v>
      </c>
      <c r="J1218" s="102" t="s">
        <v>21</v>
      </c>
      <c r="K1218" s="103">
        <v>20</v>
      </c>
      <c r="L1218" s="104">
        <v>40621</v>
      </c>
      <c r="M1218" s="104">
        <v>812420</v>
      </c>
      <c r="N1218" s="39">
        <v>620000</v>
      </c>
      <c r="O1218" s="39"/>
      <c r="P1218" s="108">
        <f>+N1218+O1218</f>
        <v>620000</v>
      </c>
      <c r="Q1218" s="39">
        <v>100</v>
      </c>
      <c r="R1218" s="39">
        <f t="shared" si="207"/>
        <v>812420</v>
      </c>
      <c r="S1218" s="42">
        <f t="shared" si="208"/>
        <v>0</v>
      </c>
    </row>
    <row r="1219" spans="1:19">
      <c r="A1219" s="99">
        <v>2026</v>
      </c>
      <c r="B1219" s="100">
        <v>3</v>
      </c>
      <c r="C1219" s="101">
        <v>46105</v>
      </c>
      <c r="D1219" s="101" t="str">
        <f t="shared" si="206"/>
        <v>RMF00001064Самарканд_Хуршед ака 2</v>
      </c>
      <c r="E1219" s="99" t="s">
        <v>1733</v>
      </c>
      <c r="F1219" s="102" t="s">
        <v>1590</v>
      </c>
      <c r="G1219" s="102" t="s">
        <v>871</v>
      </c>
      <c r="H1219" s="99" t="s">
        <v>1303</v>
      </c>
      <c r="I1219" s="102" t="s">
        <v>1330</v>
      </c>
      <c r="J1219" s="102" t="s">
        <v>41</v>
      </c>
      <c r="K1219" s="103">
        <v>50</v>
      </c>
      <c r="L1219" s="104">
        <v>90000</v>
      </c>
      <c r="M1219" s="104">
        <v>4500000</v>
      </c>
      <c r="N1219" s="39">
        <v>1259000</v>
      </c>
      <c r="O1219" s="39"/>
      <c r="P1219" s="108">
        <f>+N1219+O1219</f>
        <v>1259000</v>
      </c>
      <c r="Q1219" s="39">
        <v>100</v>
      </c>
      <c r="R1219" s="39">
        <f t="shared" si="207"/>
        <v>4500000</v>
      </c>
      <c r="S1219" s="42">
        <f t="shared" si="208"/>
        <v>0</v>
      </c>
    </row>
    <row r="1220" spans="1:19">
      <c r="A1220" s="99">
        <v>2026</v>
      </c>
      <c r="B1220" s="100">
        <v>3</v>
      </c>
      <c r="C1220" s="101">
        <v>46105</v>
      </c>
      <c r="D1220" s="101" t="str">
        <f t="shared" ref="D1220:D1283" si="209">+E1220&amp;G1220</f>
        <v>RMF00001066Сирдарё_Фотима опа</v>
      </c>
      <c r="E1220" s="99" t="s">
        <v>1734</v>
      </c>
      <c r="F1220" s="102" t="s">
        <v>284</v>
      </c>
      <c r="G1220" s="102" t="s">
        <v>281</v>
      </c>
      <c r="H1220" s="99" t="s">
        <v>1303</v>
      </c>
      <c r="I1220" s="102" t="s">
        <v>1449</v>
      </c>
      <c r="J1220" s="102" t="s">
        <v>38</v>
      </c>
      <c r="K1220" s="103">
        <v>10</v>
      </c>
      <c r="L1220" s="104">
        <v>65000</v>
      </c>
      <c r="M1220" s="104">
        <v>650000</v>
      </c>
      <c r="N1220" s="39">
        <v>97000</v>
      </c>
      <c r="O1220" s="39"/>
      <c r="P1220" s="108">
        <f>+N1220+O1220</f>
        <v>97000</v>
      </c>
      <c r="Q1220" s="39">
        <v>100</v>
      </c>
      <c r="R1220" s="39">
        <f t="shared" ref="R1220:R1283" si="210">+M1220*Q1220%</f>
        <v>650000</v>
      </c>
      <c r="S1220" s="42">
        <f t="shared" ref="S1220:S1283" si="211">M1220-R1220</f>
        <v>0</v>
      </c>
    </row>
    <row r="1221" spans="1:19">
      <c r="A1221" s="99">
        <v>2026</v>
      </c>
      <c r="B1221" s="100">
        <v>3</v>
      </c>
      <c r="C1221" s="101">
        <v>46105</v>
      </c>
      <c r="D1221" s="101" t="str">
        <f t="shared" si="209"/>
        <v>RMF00001066Сирдарё_Фотима опа</v>
      </c>
      <c r="E1221" s="99" t="s">
        <v>1734</v>
      </c>
      <c r="F1221" s="102" t="s">
        <v>284</v>
      </c>
      <c r="G1221" s="102" t="s">
        <v>281</v>
      </c>
      <c r="H1221" s="99" t="s">
        <v>1303</v>
      </c>
      <c r="I1221" s="102" t="s">
        <v>1449</v>
      </c>
      <c r="J1221" s="102" t="s">
        <v>38</v>
      </c>
      <c r="K1221" s="103">
        <v>20</v>
      </c>
      <c r="L1221" s="104">
        <v>65000</v>
      </c>
      <c r="M1221" s="104">
        <v>1300000</v>
      </c>
      <c r="N1221" s="39">
        <v>97000</v>
      </c>
      <c r="O1221" s="39"/>
      <c r="P1221" s="108">
        <f>+N1221+O1221</f>
        <v>97000</v>
      </c>
      <c r="Q1221" s="39">
        <v>100</v>
      </c>
      <c r="R1221" s="39">
        <f t="shared" si="210"/>
        <v>1300000</v>
      </c>
      <c r="S1221" s="42">
        <f t="shared" si="211"/>
        <v>0</v>
      </c>
    </row>
    <row r="1222" spans="1:19">
      <c r="A1222" s="99">
        <v>2026</v>
      </c>
      <c r="B1222" s="100">
        <v>3</v>
      </c>
      <c r="C1222" s="101">
        <v>46106</v>
      </c>
      <c r="D1222" s="101" t="str">
        <f t="shared" si="209"/>
        <v>RMF00001099Бухоро_Нафосат опа</v>
      </c>
      <c r="E1222" s="99" t="s">
        <v>1735</v>
      </c>
      <c r="F1222" s="102" t="s">
        <v>893</v>
      </c>
      <c r="G1222" s="102" t="s">
        <v>894</v>
      </c>
      <c r="H1222" s="99" t="s">
        <v>1303</v>
      </c>
      <c r="I1222" s="102" t="s">
        <v>665</v>
      </c>
      <c r="J1222" s="102" t="s">
        <v>41</v>
      </c>
      <c r="K1222" s="103">
        <v>50</v>
      </c>
      <c r="L1222" s="104">
        <v>90000</v>
      </c>
      <c r="M1222" s="104">
        <v>4500000</v>
      </c>
      <c r="N1222" s="39">
        <v>5000</v>
      </c>
      <c r="O1222" s="39"/>
      <c r="P1222" s="108">
        <f>+N1222+O1222</f>
        <v>5000</v>
      </c>
      <c r="Q1222" s="39">
        <v>20</v>
      </c>
      <c r="R1222" s="39">
        <f t="shared" si="210"/>
        <v>900000</v>
      </c>
      <c r="S1222" s="42">
        <f t="shared" si="211"/>
        <v>3600000</v>
      </c>
    </row>
    <row r="1223" spans="1:19">
      <c r="A1223" s="99">
        <v>2026</v>
      </c>
      <c r="B1223" s="100">
        <v>3</v>
      </c>
      <c r="C1223" s="101">
        <v>46106</v>
      </c>
      <c r="D1223" s="101" t="str">
        <f t="shared" si="209"/>
        <v>RMF00001101Самарканд_Хуршед ака 2</v>
      </c>
      <c r="E1223" s="99" t="s">
        <v>1736</v>
      </c>
      <c r="F1223" s="102" t="s">
        <v>1618</v>
      </c>
      <c r="G1223" s="102" t="s">
        <v>871</v>
      </c>
      <c r="H1223" s="99" t="s">
        <v>1303</v>
      </c>
      <c r="I1223" s="102" t="s">
        <v>986</v>
      </c>
      <c r="J1223" s="102" t="s">
        <v>41</v>
      </c>
      <c r="K1223" s="103">
        <v>30</v>
      </c>
      <c r="L1223" s="104">
        <v>90000</v>
      </c>
      <c r="M1223" s="104">
        <v>2700000</v>
      </c>
      <c r="N1223" s="39">
        <v>1717000</v>
      </c>
      <c r="O1223" s="39"/>
      <c r="P1223" s="108">
        <f>+N1223+O1223</f>
        <v>1717000</v>
      </c>
      <c r="Q1223" s="39">
        <v>100</v>
      </c>
      <c r="R1223" s="39">
        <f t="shared" si="210"/>
        <v>2700000</v>
      </c>
      <c r="S1223" s="42">
        <f t="shared" si="211"/>
        <v>0</v>
      </c>
    </row>
    <row r="1224" spans="1:19">
      <c r="A1224" s="99">
        <v>2026</v>
      </c>
      <c r="B1224" s="100">
        <v>3</v>
      </c>
      <c r="C1224" s="101">
        <v>46106</v>
      </c>
      <c r="D1224" s="101" t="str">
        <f t="shared" si="209"/>
        <v>RMF00001102Андижон_Жонибек ака (S)</v>
      </c>
      <c r="E1224" s="99" t="s">
        <v>1737</v>
      </c>
      <c r="F1224" s="102" t="s">
        <v>1383</v>
      </c>
      <c r="G1224" s="102" t="s">
        <v>1280</v>
      </c>
      <c r="H1224" s="99" t="s">
        <v>1303</v>
      </c>
      <c r="I1224" s="102" t="s">
        <v>1738</v>
      </c>
      <c r="J1224" s="102" t="s">
        <v>46</v>
      </c>
      <c r="K1224" s="103">
        <v>10</v>
      </c>
      <c r="L1224" s="104">
        <v>64700</v>
      </c>
      <c r="M1224" s="104">
        <v>647000</v>
      </c>
      <c r="N1224" s="39">
        <v>400000</v>
      </c>
      <c r="O1224" s="39"/>
      <c r="P1224" s="108">
        <f>+N1224+O1224</f>
        <v>400000</v>
      </c>
      <c r="Q1224" s="39">
        <v>100</v>
      </c>
      <c r="R1224" s="39">
        <f t="shared" si="210"/>
        <v>647000</v>
      </c>
      <c r="S1224" s="42">
        <f t="shared" si="211"/>
        <v>0</v>
      </c>
    </row>
    <row r="1225" spans="1:19">
      <c r="A1225" s="99">
        <v>2026</v>
      </c>
      <c r="B1225" s="100">
        <v>3</v>
      </c>
      <c r="C1225" s="101">
        <v>46106</v>
      </c>
      <c r="D1225" s="101" t="str">
        <f t="shared" si="209"/>
        <v>RMF00001104Сурхондарьё_Анвар ака</v>
      </c>
      <c r="E1225" s="99" t="s">
        <v>1739</v>
      </c>
      <c r="F1225" s="102" t="s">
        <v>1578</v>
      </c>
      <c r="G1225" s="102" t="s">
        <v>875</v>
      </c>
      <c r="H1225" s="99" t="s">
        <v>1303</v>
      </c>
      <c r="I1225" s="102" t="s">
        <v>1740</v>
      </c>
      <c r="J1225" s="102" t="s">
        <v>466</v>
      </c>
      <c r="K1225" s="103">
        <v>40</v>
      </c>
      <c r="L1225" s="104">
        <v>120000</v>
      </c>
      <c r="M1225" s="104">
        <v>4800000</v>
      </c>
      <c r="N1225" s="39">
        <v>1497000</v>
      </c>
      <c r="O1225" s="39"/>
      <c r="P1225" s="108">
        <f>+N1225+O1225</f>
        <v>1497000</v>
      </c>
      <c r="Q1225" s="39">
        <v>100</v>
      </c>
      <c r="R1225" s="39">
        <f t="shared" si="210"/>
        <v>4800000</v>
      </c>
      <c r="S1225" s="42">
        <f t="shared" si="211"/>
        <v>0</v>
      </c>
    </row>
    <row r="1226" spans="1:19">
      <c r="A1226" s="99">
        <v>2026</v>
      </c>
      <c r="B1226" s="100">
        <v>3</v>
      </c>
      <c r="C1226" s="101">
        <v>46106</v>
      </c>
      <c r="D1226" s="101" t="str">
        <f t="shared" si="209"/>
        <v>RMF00001105Самарканд_Хуршед ака</v>
      </c>
      <c r="E1226" s="99" t="s">
        <v>1741</v>
      </c>
      <c r="F1226" s="102" t="s">
        <v>1302</v>
      </c>
      <c r="G1226" s="102" t="s">
        <v>272</v>
      </c>
      <c r="H1226" s="99" t="s">
        <v>1303</v>
      </c>
      <c r="I1226" s="102" t="s">
        <v>907</v>
      </c>
      <c r="J1226" s="102" t="s">
        <v>38</v>
      </c>
      <c r="K1226" s="103">
        <v>20</v>
      </c>
      <c r="L1226" s="104">
        <v>65000</v>
      </c>
      <c r="M1226" s="104">
        <v>1300000</v>
      </c>
      <c r="N1226" s="39">
        <v>741000</v>
      </c>
      <c r="O1226" s="39"/>
      <c r="P1226" s="108">
        <f>+N1226+O1226</f>
        <v>741000</v>
      </c>
      <c r="Q1226" s="39">
        <v>100</v>
      </c>
      <c r="R1226" s="39">
        <f t="shared" si="210"/>
        <v>1300000</v>
      </c>
      <c r="S1226" s="42">
        <f t="shared" si="211"/>
        <v>0</v>
      </c>
    </row>
    <row r="1227" spans="1:19">
      <c r="A1227" s="99">
        <v>2026</v>
      </c>
      <c r="B1227" s="100">
        <v>3</v>
      </c>
      <c r="C1227" s="101">
        <v>46106</v>
      </c>
      <c r="D1227" s="101" t="str">
        <f t="shared" si="209"/>
        <v>RMF00001105Самарканд_Хуршед ака</v>
      </c>
      <c r="E1227" s="99" t="s">
        <v>1741</v>
      </c>
      <c r="F1227" s="102" t="s">
        <v>1302</v>
      </c>
      <c r="G1227" s="102" t="s">
        <v>272</v>
      </c>
      <c r="H1227" s="99" t="s">
        <v>1303</v>
      </c>
      <c r="I1227" s="102" t="s">
        <v>907</v>
      </c>
      <c r="J1227" s="102" t="s">
        <v>41</v>
      </c>
      <c r="K1227" s="103">
        <v>12</v>
      </c>
      <c r="L1227" s="104">
        <v>90000</v>
      </c>
      <c r="M1227" s="104">
        <v>1080000</v>
      </c>
      <c r="N1227" s="39">
        <v>670000</v>
      </c>
      <c r="O1227" s="39"/>
      <c r="P1227" s="108">
        <f>+N1227+O1227</f>
        <v>670000</v>
      </c>
      <c r="Q1227" s="39">
        <v>100</v>
      </c>
      <c r="R1227" s="39">
        <f t="shared" si="210"/>
        <v>1080000</v>
      </c>
      <c r="S1227" s="42">
        <f t="shared" si="211"/>
        <v>0</v>
      </c>
    </row>
    <row r="1228" spans="1:19">
      <c r="A1228" s="99">
        <v>2026</v>
      </c>
      <c r="B1228" s="100">
        <v>3</v>
      </c>
      <c r="C1228" s="101">
        <v>46106</v>
      </c>
      <c r="D1228" s="101" t="str">
        <f t="shared" si="209"/>
        <v>RMF00001106Сирдарё_Фотима опа</v>
      </c>
      <c r="E1228" s="99" t="s">
        <v>1742</v>
      </c>
      <c r="F1228" s="102" t="s">
        <v>284</v>
      </c>
      <c r="G1228" s="102" t="s">
        <v>281</v>
      </c>
      <c r="H1228" s="99" t="s">
        <v>1303</v>
      </c>
      <c r="I1228" s="102" t="s">
        <v>20</v>
      </c>
      <c r="J1228" s="102" t="s">
        <v>38</v>
      </c>
      <c r="K1228" s="103">
        <v>30</v>
      </c>
      <c r="L1228" s="104">
        <v>65000</v>
      </c>
      <c r="M1228" s="104">
        <v>1950000</v>
      </c>
      <c r="N1228" s="39">
        <v>179000</v>
      </c>
      <c r="O1228" s="39"/>
      <c r="P1228" s="108">
        <f>+N1228+O1228</f>
        <v>179000</v>
      </c>
      <c r="Q1228" s="39">
        <v>100</v>
      </c>
      <c r="R1228" s="39">
        <f t="shared" si="210"/>
        <v>1950000</v>
      </c>
      <c r="S1228" s="42">
        <f t="shared" si="211"/>
        <v>0</v>
      </c>
    </row>
    <row r="1229" spans="1:19">
      <c r="A1229" s="99">
        <v>2026</v>
      </c>
      <c r="B1229" s="100">
        <v>3</v>
      </c>
      <c r="C1229" s="101">
        <v>46106</v>
      </c>
      <c r="D1229" s="101" t="str">
        <f t="shared" si="209"/>
        <v>RMF00001109Фаргона_Зафаржон ака</v>
      </c>
      <c r="E1229" s="99" t="s">
        <v>1743</v>
      </c>
      <c r="F1229" s="102" t="s">
        <v>1744</v>
      </c>
      <c r="G1229" s="102" t="s">
        <v>1291</v>
      </c>
      <c r="H1229" s="99" t="s">
        <v>1303</v>
      </c>
      <c r="I1229" s="102" t="s">
        <v>1490</v>
      </c>
      <c r="J1229" s="102" t="s">
        <v>38</v>
      </c>
      <c r="K1229" s="103">
        <v>100</v>
      </c>
      <c r="L1229" s="104">
        <v>65000</v>
      </c>
      <c r="M1229" s="104">
        <v>6500000</v>
      </c>
      <c r="N1229" s="39">
        <v>1873000</v>
      </c>
      <c r="O1229" s="39"/>
      <c r="P1229" s="108">
        <f>+N1229+O1229</f>
        <v>1873000</v>
      </c>
      <c r="Q1229" s="39">
        <v>100</v>
      </c>
      <c r="R1229" s="39">
        <f t="shared" si="210"/>
        <v>6500000</v>
      </c>
      <c r="S1229" s="42">
        <f t="shared" si="211"/>
        <v>0</v>
      </c>
    </row>
    <row r="1230" spans="1:19">
      <c r="A1230" s="99">
        <v>2026</v>
      </c>
      <c r="B1230" s="100">
        <v>3</v>
      </c>
      <c r="C1230" s="101">
        <v>46107</v>
      </c>
      <c r="D1230" s="101" t="str">
        <f t="shared" si="209"/>
        <v>RMF00001116Самарканд_Хуршед ака 2</v>
      </c>
      <c r="E1230" s="99" t="s">
        <v>1745</v>
      </c>
      <c r="F1230" s="102" t="s">
        <v>912</v>
      </c>
      <c r="G1230" s="102" t="s">
        <v>871</v>
      </c>
      <c r="H1230" s="99" t="s">
        <v>1303</v>
      </c>
      <c r="I1230" s="102" t="s">
        <v>913</v>
      </c>
      <c r="J1230" s="102" t="s">
        <v>41</v>
      </c>
      <c r="K1230" s="103">
        <v>98</v>
      </c>
      <c r="L1230" s="104">
        <v>90000</v>
      </c>
      <c r="M1230" s="104">
        <v>8820000</v>
      </c>
      <c r="N1230" s="39">
        <v>50000</v>
      </c>
      <c r="O1230" s="39"/>
      <c r="P1230" s="108">
        <f>+N1230+O1230</f>
        <v>50000</v>
      </c>
      <c r="Q1230" s="39">
        <v>100</v>
      </c>
      <c r="R1230" s="39">
        <f t="shared" si="210"/>
        <v>8820000</v>
      </c>
      <c r="S1230" s="42">
        <f t="shared" si="211"/>
        <v>0</v>
      </c>
    </row>
    <row r="1231" spans="1:19">
      <c r="A1231" s="99">
        <v>2026</v>
      </c>
      <c r="B1231" s="100">
        <v>3</v>
      </c>
      <c r="C1231" s="101">
        <v>46107</v>
      </c>
      <c r="D1231" s="101" t="str">
        <f t="shared" si="209"/>
        <v>RMF00001116Самарканд_Хуршед ака 2</v>
      </c>
      <c r="E1231" s="99" t="s">
        <v>1745</v>
      </c>
      <c r="F1231" s="102" t="s">
        <v>912</v>
      </c>
      <c r="G1231" s="102" t="s">
        <v>871</v>
      </c>
      <c r="H1231" s="99" t="s">
        <v>1303</v>
      </c>
      <c r="I1231" s="102" t="s">
        <v>913</v>
      </c>
      <c r="J1231" s="102" t="s">
        <v>466</v>
      </c>
      <c r="K1231" s="103">
        <v>10</v>
      </c>
      <c r="L1231" s="104">
        <v>120000</v>
      </c>
      <c r="M1231" s="104">
        <v>1200000</v>
      </c>
      <c r="N1231" s="39">
        <v>361000</v>
      </c>
      <c r="O1231" s="39"/>
      <c r="P1231" s="108">
        <f>+N1231+O1231</f>
        <v>361000</v>
      </c>
      <c r="Q1231" s="39">
        <v>100</v>
      </c>
      <c r="R1231" s="39">
        <f t="shared" si="210"/>
        <v>1200000</v>
      </c>
      <c r="S1231" s="42">
        <f t="shared" si="211"/>
        <v>0</v>
      </c>
    </row>
    <row r="1232" spans="1:19">
      <c r="A1232" s="99">
        <v>2026</v>
      </c>
      <c r="B1232" s="100">
        <v>3</v>
      </c>
      <c r="C1232" s="101">
        <v>46107</v>
      </c>
      <c r="D1232" s="101" t="str">
        <f t="shared" si="209"/>
        <v>RMF00001116Самарканд_Хуршед ака 2</v>
      </c>
      <c r="E1232" s="99" t="s">
        <v>1745</v>
      </c>
      <c r="F1232" s="102" t="s">
        <v>912</v>
      </c>
      <c r="G1232" s="102" t="s">
        <v>871</v>
      </c>
      <c r="H1232" s="99" t="s">
        <v>1303</v>
      </c>
      <c r="I1232" s="102" t="s">
        <v>913</v>
      </c>
      <c r="J1232" s="102" t="s">
        <v>41</v>
      </c>
      <c r="K1232" s="103">
        <v>2</v>
      </c>
      <c r="L1232" s="104">
        <v>90000</v>
      </c>
      <c r="M1232" s="104">
        <v>180000</v>
      </c>
      <c r="N1232" s="39">
        <v>50000</v>
      </c>
      <c r="O1232" s="39"/>
      <c r="P1232" s="108">
        <f>+N1232+O1232</f>
        <v>50000</v>
      </c>
      <c r="Q1232" s="39">
        <v>100</v>
      </c>
      <c r="R1232" s="39">
        <f t="shared" si="210"/>
        <v>180000</v>
      </c>
      <c r="S1232" s="42">
        <f t="shared" si="211"/>
        <v>0</v>
      </c>
    </row>
    <row r="1233" spans="1:19">
      <c r="A1233" s="99">
        <v>2026</v>
      </c>
      <c r="B1233" s="100">
        <v>3</v>
      </c>
      <c r="C1233" s="101">
        <v>46107</v>
      </c>
      <c r="D1233" s="101" t="str">
        <f t="shared" si="209"/>
        <v>RMF00001120Сурхондарьё_Анвар ака</v>
      </c>
      <c r="E1233" s="99" t="s">
        <v>1746</v>
      </c>
      <c r="F1233" s="102" t="s">
        <v>874</v>
      </c>
      <c r="G1233" s="102" t="s">
        <v>875</v>
      </c>
      <c r="H1233" s="99" t="s">
        <v>1303</v>
      </c>
      <c r="I1233" s="102" t="s">
        <v>1579</v>
      </c>
      <c r="J1233" s="102" t="s">
        <v>38</v>
      </c>
      <c r="K1233" s="103">
        <v>30</v>
      </c>
      <c r="L1233" s="104">
        <v>65000</v>
      </c>
      <c r="M1233" s="104">
        <v>1950000</v>
      </c>
      <c r="N1233" s="39">
        <v>1139000</v>
      </c>
      <c r="O1233" s="39"/>
      <c r="P1233" s="108">
        <f>+N1233+O1233</f>
        <v>1139000</v>
      </c>
      <c r="Q1233" s="39">
        <v>100</v>
      </c>
      <c r="R1233" s="39">
        <f t="shared" si="210"/>
        <v>1950000</v>
      </c>
      <c r="S1233" s="42">
        <f t="shared" si="211"/>
        <v>0</v>
      </c>
    </row>
    <row r="1234" spans="1:19">
      <c r="A1234" s="99">
        <v>2026</v>
      </c>
      <c r="B1234" s="100">
        <v>3</v>
      </c>
      <c r="C1234" s="101">
        <v>46107</v>
      </c>
      <c r="D1234" s="101" t="str">
        <f t="shared" si="209"/>
        <v>RMF00001121Карши_Дилсўз опа</v>
      </c>
      <c r="E1234" s="99" t="s">
        <v>1747</v>
      </c>
      <c r="F1234" s="102" t="s">
        <v>1026</v>
      </c>
      <c r="G1234" s="102" t="s">
        <v>1027</v>
      </c>
      <c r="H1234" s="99" t="s">
        <v>1303</v>
      </c>
      <c r="I1234" s="102" t="s">
        <v>1568</v>
      </c>
      <c r="J1234" s="102" t="s">
        <v>41</v>
      </c>
      <c r="K1234" s="103">
        <v>40</v>
      </c>
      <c r="L1234" s="104">
        <v>90000</v>
      </c>
      <c r="M1234" s="104">
        <v>3600000</v>
      </c>
      <c r="N1234" s="39">
        <v>1114000</v>
      </c>
      <c r="O1234" s="39"/>
      <c r="P1234" s="108">
        <f>+N1234+O1234</f>
        <v>1114000</v>
      </c>
      <c r="Q1234" s="39">
        <v>100</v>
      </c>
      <c r="R1234" s="39">
        <f t="shared" si="210"/>
        <v>3600000</v>
      </c>
      <c r="S1234" s="42">
        <f t="shared" si="211"/>
        <v>0</v>
      </c>
    </row>
    <row r="1235" spans="1:19">
      <c r="A1235" s="99">
        <v>2026</v>
      </c>
      <c r="B1235" s="100">
        <v>3</v>
      </c>
      <c r="C1235" s="101">
        <v>46107</v>
      </c>
      <c r="D1235" s="101" t="str">
        <f t="shared" si="209"/>
        <v>RMF00001132Бухоро_Нафосат опа</v>
      </c>
      <c r="E1235" s="99" t="s">
        <v>1748</v>
      </c>
      <c r="F1235" s="102" t="s">
        <v>893</v>
      </c>
      <c r="G1235" s="102" t="s">
        <v>894</v>
      </c>
      <c r="H1235" s="99" t="s">
        <v>1303</v>
      </c>
      <c r="I1235" s="102" t="s">
        <v>1351</v>
      </c>
      <c r="J1235" s="102" t="s">
        <v>41</v>
      </c>
      <c r="K1235" s="103">
        <v>100</v>
      </c>
      <c r="L1235" s="104">
        <v>90000</v>
      </c>
      <c r="M1235" s="104">
        <v>9000000</v>
      </c>
      <c r="N1235" s="39">
        <v>1153000</v>
      </c>
      <c r="O1235" s="39"/>
      <c r="P1235" s="108">
        <f>+N1235+O1235</f>
        <v>1153000</v>
      </c>
      <c r="Q1235" s="39">
        <v>100</v>
      </c>
      <c r="R1235" s="39">
        <f t="shared" si="210"/>
        <v>9000000</v>
      </c>
      <c r="S1235" s="42">
        <f t="shared" si="211"/>
        <v>0</v>
      </c>
    </row>
    <row r="1236" spans="1:19">
      <c r="A1236" s="99">
        <v>2026</v>
      </c>
      <c r="B1236" s="100">
        <v>3</v>
      </c>
      <c r="C1236" s="101">
        <v>46108</v>
      </c>
      <c r="D1236" s="101" t="str">
        <f t="shared" si="209"/>
        <v>RMF00001141Самарканд_Хуршед ака 2</v>
      </c>
      <c r="E1236" s="99" t="s">
        <v>1749</v>
      </c>
      <c r="F1236" s="102" t="s">
        <v>1590</v>
      </c>
      <c r="G1236" s="102" t="s">
        <v>871</v>
      </c>
      <c r="H1236" s="99" t="s">
        <v>1303</v>
      </c>
      <c r="I1236" s="102" t="s">
        <v>1705</v>
      </c>
      <c r="J1236" s="102" t="s">
        <v>466</v>
      </c>
      <c r="K1236" s="103">
        <v>30</v>
      </c>
      <c r="L1236" s="104">
        <v>120000</v>
      </c>
      <c r="M1236" s="104">
        <v>3600000</v>
      </c>
      <c r="N1236" s="39">
        <v>1091000</v>
      </c>
      <c r="O1236" s="39"/>
      <c r="P1236" s="108">
        <f>+N1236+O1236</f>
        <v>1091000</v>
      </c>
      <c r="Q1236" s="39">
        <v>100</v>
      </c>
      <c r="R1236" s="39">
        <f t="shared" si="210"/>
        <v>3600000</v>
      </c>
      <c r="S1236" s="42">
        <f t="shared" si="211"/>
        <v>0</v>
      </c>
    </row>
    <row r="1237" spans="1:19">
      <c r="A1237" s="99">
        <v>2026</v>
      </c>
      <c r="B1237" s="100">
        <v>3</v>
      </c>
      <c r="C1237" s="101">
        <v>46108</v>
      </c>
      <c r="D1237" s="101" t="str">
        <f t="shared" si="209"/>
        <v>RMF00001141Самарканд_Хуршед ака 2</v>
      </c>
      <c r="E1237" s="99" t="s">
        <v>1749</v>
      </c>
      <c r="F1237" s="102" t="s">
        <v>1590</v>
      </c>
      <c r="G1237" s="102" t="s">
        <v>871</v>
      </c>
      <c r="H1237" s="99" t="s">
        <v>1303</v>
      </c>
      <c r="I1237" s="102" t="s">
        <v>1705</v>
      </c>
      <c r="J1237" s="102" t="s">
        <v>41</v>
      </c>
      <c r="K1237" s="103">
        <v>20</v>
      </c>
      <c r="L1237" s="104">
        <v>90000</v>
      </c>
      <c r="M1237" s="104">
        <v>1800000</v>
      </c>
      <c r="N1237" s="39">
        <v>508000</v>
      </c>
      <c r="O1237" s="39"/>
      <c r="P1237" s="108">
        <f>+N1237+O1237</f>
        <v>508000</v>
      </c>
      <c r="Q1237" s="39">
        <v>100</v>
      </c>
      <c r="R1237" s="39">
        <f t="shared" si="210"/>
        <v>1800000</v>
      </c>
      <c r="S1237" s="42">
        <f t="shared" si="211"/>
        <v>0</v>
      </c>
    </row>
    <row r="1238" spans="1:19">
      <c r="A1238" s="99">
        <v>2026</v>
      </c>
      <c r="B1238" s="100">
        <v>3</v>
      </c>
      <c r="C1238" s="101">
        <v>46108</v>
      </c>
      <c r="D1238" s="101" t="str">
        <f t="shared" si="209"/>
        <v>RMF00001142Сирдарё_Фотима опа</v>
      </c>
      <c r="E1238" s="99" t="s">
        <v>1750</v>
      </c>
      <c r="F1238" s="102" t="s">
        <v>284</v>
      </c>
      <c r="G1238" s="102" t="s">
        <v>281</v>
      </c>
      <c r="H1238" s="99" t="s">
        <v>1303</v>
      </c>
      <c r="I1238" s="102" t="s">
        <v>1492</v>
      </c>
      <c r="J1238" s="102" t="s">
        <v>21</v>
      </c>
      <c r="K1238" s="103">
        <v>20</v>
      </c>
      <c r="L1238" s="104">
        <v>40621</v>
      </c>
      <c r="M1238" s="104">
        <v>812420</v>
      </c>
      <c r="N1238" s="39">
        <v>239000</v>
      </c>
      <c r="O1238" s="39"/>
      <c r="P1238" s="108">
        <f>+N1238+O1238</f>
        <v>239000</v>
      </c>
      <c r="Q1238" s="39">
        <v>100</v>
      </c>
      <c r="R1238" s="39">
        <f t="shared" si="210"/>
        <v>812420</v>
      </c>
      <c r="S1238" s="42">
        <f t="shared" si="211"/>
        <v>0</v>
      </c>
    </row>
    <row r="1239" spans="1:19">
      <c r="A1239" s="99">
        <v>2026</v>
      </c>
      <c r="B1239" s="100">
        <v>3</v>
      </c>
      <c r="C1239" s="101">
        <v>46108</v>
      </c>
      <c r="D1239" s="101" t="str">
        <f t="shared" si="209"/>
        <v>RMF00001154Фаргона_Умар ака Сух</v>
      </c>
      <c r="E1239" s="99" t="s">
        <v>1751</v>
      </c>
      <c r="F1239" s="102" t="s">
        <v>1271</v>
      </c>
      <c r="G1239" s="102" t="s">
        <v>1272</v>
      </c>
      <c r="H1239" s="99" t="s">
        <v>1303</v>
      </c>
      <c r="I1239" s="102" t="s">
        <v>1309</v>
      </c>
      <c r="J1239" s="102" t="s">
        <v>41</v>
      </c>
      <c r="K1239" s="103">
        <v>15</v>
      </c>
      <c r="L1239" s="104">
        <v>90000</v>
      </c>
      <c r="M1239" s="104">
        <v>1350000</v>
      </c>
      <c r="N1239" s="39">
        <v>483000</v>
      </c>
      <c r="O1239" s="39"/>
      <c r="P1239" s="108">
        <f>+N1239+O1239</f>
        <v>483000</v>
      </c>
      <c r="Q1239" s="39">
        <v>100</v>
      </c>
      <c r="R1239" s="39">
        <f t="shared" si="210"/>
        <v>1350000</v>
      </c>
      <c r="S1239" s="42">
        <f t="shared" si="211"/>
        <v>0</v>
      </c>
    </row>
    <row r="1240" spans="1:19">
      <c r="A1240" s="99">
        <v>2026</v>
      </c>
      <c r="B1240" s="100">
        <v>3</v>
      </c>
      <c r="C1240" s="101">
        <v>46111</v>
      </c>
      <c r="D1240" s="101" t="str">
        <f t="shared" si="209"/>
        <v>RMF00001164Самарканд_Хуршед ака 3</v>
      </c>
      <c r="E1240" s="99" t="s">
        <v>1752</v>
      </c>
      <c r="F1240" s="102" t="s">
        <v>886</v>
      </c>
      <c r="G1240" s="102" t="s">
        <v>887</v>
      </c>
      <c r="H1240" s="99" t="s">
        <v>1303</v>
      </c>
      <c r="I1240" s="102" t="s">
        <v>1753</v>
      </c>
      <c r="J1240" s="102" t="s">
        <v>46</v>
      </c>
      <c r="K1240" s="103">
        <v>15</v>
      </c>
      <c r="L1240" s="104">
        <v>64700</v>
      </c>
      <c r="M1240" s="104">
        <v>970500</v>
      </c>
      <c r="N1240" s="39">
        <v>272000</v>
      </c>
      <c r="O1240" s="39"/>
      <c r="P1240" s="108">
        <f>+N1240+O1240</f>
        <v>272000</v>
      </c>
      <c r="Q1240" s="39">
        <v>51</v>
      </c>
      <c r="R1240" s="39">
        <f t="shared" si="210"/>
        <v>494955</v>
      </c>
      <c r="S1240" s="42">
        <f t="shared" si="211"/>
        <v>475545</v>
      </c>
    </row>
    <row r="1241" spans="1:19">
      <c r="A1241" s="99">
        <v>2026</v>
      </c>
      <c r="B1241" s="100">
        <v>3</v>
      </c>
      <c r="C1241" s="101">
        <v>46112</v>
      </c>
      <c r="D1241" s="101" t="str">
        <f t="shared" si="209"/>
        <v>RMF00001180Самарканд_Хуршед ака</v>
      </c>
      <c r="E1241" s="99" t="s">
        <v>1754</v>
      </c>
      <c r="F1241" s="102" t="s">
        <v>1302</v>
      </c>
      <c r="G1241" s="102" t="s">
        <v>272</v>
      </c>
      <c r="H1241" s="99" t="s">
        <v>1303</v>
      </c>
      <c r="I1241" s="102" t="s">
        <v>1755</v>
      </c>
      <c r="J1241" s="102" t="s">
        <v>41</v>
      </c>
      <c r="K1241" s="103">
        <v>100</v>
      </c>
      <c r="L1241" s="104">
        <v>90000</v>
      </c>
      <c r="M1241" s="104">
        <v>9000000</v>
      </c>
      <c r="N1241" s="39">
        <v>2518000</v>
      </c>
      <c r="O1241" s="39"/>
      <c r="P1241" s="108">
        <f>+N1241+O1241</f>
        <v>2518000</v>
      </c>
      <c r="Q1241" s="39">
        <v>72</v>
      </c>
      <c r="R1241" s="39">
        <f t="shared" si="210"/>
        <v>6480000</v>
      </c>
      <c r="S1241" s="42">
        <f t="shared" si="211"/>
        <v>2520000</v>
      </c>
    </row>
    <row r="1242" spans="1:19">
      <c r="A1242" s="99">
        <v>2026</v>
      </c>
      <c r="B1242" s="100">
        <v>3</v>
      </c>
      <c r="C1242" s="101">
        <v>46112</v>
      </c>
      <c r="D1242" s="101" t="str">
        <f t="shared" si="209"/>
        <v>RMF00001182Самарканд_Хуршед ака 3</v>
      </c>
      <c r="E1242" s="99" t="s">
        <v>1756</v>
      </c>
      <c r="F1242" s="102" t="s">
        <v>886</v>
      </c>
      <c r="G1242" s="102" t="s">
        <v>887</v>
      </c>
      <c r="H1242" s="99" t="s">
        <v>1303</v>
      </c>
      <c r="I1242" s="102" t="s">
        <v>995</v>
      </c>
      <c r="J1242" s="102" t="s">
        <v>46</v>
      </c>
      <c r="K1242" s="103">
        <v>50</v>
      </c>
      <c r="L1242" s="104">
        <v>64700</v>
      </c>
      <c r="M1242" s="104">
        <v>3235000</v>
      </c>
      <c r="N1242" s="39">
        <v>879000</v>
      </c>
      <c r="O1242" s="39"/>
      <c r="P1242" s="108">
        <f>+N1242+O1242</f>
        <v>879000</v>
      </c>
      <c r="Q1242" s="39">
        <v>50</v>
      </c>
      <c r="R1242" s="39">
        <f t="shared" si="210"/>
        <v>1617500</v>
      </c>
      <c r="S1242" s="42">
        <f t="shared" si="211"/>
        <v>1617500</v>
      </c>
    </row>
    <row r="1243" spans="1:19">
      <c r="A1243" s="99">
        <v>2026</v>
      </c>
      <c r="B1243" s="100">
        <v>3</v>
      </c>
      <c r="C1243" s="101">
        <v>46112</v>
      </c>
      <c r="D1243" s="101" t="str">
        <f t="shared" si="209"/>
        <v>RMF00001185Андижон_Жонибек ака (S)</v>
      </c>
      <c r="E1243" s="99" t="s">
        <v>1757</v>
      </c>
      <c r="F1243" s="102" t="s">
        <v>1383</v>
      </c>
      <c r="G1243" s="102" t="s">
        <v>1280</v>
      </c>
      <c r="H1243" s="99" t="s">
        <v>1303</v>
      </c>
      <c r="I1243" s="102" t="s">
        <v>1633</v>
      </c>
      <c r="J1243" s="102" t="s">
        <v>41</v>
      </c>
      <c r="K1243" s="103">
        <v>35</v>
      </c>
      <c r="L1243" s="104">
        <v>90000</v>
      </c>
      <c r="M1243" s="104">
        <v>3150000</v>
      </c>
      <c r="N1243" s="39">
        <v>2003000</v>
      </c>
      <c r="O1243" s="39"/>
      <c r="P1243" s="108">
        <f>+N1243+O1243</f>
        <v>2003000</v>
      </c>
      <c r="Q1243" s="39">
        <v>100</v>
      </c>
      <c r="R1243" s="39">
        <f t="shared" si="210"/>
        <v>3150000</v>
      </c>
      <c r="S1243" s="42">
        <f t="shared" si="211"/>
        <v>0</v>
      </c>
    </row>
    <row r="1244" spans="1:19">
      <c r="A1244" s="99">
        <v>2026</v>
      </c>
      <c r="B1244" s="100">
        <v>3</v>
      </c>
      <c r="C1244" s="101">
        <v>46112</v>
      </c>
      <c r="D1244" s="101" t="str">
        <f t="shared" si="209"/>
        <v>RMF00001194Самарканд_Хуршед ака 2</v>
      </c>
      <c r="E1244" s="99" t="s">
        <v>1758</v>
      </c>
      <c r="F1244" s="102" t="s">
        <v>1590</v>
      </c>
      <c r="G1244" s="102" t="s">
        <v>871</v>
      </c>
      <c r="H1244" s="99" t="s">
        <v>1303</v>
      </c>
      <c r="I1244" s="102" t="s">
        <v>1759</v>
      </c>
      <c r="J1244" s="102" t="s">
        <v>466</v>
      </c>
      <c r="K1244" s="103">
        <v>10</v>
      </c>
      <c r="L1244" s="104">
        <v>120000</v>
      </c>
      <c r="M1244" s="104">
        <v>1200000</v>
      </c>
      <c r="N1244" s="39">
        <v>820000</v>
      </c>
      <c r="O1244" s="39"/>
      <c r="P1244" s="108">
        <f>+N1244+O1244</f>
        <v>820000</v>
      </c>
      <c r="Q1244" s="39">
        <v>100</v>
      </c>
      <c r="R1244" s="39">
        <f t="shared" si="210"/>
        <v>1200000</v>
      </c>
      <c r="S1244" s="42">
        <f t="shared" si="211"/>
        <v>0</v>
      </c>
    </row>
    <row r="1245" spans="1:19">
      <c r="A1245" s="99">
        <v>2026</v>
      </c>
      <c r="B1245" s="100">
        <v>4</v>
      </c>
      <c r="C1245" s="101">
        <v>46113</v>
      </c>
      <c r="D1245" s="101" t="str">
        <f t="shared" si="209"/>
        <v>RMF00001208Бухоро_Нафосат опа</v>
      </c>
      <c r="E1245" s="99" t="s">
        <v>1760</v>
      </c>
      <c r="F1245" s="102" t="s">
        <v>1761</v>
      </c>
      <c r="G1245" s="102" t="s">
        <v>894</v>
      </c>
      <c r="H1245" s="99" t="s">
        <v>1303</v>
      </c>
      <c r="I1245" s="102" t="s">
        <v>1629</v>
      </c>
      <c r="J1245" s="102" t="s">
        <v>41</v>
      </c>
      <c r="K1245" s="103">
        <v>50</v>
      </c>
      <c r="L1245" s="104">
        <v>90000</v>
      </c>
      <c r="M1245" s="104">
        <v>4500000</v>
      </c>
      <c r="N1245" s="39">
        <v>2861000</v>
      </c>
      <c r="O1245" s="39"/>
      <c r="P1245" s="108">
        <f>+N1245+O1245</f>
        <v>2861000</v>
      </c>
      <c r="Q1245" s="39">
        <v>100</v>
      </c>
      <c r="R1245" s="39">
        <f t="shared" si="210"/>
        <v>4500000</v>
      </c>
      <c r="S1245" s="42">
        <f t="shared" si="211"/>
        <v>0</v>
      </c>
    </row>
    <row r="1246" spans="1:19">
      <c r="A1246" s="99">
        <v>2026</v>
      </c>
      <c r="B1246" s="100">
        <v>4</v>
      </c>
      <c r="C1246" s="101">
        <v>46113</v>
      </c>
      <c r="D1246" s="101" t="str">
        <f t="shared" si="209"/>
        <v>RMF00001213Самарканд_Хуршед ака 3</v>
      </c>
      <c r="E1246" s="99" t="s">
        <v>1762</v>
      </c>
      <c r="F1246" s="102" t="s">
        <v>886</v>
      </c>
      <c r="G1246" s="102" t="s">
        <v>887</v>
      </c>
      <c r="H1246" s="99" t="s">
        <v>1303</v>
      </c>
      <c r="I1246" s="102" t="s">
        <v>1763</v>
      </c>
      <c r="J1246" s="102" t="s">
        <v>46</v>
      </c>
      <c r="K1246" s="103">
        <v>15</v>
      </c>
      <c r="L1246" s="104">
        <v>64700</v>
      </c>
      <c r="M1246" s="104">
        <v>970500</v>
      </c>
      <c r="N1246" s="39">
        <v>264000</v>
      </c>
      <c r="O1246" s="39"/>
      <c r="P1246" s="108">
        <f>+N1246+O1246</f>
        <v>264000</v>
      </c>
      <c r="Q1246" s="39">
        <v>50</v>
      </c>
      <c r="R1246" s="39">
        <f t="shared" si="210"/>
        <v>485250</v>
      </c>
      <c r="S1246" s="42">
        <f t="shared" si="211"/>
        <v>485250</v>
      </c>
    </row>
    <row r="1247" spans="1:19">
      <c r="A1247" s="99">
        <v>2026</v>
      </c>
      <c r="B1247" s="100">
        <v>4</v>
      </c>
      <c r="C1247" s="101">
        <v>46114</v>
      </c>
      <c r="D1247" s="101" t="str">
        <f t="shared" si="209"/>
        <v>RMF00001223Самарканд_Хуршед ака 2</v>
      </c>
      <c r="E1247" s="99" t="s">
        <v>1764</v>
      </c>
      <c r="F1247" s="102" t="s">
        <v>899</v>
      </c>
      <c r="G1247" s="102" t="s">
        <v>871</v>
      </c>
      <c r="H1247" s="99" t="s">
        <v>1303</v>
      </c>
      <c r="I1247" s="102" t="s">
        <v>1727</v>
      </c>
      <c r="J1247" s="102" t="s">
        <v>41</v>
      </c>
      <c r="K1247" s="103">
        <v>30</v>
      </c>
      <c r="L1247" s="104">
        <v>90000</v>
      </c>
      <c r="M1247" s="104">
        <v>2700000</v>
      </c>
      <c r="N1247" s="39">
        <v>1717000</v>
      </c>
      <c r="O1247" s="39"/>
      <c r="P1247" s="108">
        <f>+N1247+O1247</f>
        <v>1717000</v>
      </c>
      <c r="Q1247" s="39">
        <v>100</v>
      </c>
      <c r="R1247" s="39">
        <f t="shared" si="210"/>
        <v>2700000</v>
      </c>
      <c r="S1247" s="42">
        <f t="shared" si="211"/>
        <v>0</v>
      </c>
    </row>
    <row r="1248" spans="1:19">
      <c r="A1248" s="99">
        <v>2026</v>
      </c>
      <c r="B1248" s="100">
        <v>4</v>
      </c>
      <c r="C1248" s="101">
        <v>46115</v>
      </c>
      <c r="D1248" s="101" t="str">
        <f t="shared" si="209"/>
        <v>RMF00001242Самарканд_Хуршед ака 3</v>
      </c>
      <c r="E1248" s="99" t="s">
        <v>1765</v>
      </c>
      <c r="F1248" s="102" t="s">
        <v>886</v>
      </c>
      <c r="G1248" s="102" t="s">
        <v>887</v>
      </c>
      <c r="H1248" s="99" t="s">
        <v>1303</v>
      </c>
      <c r="I1248" s="102" t="s">
        <v>1766</v>
      </c>
      <c r="J1248" s="102" t="s">
        <v>46</v>
      </c>
      <c r="K1248" s="103">
        <v>20</v>
      </c>
      <c r="L1248" s="104">
        <v>64700</v>
      </c>
      <c r="M1248" s="104">
        <v>1294000</v>
      </c>
      <c r="N1248" s="39">
        <v>367000</v>
      </c>
      <c r="O1248" s="39"/>
      <c r="P1248" s="108">
        <f>+N1248+O1248</f>
        <v>367000</v>
      </c>
      <c r="Q1248" s="39">
        <v>100</v>
      </c>
      <c r="R1248" s="39">
        <f t="shared" si="210"/>
        <v>1294000</v>
      </c>
      <c r="S1248" s="42">
        <f t="shared" si="211"/>
        <v>0</v>
      </c>
    </row>
    <row r="1249" spans="1:19">
      <c r="A1249" s="99">
        <v>2026</v>
      </c>
      <c r="B1249" s="100">
        <v>4</v>
      </c>
      <c r="C1249" s="101">
        <v>46115</v>
      </c>
      <c r="D1249" s="101" t="str">
        <f t="shared" si="209"/>
        <v>RMF00001250Самарканд_Хуршед ака 2</v>
      </c>
      <c r="E1249" s="99" t="s">
        <v>1767</v>
      </c>
      <c r="F1249" s="102" t="s">
        <v>1590</v>
      </c>
      <c r="G1249" s="102" t="s">
        <v>871</v>
      </c>
      <c r="H1249" s="99" t="s">
        <v>1303</v>
      </c>
      <c r="I1249" s="102" t="s">
        <v>942</v>
      </c>
      <c r="J1249" s="102" t="s">
        <v>38</v>
      </c>
      <c r="K1249" s="103">
        <v>50</v>
      </c>
      <c r="L1249" s="104">
        <v>65000</v>
      </c>
      <c r="M1249" s="104">
        <v>3250000</v>
      </c>
      <c r="N1249" s="39">
        <v>835000</v>
      </c>
      <c r="O1249" s="39"/>
      <c r="P1249" s="108">
        <f>+N1249+O1249</f>
        <v>835000</v>
      </c>
      <c r="Q1249" s="39">
        <v>100</v>
      </c>
      <c r="R1249" s="39">
        <f t="shared" si="210"/>
        <v>3250000</v>
      </c>
      <c r="S1249" s="42">
        <f t="shared" si="211"/>
        <v>0</v>
      </c>
    </row>
    <row r="1250" spans="1:19">
      <c r="A1250" s="99">
        <v>2026</v>
      </c>
      <c r="B1250" s="100">
        <v>4</v>
      </c>
      <c r="C1250" s="101">
        <v>46115</v>
      </c>
      <c r="D1250" s="101" t="str">
        <f t="shared" si="209"/>
        <v>RMF00001255Кукон_Бахромжон ака</v>
      </c>
      <c r="E1250" s="99" t="s">
        <v>1768</v>
      </c>
      <c r="F1250" s="102" t="s">
        <v>1468</v>
      </c>
      <c r="G1250" s="102" t="s">
        <v>1359</v>
      </c>
      <c r="H1250" s="99" t="s">
        <v>1303</v>
      </c>
      <c r="I1250" s="102" t="s">
        <v>1769</v>
      </c>
      <c r="J1250" s="102" t="s">
        <v>41</v>
      </c>
      <c r="K1250" s="103">
        <v>20</v>
      </c>
      <c r="L1250" s="104">
        <v>90000</v>
      </c>
      <c r="M1250" s="104">
        <v>1800000</v>
      </c>
      <c r="N1250" s="39">
        <v>1144000</v>
      </c>
      <c r="O1250" s="39"/>
      <c r="P1250" s="108">
        <f>+N1250+O1250</f>
        <v>1144000</v>
      </c>
      <c r="Q1250" s="39">
        <v>100</v>
      </c>
      <c r="R1250" s="39">
        <f t="shared" si="210"/>
        <v>1800000</v>
      </c>
      <c r="S1250" s="42">
        <f t="shared" si="211"/>
        <v>0</v>
      </c>
    </row>
    <row r="1251" spans="1:19">
      <c r="A1251" s="99">
        <v>2026</v>
      </c>
      <c r="B1251" s="100">
        <v>4</v>
      </c>
      <c r="C1251" s="101">
        <v>46115</v>
      </c>
      <c r="D1251" s="101" t="str">
        <f t="shared" si="209"/>
        <v>RMF00001259Самарканд_Хуршед ака 2</v>
      </c>
      <c r="E1251" s="99" t="s">
        <v>1770</v>
      </c>
      <c r="F1251" s="102" t="s">
        <v>912</v>
      </c>
      <c r="G1251" s="102" t="s">
        <v>871</v>
      </c>
      <c r="H1251" s="99" t="s">
        <v>1303</v>
      </c>
      <c r="I1251" s="102" t="s">
        <v>1771</v>
      </c>
      <c r="J1251" s="102" t="s">
        <v>38</v>
      </c>
      <c r="K1251" s="103">
        <v>10</v>
      </c>
      <c r="L1251" s="104">
        <v>65000</v>
      </c>
      <c r="M1251" s="104">
        <v>650000</v>
      </c>
      <c r="N1251" s="39">
        <v>681000</v>
      </c>
      <c r="O1251" s="39"/>
      <c r="P1251" s="108">
        <f>+N1251+O1251</f>
        <v>681000</v>
      </c>
      <c r="Q1251" s="39">
        <v>51</v>
      </c>
      <c r="R1251" s="39">
        <f t="shared" si="210"/>
        <v>331500</v>
      </c>
      <c r="S1251" s="42">
        <f t="shared" si="211"/>
        <v>318500</v>
      </c>
    </row>
    <row r="1252" spans="1:19">
      <c r="A1252" s="99">
        <v>2026</v>
      </c>
      <c r="B1252" s="100">
        <v>4</v>
      </c>
      <c r="C1252" s="101">
        <v>46115</v>
      </c>
      <c r="D1252" s="101" t="str">
        <f t="shared" si="209"/>
        <v>RMF00001259Самарканд_Хуршед ака 2</v>
      </c>
      <c r="E1252" s="99" t="s">
        <v>1770</v>
      </c>
      <c r="F1252" s="102" t="s">
        <v>912</v>
      </c>
      <c r="G1252" s="102" t="s">
        <v>871</v>
      </c>
      <c r="H1252" s="99" t="s">
        <v>1303</v>
      </c>
      <c r="I1252" s="102" t="s">
        <v>1771</v>
      </c>
      <c r="J1252" s="102" t="s">
        <v>41</v>
      </c>
      <c r="K1252" s="103">
        <v>30</v>
      </c>
      <c r="L1252" s="104">
        <v>90000</v>
      </c>
      <c r="M1252" s="104">
        <v>2700000</v>
      </c>
      <c r="N1252" s="39">
        <v>770000</v>
      </c>
      <c r="O1252" s="39"/>
      <c r="P1252" s="108">
        <f>+N1252+O1252</f>
        <v>770000</v>
      </c>
      <c r="Q1252" s="39">
        <v>51</v>
      </c>
      <c r="R1252" s="39">
        <f t="shared" si="210"/>
        <v>1377000</v>
      </c>
      <c r="S1252" s="42">
        <f t="shared" si="211"/>
        <v>1323000</v>
      </c>
    </row>
    <row r="1253" spans="1:19">
      <c r="A1253" s="99">
        <v>2026</v>
      </c>
      <c r="B1253" s="100">
        <v>4</v>
      </c>
      <c r="C1253" s="101">
        <v>46115</v>
      </c>
      <c r="D1253" s="101" t="str">
        <f t="shared" si="209"/>
        <v>RMF00001259Самарканд_Хуршед ака 2</v>
      </c>
      <c r="E1253" s="99" t="s">
        <v>1770</v>
      </c>
      <c r="F1253" s="102" t="s">
        <v>912</v>
      </c>
      <c r="G1253" s="102" t="s">
        <v>871</v>
      </c>
      <c r="H1253" s="99" t="s">
        <v>1303</v>
      </c>
      <c r="I1253" s="102" t="s">
        <v>1771</v>
      </c>
      <c r="J1253" s="102" t="s">
        <v>38</v>
      </c>
      <c r="K1253" s="103">
        <v>40</v>
      </c>
      <c r="L1253" s="104">
        <v>65000</v>
      </c>
      <c r="M1253" s="104">
        <v>2600000</v>
      </c>
      <c r="N1253" s="39">
        <v>681000</v>
      </c>
      <c r="O1253" s="39"/>
      <c r="P1253" s="108">
        <f>+N1253+O1253</f>
        <v>681000</v>
      </c>
      <c r="Q1253" s="39">
        <v>51</v>
      </c>
      <c r="R1253" s="39">
        <f t="shared" si="210"/>
        <v>1326000</v>
      </c>
      <c r="S1253" s="42">
        <f t="shared" si="211"/>
        <v>1274000</v>
      </c>
    </row>
    <row r="1254" spans="1:19">
      <c r="A1254" s="99">
        <v>2025</v>
      </c>
      <c r="B1254" s="100">
        <v>5</v>
      </c>
      <c r="C1254" s="101">
        <v>45803</v>
      </c>
      <c r="D1254" s="101" t="str">
        <f t="shared" si="209"/>
        <v>SM000002015Андижон_Жонибек ака</v>
      </c>
      <c r="E1254" s="99" t="s">
        <v>1139</v>
      </c>
      <c r="F1254" s="102" t="s">
        <v>1140</v>
      </c>
      <c r="G1254" s="102" t="s">
        <v>1141</v>
      </c>
      <c r="H1254" s="99" t="s">
        <v>1138</v>
      </c>
      <c r="I1254" s="102" t="s">
        <v>1142</v>
      </c>
      <c r="J1254" s="102" t="s">
        <v>21</v>
      </c>
      <c r="K1254" s="103">
        <v>480</v>
      </c>
      <c r="L1254" s="104">
        <v>36955.08</v>
      </c>
      <c r="M1254" s="104">
        <v>17738438.399999999</v>
      </c>
      <c r="N1254" s="39">
        <f t="shared" ref="N1254:N1269" si="212">+K1254*15000</f>
        <v>7200000</v>
      </c>
      <c r="O1254" s="107">
        <f>+M1254*$O$1</f>
        <v>3192918.9119999995</v>
      </c>
      <c r="P1254" s="108">
        <f>+N1254+O1254</f>
        <v>10392918.912</v>
      </c>
      <c r="Q1254" s="39">
        <v>100</v>
      </c>
      <c r="R1254" s="39">
        <f t="shared" si="210"/>
        <v>17738438.399999999</v>
      </c>
      <c r="S1254" s="42">
        <f t="shared" si="211"/>
        <v>0</v>
      </c>
    </row>
    <row r="1255" spans="1:19">
      <c r="A1255" s="99">
        <v>2025</v>
      </c>
      <c r="B1255" s="100">
        <v>5</v>
      </c>
      <c r="C1255" s="101">
        <v>45804</v>
      </c>
      <c r="D1255" s="101" t="str">
        <f t="shared" si="209"/>
        <v>SM000002037Наманган_Розия опа</v>
      </c>
      <c r="E1255" s="99" t="s">
        <v>1143</v>
      </c>
      <c r="F1255" s="102" t="s">
        <v>1144</v>
      </c>
      <c r="G1255" s="102" t="s">
        <v>1145</v>
      </c>
      <c r="H1255" s="99" t="s">
        <v>1138</v>
      </c>
      <c r="I1255" s="102" t="s">
        <v>1146</v>
      </c>
      <c r="J1255" s="102" t="s">
        <v>21</v>
      </c>
      <c r="K1255" s="103">
        <v>300</v>
      </c>
      <c r="L1255" s="104">
        <v>36955.08</v>
      </c>
      <c r="M1255" s="104">
        <v>11086524</v>
      </c>
      <c r="N1255" s="39">
        <f t="shared" si="212"/>
        <v>4500000</v>
      </c>
      <c r="O1255" s="107">
        <f>+M1255*$O$1</f>
        <v>1995574.3199999998</v>
      </c>
      <c r="P1255" s="108">
        <f>+N1255+O1255</f>
        <v>6495574.3200000003</v>
      </c>
      <c r="Q1255" s="39">
        <v>100</v>
      </c>
      <c r="R1255" s="39">
        <f t="shared" si="210"/>
        <v>11086524</v>
      </c>
      <c r="S1255" s="42">
        <f t="shared" si="211"/>
        <v>0</v>
      </c>
    </row>
    <row r="1256" spans="1:19">
      <c r="A1256" s="99">
        <v>2025</v>
      </c>
      <c r="B1256" s="100">
        <v>5</v>
      </c>
      <c r="C1256" s="101">
        <v>45806</v>
      </c>
      <c r="D1256" s="101" t="str">
        <f t="shared" si="209"/>
        <v>SM000002089&lt;Объект не найден&gt; (12090:95b918c04d74957511eeb48624412fc6)</v>
      </c>
      <c r="E1256" s="99" t="s">
        <v>1147</v>
      </c>
      <c r="F1256" s="102" t="s">
        <v>1140</v>
      </c>
      <c r="G1256" s="102" t="s">
        <v>1148</v>
      </c>
      <c r="H1256" s="99" t="s">
        <v>1138</v>
      </c>
      <c r="I1256" s="102" t="s">
        <v>1149</v>
      </c>
      <c r="J1256" s="102" t="s">
        <v>21</v>
      </c>
      <c r="K1256" s="103">
        <v>120</v>
      </c>
      <c r="L1256" s="104">
        <v>36955.08</v>
      </c>
      <c r="M1256" s="104">
        <v>4434609.5999999996</v>
      </c>
      <c r="N1256" s="39">
        <f t="shared" si="212"/>
        <v>1800000</v>
      </c>
      <c r="O1256" s="107">
        <f>+M1256*$O$1</f>
        <v>798229.72799999989</v>
      </c>
      <c r="P1256" s="108">
        <f>+N1256+O1256</f>
        <v>2598229.7280000001</v>
      </c>
      <c r="Q1256" s="39">
        <v>100</v>
      </c>
      <c r="R1256" s="39">
        <f t="shared" si="210"/>
        <v>4434609.5999999996</v>
      </c>
      <c r="S1256" s="42">
        <f t="shared" si="211"/>
        <v>0</v>
      </c>
    </row>
    <row r="1257" spans="1:19">
      <c r="A1257" s="99">
        <v>2025</v>
      </c>
      <c r="B1257" s="100">
        <v>5</v>
      </c>
      <c r="C1257" s="101">
        <v>45806</v>
      </c>
      <c r="D1257" s="101" t="str">
        <f t="shared" si="209"/>
        <v>SM000002105Наманган_Розия опа</v>
      </c>
      <c r="E1257" s="99" t="s">
        <v>1150</v>
      </c>
      <c r="F1257" s="102" t="s">
        <v>1144</v>
      </c>
      <c r="G1257" s="102" t="s">
        <v>1145</v>
      </c>
      <c r="H1257" s="99" t="s">
        <v>1138</v>
      </c>
      <c r="I1257" s="102" t="s">
        <v>1151</v>
      </c>
      <c r="J1257" s="102" t="s">
        <v>21</v>
      </c>
      <c r="K1257" s="103">
        <v>20</v>
      </c>
      <c r="L1257" s="104">
        <v>36955.08</v>
      </c>
      <c r="M1257" s="104">
        <v>739101.6</v>
      </c>
      <c r="N1257" s="39">
        <f t="shared" si="212"/>
        <v>300000</v>
      </c>
      <c r="O1257" s="107">
        <f>+M1257*$O$1</f>
        <v>133038.288</v>
      </c>
      <c r="P1257" s="108">
        <f>+N1257+O1257</f>
        <v>433038.288</v>
      </c>
      <c r="Q1257" s="39">
        <v>100</v>
      </c>
      <c r="R1257" s="39">
        <f t="shared" si="210"/>
        <v>739101.6</v>
      </c>
      <c r="S1257" s="42">
        <f t="shared" si="211"/>
        <v>0</v>
      </c>
    </row>
    <row r="1258" spans="1:19">
      <c r="A1258" s="99">
        <v>2025</v>
      </c>
      <c r="B1258" s="100">
        <v>6</v>
      </c>
      <c r="C1258" s="101">
        <v>45811</v>
      </c>
      <c r="D1258" s="101" t="str">
        <f t="shared" si="209"/>
        <v>SM000002168Наманган_Розия опа</v>
      </c>
      <c r="E1258" s="99" t="s">
        <v>1152</v>
      </c>
      <c r="F1258" s="102" t="s">
        <v>1144</v>
      </c>
      <c r="G1258" s="102" t="s">
        <v>1145</v>
      </c>
      <c r="H1258" s="99" t="s">
        <v>1138</v>
      </c>
      <c r="I1258" s="102" t="s">
        <v>1153</v>
      </c>
      <c r="J1258" s="102" t="s">
        <v>21</v>
      </c>
      <c r="K1258" s="103">
        <v>5</v>
      </c>
      <c r="L1258" s="104">
        <v>36955.08</v>
      </c>
      <c r="M1258" s="104">
        <v>184775.4</v>
      </c>
      <c r="N1258" s="39">
        <f t="shared" si="212"/>
        <v>75000</v>
      </c>
      <c r="O1258" s="107">
        <f>+M1258*$O$1</f>
        <v>33259.572</v>
      </c>
      <c r="P1258" s="108">
        <f>+N1258+O1258</f>
        <v>108259.572</v>
      </c>
      <c r="Q1258" s="39">
        <v>100</v>
      </c>
      <c r="R1258" s="39">
        <f t="shared" si="210"/>
        <v>184775.4</v>
      </c>
      <c r="S1258" s="42">
        <f t="shared" si="211"/>
        <v>0</v>
      </c>
    </row>
    <row r="1259" spans="1:19">
      <c r="A1259" s="99">
        <v>2025</v>
      </c>
      <c r="B1259" s="100">
        <v>6</v>
      </c>
      <c r="C1259" s="101">
        <v>45833</v>
      </c>
      <c r="D1259" s="101" t="str">
        <f t="shared" si="209"/>
        <v>SM000002503Наманган_Розия опа</v>
      </c>
      <c r="E1259" s="99" t="s">
        <v>1154</v>
      </c>
      <c r="F1259" s="102" t="s">
        <v>1144</v>
      </c>
      <c r="G1259" s="102" t="s">
        <v>1145</v>
      </c>
      <c r="H1259" s="99" t="s">
        <v>1138</v>
      </c>
      <c r="I1259" s="102" t="s">
        <v>1155</v>
      </c>
      <c r="J1259" s="102" t="s">
        <v>21</v>
      </c>
      <c r="K1259" s="103">
        <v>96</v>
      </c>
      <c r="L1259" s="104">
        <v>36955.08</v>
      </c>
      <c r="M1259" s="104">
        <v>3547687.68</v>
      </c>
      <c r="N1259" s="39">
        <f t="shared" si="212"/>
        <v>1440000</v>
      </c>
      <c r="O1259" s="107">
        <f>+M1259*$O$1</f>
        <v>638583.78240000003</v>
      </c>
      <c r="P1259" s="108">
        <f>+N1259+O1259</f>
        <v>2078583.7823999999</v>
      </c>
      <c r="Q1259" s="39">
        <v>100</v>
      </c>
      <c r="R1259" s="39">
        <f t="shared" si="210"/>
        <v>3547687.68</v>
      </c>
      <c r="S1259" s="42">
        <f t="shared" si="211"/>
        <v>0</v>
      </c>
    </row>
    <row r="1260" spans="1:19">
      <c r="A1260" s="99">
        <v>2025</v>
      </c>
      <c r="B1260" s="100">
        <v>8</v>
      </c>
      <c r="C1260" s="101">
        <v>45880</v>
      </c>
      <c r="D1260" s="101" t="str">
        <f t="shared" si="209"/>
        <v>SM000003297Андижон_Жонибек ака</v>
      </c>
      <c r="E1260" s="99" t="s">
        <v>1156</v>
      </c>
      <c r="F1260" s="102" t="s">
        <v>1140</v>
      </c>
      <c r="G1260" s="102" t="s">
        <v>1141</v>
      </c>
      <c r="H1260" s="99" t="s">
        <v>1138</v>
      </c>
      <c r="I1260" s="102" t="s">
        <v>1142</v>
      </c>
      <c r="J1260" s="102" t="s">
        <v>21</v>
      </c>
      <c r="K1260" s="103">
        <v>480</v>
      </c>
      <c r="L1260" s="104">
        <v>36955.08</v>
      </c>
      <c r="M1260" s="104">
        <v>17738438.399999999</v>
      </c>
      <c r="N1260" s="39">
        <f t="shared" si="212"/>
        <v>7200000</v>
      </c>
      <c r="O1260" s="107">
        <f>+M1260*$O$1</f>
        <v>3192918.9119999995</v>
      </c>
      <c r="P1260" s="108">
        <f>+N1260+O1260</f>
        <v>10392918.912</v>
      </c>
      <c r="Q1260" s="39">
        <v>100</v>
      </c>
      <c r="R1260" s="39">
        <f t="shared" si="210"/>
        <v>17738438.399999999</v>
      </c>
      <c r="S1260" s="42">
        <f t="shared" si="211"/>
        <v>0</v>
      </c>
    </row>
    <row r="1261" spans="1:19">
      <c r="A1261" s="99">
        <v>2025</v>
      </c>
      <c r="B1261" s="100">
        <v>8</v>
      </c>
      <c r="C1261" s="101">
        <v>45888</v>
      </c>
      <c r="D1261" s="101" t="str">
        <f t="shared" si="209"/>
        <v>SM000003430&lt;Объект не найден&gt; (12090:95b918c04d74957511eeb48624412fc6)</v>
      </c>
      <c r="E1261" s="99" t="s">
        <v>1157</v>
      </c>
      <c r="F1261" s="102" t="s">
        <v>1140</v>
      </c>
      <c r="G1261" s="102" t="s">
        <v>1148</v>
      </c>
      <c r="H1261" s="99" t="s">
        <v>1138</v>
      </c>
      <c r="I1261" s="102" t="s">
        <v>1149</v>
      </c>
      <c r="J1261" s="102" t="s">
        <v>21</v>
      </c>
      <c r="K1261" s="103">
        <v>120</v>
      </c>
      <c r="L1261" s="104">
        <v>36955.08</v>
      </c>
      <c r="M1261" s="104">
        <v>4434609.5999999996</v>
      </c>
      <c r="N1261" s="39">
        <f t="shared" si="212"/>
        <v>1800000</v>
      </c>
      <c r="O1261" s="107">
        <f>+M1261*$O$1</f>
        <v>798229.72799999989</v>
      </c>
      <c r="P1261" s="108">
        <f>+N1261+O1261</f>
        <v>2598229.7280000001</v>
      </c>
      <c r="Q1261" s="39">
        <v>100</v>
      </c>
      <c r="R1261" s="39">
        <f t="shared" si="210"/>
        <v>4434609.5999999996</v>
      </c>
      <c r="S1261" s="42">
        <f t="shared" si="211"/>
        <v>0</v>
      </c>
    </row>
    <row r="1262" spans="1:19">
      <c r="A1262" s="99">
        <v>2025</v>
      </c>
      <c r="B1262" s="100">
        <v>8</v>
      </c>
      <c r="C1262" s="101">
        <v>45890</v>
      </c>
      <c r="D1262" s="101" t="str">
        <f t="shared" si="209"/>
        <v>SM000003458&lt;Объект не найден&gt; (12090:95b918c04d74957511eeb48624412fc6)</v>
      </c>
      <c r="E1262" s="99" t="s">
        <v>1158</v>
      </c>
      <c r="F1262" s="102" t="s">
        <v>1140</v>
      </c>
      <c r="G1262" s="102" t="s">
        <v>1148</v>
      </c>
      <c r="H1262" s="99" t="s">
        <v>1138</v>
      </c>
      <c r="I1262" s="102" t="s">
        <v>1159</v>
      </c>
      <c r="J1262" s="102" t="s">
        <v>21</v>
      </c>
      <c r="K1262" s="103">
        <v>60</v>
      </c>
      <c r="L1262" s="104">
        <v>36955.08</v>
      </c>
      <c r="M1262" s="104">
        <v>2217304.7999999998</v>
      </c>
      <c r="N1262" s="39">
        <f t="shared" si="212"/>
        <v>900000</v>
      </c>
      <c r="O1262" s="107">
        <f>+M1262*$O$1</f>
        <v>399114.86399999994</v>
      </c>
      <c r="P1262" s="108">
        <f>+N1262+O1262</f>
        <v>1299114.8640000001</v>
      </c>
      <c r="Q1262" s="39">
        <v>100</v>
      </c>
      <c r="R1262" s="39">
        <f t="shared" si="210"/>
        <v>2217304.7999999998</v>
      </c>
      <c r="S1262" s="42">
        <f t="shared" si="211"/>
        <v>0</v>
      </c>
    </row>
    <row r="1263" spans="1:19">
      <c r="A1263" s="99">
        <v>2025</v>
      </c>
      <c r="B1263" s="100">
        <v>9</v>
      </c>
      <c r="C1263" s="101">
        <v>45909</v>
      </c>
      <c r="D1263" s="101" t="str">
        <f t="shared" si="209"/>
        <v>SM000003697Андижон_Жонибек ака</v>
      </c>
      <c r="E1263" s="99" t="s">
        <v>1160</v>
      </c>
      <c r="F1263" s="102" t="s">
        <v>1140</v>
      </c>
      <c r="G1263" s="102" t="s">
        <v>1141</v>
      </c>
      <c r="H1263" s="99" t="s">
        <v>1138</v>
      </c>
      <c r="I1263" s="102" t="s">
        <v>1142</v>
      </c>
      <c r="J1263" s="102" t="s">
        <v>21</v>
      </c>
      <c r="K1263" s="103">
        <v>355</v>
      </c>
      <c r="L1263" s="104">
        <v>36955.08</v>
      </c>
      <c r="M1263" s="104">
        <v>13119053.4</v>
      </c>
      <c r="N1263" s="39">
        <f t="shared" si="212"/>
        <v>5325000</v>
      </c>
      <c r="O1263" s="107">
        <f>+M1263*$O$1</f>
        <v>2361429.6120000002</v>
      </c>
      <c r="P1263" s="108">
        <f>+N1263+O1263</f>
        <v>7686429.6119999997</v>
      </c>
      <c r="Q1263" s="39">
        <v>100</v>
      </c>
      <c r="R1263" s="39">
        <f t="shared" si="210"/>
        <v>13119053.4</v>
      </c>
      <c r="S1263" s="42">
        <f t="shared" si="211"/>
        <v>0</v>
      </c>
    </row>
    <row r="1264" spans="1:19">
      <c r="A1264" s="99">
        <v>2025</v>
      </c>
      <c r="B1264" s="100">
        <v>9</v>
      </c>
      <c r="C1264" s="101">
        <v>45915</v>
      </c>
      <c r="D1264" s="101" t="str">
        <f t="shared" si="209"/>
        <v>SM000003798Андижон_Жонибек ака</v>
      </c>
      <c r="E1264" s="99" t="s">
        <v>1161</v>
      </c>
      <c r="F1264" s="102" t="s">
        <v>1140</v>
      </c>
      <c r="G1264" s="102" t="s">
        <v>1141</v>
      </c>
      <c r="H1264" s="99" t="s">
        <v>1138</v>
      </c>
      <c r="I1264" s="102" t="s">
        <v>1142</v>
      </c>
      <c r="J1264" s="102" t="s">
        <v>21</v>
      </c>
      <c r="K1264" s="103">
        <v>111</v>
      </c>
      <c r="L1264" s="104">
        <v>40621</v>
      </c>
      <c r="M1264" s="104">
        <v>4508931</v>
      </c>
      <c r="N1264" s="39">
        <f t="shared" si="212"/>
        <v>1665000</v>
      </c>
      <c r="O1264" s="107">
        <f>+M1264*$O$1</f>
        <v>811607.58</v>
      </c>
      <c r="P1264" s="108">
        <f>+N1264+O1264</f>
        <v>2476607.58</v>
      </c>
      <c r="Q1264" s="39">
        <v>100</v>
      </c>
      <c r="R1264" s="39">
        <f t="shared" si="210"/>
        <v>4508931</v>
      </c>
      <c r="S1264" s="42">
        <f t="shared" si="211"/>
        <v>0</v>
      </c>
    </row>
    <row r="1265" spans="1:19">
      <c r="A1265" s="99">
        <v>2025</v>
      </c>
      <c r="B1265" s="100">
        <v>10</v>
      </c>
      <c r="C1265" s="101">
        <v>45937</v>
      </c>
      <c r="D1265" s="101" t="str">
        <f t="shared" si="209"/>
        <v>SM000004125Андижон_Жонибек ака</v>
      </c>
      <c r="E1265" s="99" t="s">
        <v>1162</v>
      </c>
      <c r="F1265" s="102" t="s">
        <v>1140</v>
      </c>
      <c r="G1265" s="102" t="s">
        <v>1141</v>
      </c>
      <c r="H1265" s="99" t="s">
        <v>1138</v>
      </c>
      <c r="I1265" s="102" t="s">
        <v>1149</v>
      </c>
      <c r="J1265" s="102" t="s">
        <v>21</v>
      </c>
      <c r="K1265" s="103">
        <v>200</v>
      </c>
      <c r="L1265" s="104">
        <v>40621</v>
      </c>
      <c r="M1265" s="104">
        <v>8124200</v>
      </c>
      <c r="N1265" s="39">
        <f t="shared" si="212"/>
        <v>3000000</v>
      </c>
      <c r="O1265" s="107">
        <f>+M1265*$O$1</f>
        <v>1462356</v>
      </c>
      <c r="P1265" s="108">
        <f>+N1265+O1265</f>
        <v>4462356</v>
      </c>
      <c r="Q1265" s="39">
        <v>100</v>
      </c>
      <c r="R1265" s="39">
        <f t="shared" si="210"/>
        <v>8124200</v>
      </c>
      <c r="S1265" s="42">
        <f t="shared" si="211"/>
        <v>0</v>
      </c>
    </row>
    <row r="1266" spans="1:19">
      <c r="A1266" s="99">
        <v>2025</v>
      </c>
      <c r="B1266" s="100">
        <v>10</v>
      </c>
      <c r="C1266" s="101">
        <v>45943</v>
      </c>
      <c r="D1266" s="101" t="str">
        <f t="shared" si="209"/>
        <v>SM000004221Андижон_Жонибек ака</v>
      </c>
      <c r="E1266" s="99" t="s">
        <v>1163</v>
      </c>
      <c r="F1266" s="102" t="s">
        <v>1140</v>
      </c>
      <c r="G1266" s="102" t="s">
        <v>1141</v>
      </c>
      <c r="H1266" s="99" t="s">
        <v>1138</v>
      </c>
      <c r="I1266" s="102" t="s">
        <v>1142</v>
      </c>
      <c r="J1266" s="102" t="s">
        <v>21</v>
      </c>
      <c r="K1266" s="103">
        <v>360</v>
      </c>
      <c r="L1266" s="104">
        <v>40621</v>
      </c>
      <c r="M1266" s="104">
        <v>14623560</v>
      </c>
      <c r="N1266" s="39">
        <f t="shared" si="212"/>
        <v>5400000</v>
      </c>
      <c r="O1266" s="107">
        <f>+M1266*$O$1</f>
        <v>2632240.7999999998</v>
      </c>
      <c r="P1266" s="108">
        <f>+N1266+O1266</f>
        <v>8032240.7999999998</v>
      </c>
      <c r="Q1266" s="39">
        <v>100</v>
      </c>
      <c r="R1266" s="39">
        <f t="shared" si="210"/>
        <v>14623560</v>
      </c>
      <c r="S1266" s="42">
        <f t="shared" si="211"/>
        <v>0</v>
      </c>
    </row>
    <row r="1267" spans="1:19">
      <c r="A1267" s="99">
        <v>2025</v>
      </c>
      <c r="B1267" s="100">
        <v>10</v>
      </c>
      <c r="C1267" s="101">
        <v>45952</v>
      </c>
      <c r="D1267" s="101" t="str">
        <f t="shared" si="209"/>
        <v>SM000004372Наманган_Зулайхо опа</v>
      </c>
      <c r="E1267" s="99" t="s">
        <v>1164</v>
      </c>
      <c r="F1267" s="102" t="s">
        <v>1165</v>
      </c>
      <c r="G1267" s="102" t="s">
        <v>1166</v>
      </c>
      <c r="H1267" s="99" t="s">
        <v>1138</v>
      </c>
      <c r="I1267" s="102" t="s">
        <v>1167</v>
      </c>
      <c r="J1267" s="102" t="s">
        <v>21</v>
      </c>
      <c r="K1267" s="103">
        <v>100</v>
      </c>
      <c r="L1267" s="104">
        <v>40621</v>
      </c>
      <c r="M1267" s="104">
        <v>4062100</v>
      </c>
      <c r="N1267" s="39">
        <f t="shared" si="212"/>
        <v>1500000</v>
      </c>
      <c r="O1267" s="107">
        <f>+M1267*$O$1</f>
        <v>731178</v>
      </c>
      <c r="P1267" s="108">
        <f>+N1267+O1267</f>
        <v>2231178</v>
      </c>
      <c r="Q1267" s="39">
        <v>100</v>
      </c>
      <c r="R1267" s="39">
        <f t="shared" si="210"/>
        <v>4062100</v>
      </c>
      <c r="S1267" s="42">
        <f t="shared" si="211"/>
        <v>0</v>
      </c>
    </row>
    <row r="1268" spans="1:19">
      <c r="A1268" s="99">
        <v>2025</v>
      </c>
      <c r="B1268" s="100">
        <v>11</v>
      </c>
      <c r="C1268" s="101">
        <v>45964</v>
      </c>
      <c r="D1268" s="101" t="str">
        <f t="shared" si="209"/>
        <v>SM000004579Наманган_Зулайхо опа</v>
      </c>
      <c r="E1268" s="99" t="s">
        <v>1168</v>
      </c>
      <c r="F1268" s="102" t="s">
        <v>1165</v>
      </c>
      <c r="G1268" s="102" t="s">
        <v>1166</v>
      </c>
      <c r="H1268" s="99" t="s">
        <v>1138</v>
      </c>
      <c r="I1268" s="102" t="s">
        <v>1167</v>
      </c>
      <c r="J1268" s="102" t="s">
        <v>21</v>
      </c>
      <c r="K1268" s="103">
        <v>200</v>
      </c>
      <c r="L1268" s="104">
        <v>40621</v>
      </c>
      <c r="M1268" s="104">
        <v>8124200</v>
      </c>
      <c r="N1268" s="39">
        <f t="shared" si="212"/>
        <v>3000000</v>
      </c>
      <c r="O1268" s="107">
        <f>+M1268*$O$1</f>
        <v>1462356</v>
      </c>
      <c r="P1268" s="108">
        <f>+N1268+O1268</f>
        <v>4462356</v>
      </c>
      <c r="Q1268" s="39">
        <v>100</v>
      </c>
      <c r="R1268" s="39">
        <f t="shared" si="210"/>
        <v>8124200</v>
      </c>
      <c r="S1268" s="42">
        <f t="shared" si="211"/>
        <v>0</v>
      </c>
    </row>
    <row r="1269" spans="1:19">
      <c r="A1269" s="99">
        <v>2025</v>
      </c>
      <c r="B1269" s="100">
        <v>11</v>
      </c>
      <c r="C1269" s="101">
        <v>45964</v>
      </c>
      <c r="D1269" s="101" t="str">
        <f t="shared" si="209"/>
        <v>SM000004579Наманган_Зулайхо опа</v>
      </c>
      <c r="E1269" s="99" t="s">
        <v>1168</v>
      </c>
      <c r="F1269" s="102" t="s">
        <v>1165</v>
      </c>
      <c r="G1269" s="102" t="s">
        <v>1166</v>
      </c>
      <c r="H1269" s="99" t="s">
        <v>1138</v>
      </c>
      <c r="I1269" s="102" t="s">
        <v>1167</v>
      </c>
      <c r="J1269" s="102" t="s">
        <v>21</v>
      </c>
      <c r="K1269" s="103">
        <v>4</v>
      </c>
      <c r="L1269" s="104">
        <v>36955.08</v>
      </c>
      <c r="M1269" s="104">
        <v>147820.32</v>
      </c>
      <c r="N1269" s="39">
        <f t="shared" si="212"/>
        <v>60000</v>
      </c>
      <c r="O1269" s="107">
        <f>+M1269*$O$1</f>
        <v>26607.657599999999</v>
      </c>
      <c r="P1269" s="108">
        <f>+N1269+O1269</f>
        <v>86607.657600000006</v>
      </c>
      <c r="Q1269" s="39">
        <v>100</v>
      </c>
      <c r="R1269" s="39">
        <f t="shared" si="210"/>
        <v>147820.32</v>
      </c>
      <c r="S1269" s="42">
        <f t="shared" si="211"/>
        <v>0</v>
      </c>
    </row>
    <row r="1270" spans="1:19">
      <c r="A1270" s="99">
        <v>2025</v>
      </c>
      <c r="B1270" s="100">
        <v>11</v>
      </c>
      <c r="C1270" s="101">
        <v>45964</v>
      </c>
      <c r="D1270" s="101" t="str">
        <f t="shared" si="209"/>
        <v>SM000004586Фаргона_Ахроржон Ака</v>
      </c>
      <c r="E1270" s="99" t="s">
        <v>1169</v>
      </c>
      <c r="F1270" s="102" t="s">
        <v>1170</v>
      </c>
      <c r="G1270" s="102" t="s">
        <v>1171</v>
      </c>
      <c r="H1270" s="99" t="s">
        <v>1138</v>
      </c>
      <c r="I1270" s="102" t="s">
        <v>1172</v>
      </c>
      <c r="J1270" s="102" t="s">
        <v>466</v>
      </c>
      <c r="K1270" s="103">
        <v>8</v>
      </c>
      <c r="L1270" s="104">
        <v>120000</v>
      </c>
      <c r="M1270" s="104">
        <v>960000</v>
      </c>
      <c r="N1270" s="39">
        <f t="shared" ref="N1270:N1273" si="213">+K1270*35000</f>
        <v>280000</v>
      </c>
      <c r="O1270" s="107">
        <f>+M1270*$O$1</f>
        <v>172800</v>
      </c>
      <c r="P1270" s="108">
        <f>+N1270+O1270</f>
        <v>452800</v>
      </c>
      <c r="Q1270" s="39">
        <v>100</v>
      </c>
      <c r="R1270" s="39">
        <f t="shared" si="210"/>
        <v>960000</v>
      </c>
      <c r="S1270" s="42">
        <f t="shared" si="211"/>
        <v>0</v>
      </c>
    </row>
    <row r="1271" spans="1:19">
      <c r="A1271" s="99">
        <v>2025</v>
      </c>
      <c r="B1271" s="100">
        <v>11</v>
      </c>
      <c r="C1271" s="101">
        <v>45968</v>
      </c>
      <c r="D1271" s="101" t="str">
        <f t="shared" si="209"/>
        <v>SM000004654Фаргона_Ахроржон Ака</v>
      </c>
      <c r="E1271" s="99" t="s">
        <v>1173</v>
      </c>
      <c r="F1271" s="102" t="s">
        <v>1170</v>
      </c>
      <c r="G1271" s="102" t="s">
        <v>1171</v>
      </c>
      <c r="H1271" s="99" t="s">
        <v>1138</v>
      </c>
      <c r="I1271" s="102" t="s">
        <v>1174</v>
      </c>
      <c r="J1271" s="102" t="s">
        <v>466</v>
      </c>
      <c r="K1271" s="103">
        <v>20</v>
      </c>
      <c r="L1271" s="104">
        <v>120000</v>
      </c>
      <c r="M1271" s="104">
        <v>2400000</v>
      </c>
      <c r="N1271" s="39">
        <f t="shared" si="213"/>
        <v>700000</v>
      </c>
      <c r="O1271" s="107">
        <f>+M1271*$O$1</f>
        <v>432000</v>
      </c>
      <c r="P1271" s="108">
        <f>+N1271+O1271</f>
        <v>1132000</v>
      </c>
      <c r="Q1271" s="39">
        <v>100</v>
      </c>
      <c r="R1271" s="39">
        <f t="shared" si="210"/>
        <v>2400000</v>
      </c>
      <c r="S1271" s="42">
        <f t="shared" si="211"/>
        <v>0</v>
      </c>
    </row>
    <row r="1272" spans="1:19">
      <c r="A1272" s="99">
        <v>2025</v>
      </c>
      <c r="B1272" s="100">
        <v>11</v>
      </c>
      <c r="C1272" s="101">
        <v>45973</v>
      </c>
      <c r="D1272" s="101" t="str">
        <f t="shared" si="209"/>
        <v>SM000004731Фаргона_Ахроржон Ака</v>
      </c>
      <c r="E1272" s="99" t="s">
        <v>1175</v>
      </c>
      <c r="F1272" s="102" t="s">
        <v>1170</v>
      </c>
      <c r="G1272" s="102" t="s">
        <v>1171</v>
      </c>
      <c r="H1272" s="99" t="s">
        <v>1138</v>
      </c>
      <c r="I1272" s="102" t="s">
        <v>1176</v>
      </c>
      <c r="J1272" s="102" t="s">
        <v>466</v>
      </c>
      <c r="K1272" s="103">
        <v>2</v>
      </c>
      <c r="L1272" s="104">
        <v>120000</v>
      </c>
      <c r="M1272" s="104">
        <v>240000</v>
      </c>
      <c r="N1272" s="39">
        <f t="shared" si="213"/>
        <v>70000</v>
      </c>
      <c r="O1272" s="107">
        <f>+M1272*$O$1</f>
        <v>43200</v>
      </c>
      <c r="P1272" s="108">
        <f>+N1272+O1272</f>
        <v>113200</v>
      </c>
      <c r="Q1272" s="39">
        <v>100</v>
      </c>
      <c r="R1272" s="39">
        <f t="shared" si="210"/>
        <v>240000</v>
      </c>
      <c r="S1272" s="42">
        <f t="shared" si="211"/>
        <v>0</v>
      </c>
    </row>
    <row r="1273" spans="1:19">
      <c r="A1273" s="99">
        <v>2025</v>
      </c>
      <c r="B1273" s="100">
        <v>11</v>
      </c>
      <c r="C1273" s="101">
        <v>45974</v>
      </c>
      <c r="D1273" s="101" t="str">
        <f t="shared" si="209"/>
        <v>SM000004769Фаргона_Ахроржон Ака</v>
      </c>
      <c r="E1273" s="99" t="s">
        <v>1177</v>
      </c>
      <c r="F1273" s="102" t="s">
        <v>1170</v>
      </c>
      <c r="G1273" s="102" t="s">
        <v>1171</v>
      </c>
      <c r="H1273" s="99" t="s">
        <v>1138</v>
      </c>
      <c r="I1273" s="102" t="s">
        <v>1178</v>
      </c>
      <c r="J1273" s="102" t="s">
        <v>466</v>
      </c>
      <c r="K1273" s="103">
        <v>10</v>
      </c>
      <c r="L1273" s="104">
        <v>120000</v>
      </c>
      <c r="M1273" s="104">
        <v>1200000</v>
      </c>
      <c r="N1273" s="39">
        <f t="shared" si="213"/>
        <v>350000</v>
      </c>
      <c r="O1273" s="107">
        <f>+M1273*$O$1</f>
        <v>216000</v>
      </c>
      <c r="P1273" s="108">
        <f>+N1273+O1273</f>
        <v>566000</v>
      </c>
      <c r="Q1273" s="39">
        <v>100</v>
      </c>
      <c r="R1273" s="39">
        <f t="shared" si="210"/>
        <v>1200000</v>
      </c>
      <c r="S1273" s="42">
        <f t="shared" si="211"/>
        <v>0</v>
      </c>
    </row>
    <row r="1274" spans="1:19">
      <c r="A1274" s="99">
        <v>2025</v>
      </c>
      <c r="B1274" s="100">
        <v>11</v>
      </c>
      <c r="C1274" s="101">
        <v>45975</v>
      </c>
      <c r="D1274" s="101" t="str">
        <f t="shared" si="209"/>
        <v>SM000004786Наманган_Зулайхо опа</v>
      </c>
      <c r="E1274" s="99" t="s">
        <v>1179</v>
      </c>
      <c r="F1274" s="102" t="s">
        <v>1165</v>
      </c>
      <c r="G1274" s="102" t="s">
        <v>1166</v>
      </c>
      <c r="H1274" s="99" t="s">
        <v>1138</v>
      </c>
      <c r="I1274" s="102" t="s">
        <v>1180</v>
      </c>
      <c r="J1274" s="102" t="s">
        <v>21</v>
      </c>
      <c r="K1274" s="103">
        <v>48</v>
      </c>
      <c r="L1274" s="104">
        <v>40621</v>
      </c>
      <c r="M1274" s="104">
        <v>1949808</v>
      </c>
      <c r="N1274" s="39">
        <f t="shared" ref="N1274:N1275" si="214">+K1274*15000</f>
        <v>720000</v>
      </c>
      <c r="O1274" s="107">
        <f>+M1274*$O$1</f>
        <v>350965.44</v>
      </c>
      <c r="P1274" s="108">
        <f>+N1274+O1274</f>
        <v>1070965.44</v>
      </c>
      <c r="Q1274" s="39">
        <v>100</v>
      </c>
      <c r="R1274" s="39">
        <f t="shared" si="210"/>
        <v>1949808</v>
      </c>
      <c r="S1274" s="42">
        <f t="shared" si="211"/>
        <v>0</v>
      </c>
    </row>
    <row r="1275" spans="1:19">
      <c r="A1275" s="99">
        <v>2025</v>
      </c>
      <c r="B1275" s="100">
        <v>11</v>
      </c>
      <c r="C1275" s="101">
        <v>45975</v>
      </c>
      <c r="D1275" s="101" t="str">
        <f t="shared" si="209"/>
        <v>SM000004797Наманган_Зулайхо опа</v>
      </c>
      <c r="E1275" s="99" t="s">
        <v>1181</v>
      </c>
      <c r="F1275" s="102" t="s">
        <v>1182</v>
      </c>
      <c r="G1275" s="102" t="s">
        <v>1166</v>
      </c>
      <c r="H1275" s="99" t="s">
        <v>1138</v>
      </c>
      <c r="I1275" s="102" t="s">
        <v>1183</v>
      </c>
      <c r="J1275" s="102" t="s">
        <v>21</v>
      </c>
      <c r="K1275" s="103">
        <v>20</v>
      </c>
      <c r="L1275" s="104">
        <v>40621</v>
      </c>
      <c r="M1275" s="104">
        <v>812420</v>
      </c>
      <c r="N1275" s="39">
        <f t="shared" si="214"/>
        <v>300000</v>
      </c>
      <c r="O1275" s="107">
        <f>+M1275*$O$1</f>
        <v>146235.6</v>
      </c>
      <c r="P1275" s="108">
        <f>+N1275+O1275</f>
        <v>446235.6</v>
      </c>
      <c r="Q1275" s="39">
        <v>100</v>
      </c>
      <c r="R1275" s="39">
        <f t="shared" si="210"/>
        <v>812420</v>
      </c>
      <c r="S1275" s="42">
        <f t="shared" si="211"/>
        <v>0</v>
      </c>
    </row>
    <row r="1276" spans="1:19">
      <c r="A1276" s="99">
        <v>2025</v>
      </c>
      <c r="B1276" s="100">
        <v>11</v>
      </c>
      <c r="C1276" s="101">
        <v>45978</v>
      </c>
      <c r="D1276" s="101" t="str">
        <f t="shared" si="209"/>
        <v>SM000004818Фаргона_Ахроржон Ака</v>
      </c>
      <c r="E1276" s="99" t="s">
        <v>1184</v>
      </c>
      <c r="F1276" s="102" t="s">
        <v>1170</v>
      </c>
      <c r="G1276" s="102" t="s">
        <v>1171</v>
      </c>
      <c r="H1276" s="99" t="s">
        <v>1138</v>
      </c>
      <c r="I1276" s="102" t="s">
        <v>1185</v>
      </c>
      <c r="J1276" s="102" t="s">
        <v>466</v>
      </c>
      <c r="K1276" s="103">
        <v>15</v>
      </c>
      <c r="L1276" s="104">
        <v>120000</v>
      </c>
      <c r="M1276" s="104">
        <v>1800000</v>
      </c>
      <c r="N1276" s="39">
        <f t="shared" ref="N1276:N1278" si="215">+K1276*35000</f>
        <v>525000</v>
      </c>
      <c r="O1276" s="107">
        <f>+M1276*$O$1</f>
        <v>324000</v>
      </c>
      <c r="P1276" s="108">
        <f>+N1276+O1276</f>
        <v>849000</v>
      </c>
      <c r="Q1276" s="39">
        <v>100</v>
      </c>
      <c r="R1276" s="39">
        <f t="shared" si="210"/>
        <v>1800000</v>
      </c>
      <c r="S1276" s="42">
        <f t="shared" si="211"/>
        <v>0</v>
      </c>
    </row>
    <row r="1277" spans="1:19">
      <c r="A1277" s="99">
        <v>2025</v>
      </c>
      <c r="B1277" s="100">
        <v>11</v>
      </c>
      <c r="C1277" s="101">
        <v>45978</v>
      </c>
      <c r="D1277" s="101" t="str">
        <f t="shared" si="209"/>
        <v>SM000004822Фаргона_Ахроржон Ака</v>
      </c>
      <c r="E1277" s="99" t="s">
        <v>1186</v>
      </c>
      <c r="F1277" s="102" t="s">
        <v>1170</v>
      </c>
      <c r="G1277" s="102" t="s">
        <v>1171</v>
      </c>
      <c r="H1277" s="99" t="s">
        <v>1138</v>
      </c>
      <c r="I1277" s="102" t="s">
        <v>1187</v>
      </c>
      <c r="J1277" s="102" t="s">
        <v>466</v>
      </c>
      <c r="K1277" s="103">
        <v>25</v>
      </c>
      <c r="L1277" s="104">
        <v>120000</v>
      </c>
      <c r="M1277" s="104">
        <v>3000000</v>
      </c>
      <c r="N1277" s="39">
        <f t="shared" si="215"/>
        <v>875000</v>
      </c>
      <c r="O1277" s="107">
        <f>+M1277*$O$1</f>
        <v>540000</v>
      </c>
      <c r="P1277" s="108">
        <f>+N1277+O1277</f>
        <v>1415000</v>
      </c>
      <c r="Q1277" s="39">
        <v>100</v>
      </c>
      <c r="R1277" s="39">
        <f t="shared" si="210"/>
        <v>3000000</v>
      </c>
      <c r="S1277" s="42">
        <f t="shared" si="211"/>
        <v>0</v>
      </c>
    </row>
    <row r="1278" spans="1:19">
      <c r="A1278" s="99">
        <v>2025</v>
      </c>
      <c r="B1278" s="100">
        <v>11</v>
      </c>
      <c r="C1278" s="101">
        <v>45978</v>
      </c>
      <c r="D1278" s="101" t="str">
        <f t="shared" si="209"/>
        <v>SM000004827Фаргона_Ахроржон Ака</v>
      </c>
      <c r="E1278" s="99" t="s">
        <v>1188</v>
      </c>
      <c r="F1278" s="102" t="s">
        <v>1170</v>
      </c>
      <c r="G1278" s="102" t="s">
        <v>1171</v>
      </c>
      <c r="H1278" s="99" t="s">
        <v>1138</v>
      </c>
      <c r="I1278" s="102" t="s">
        <v>1189</v>
      </c>
      <c r="J1278" s="102" t="s">
        <v>466</v>
      </c>
      <c r="K1278" s="103">
        <v>50</v>
      </c>
      <c r="L1278" s="104">
        <v>120000</v>
      </c>
      <c r="M1278" s="104">
        <v>6000000</v>
      </c>
      <c r="N1278" s="39">
        <f t="shared" si="215"/>
        <v>1750000</v>
      </c>
      <c r="O1278" s="107">
        <f>+M1278*$O$1</f>
        <v>1080000</v>
      </c>
      <c r="P1278" s="108">
        <f>+N1278+O1278</f>
        <v>2830000</v>
      </c>
      <c r="Q1278" s="39">
        <v>100</v>
      </c>
      <c r="R1278" s="39">
        <f t="shared" si="210"/>
        <v>6000000</v>
      </c>
      <c r="S1278" s="42">
        <f t="shared" si="211"/>
        <v>0</v>
      </c>
    </row>
    <row r="1279" spans="1:19">
      <c r="A1279" s="99">
        <v>2025</v>
      </c>
      <c r="B1279" s="100">
        <v>11</v>
      </c>
      <c r="C1279" s="101">
        <v>45985</v>
      </c>
      <c r="D1279" s="101" t="str">
        <f t="shared" si="209"/>
        <v>SM000004942Наманган_Зулайхо опа</v>
      </c>
      <c r="E1279" s="99" t="s">
        <v>1191</v>
      </c>
      <c r="F1279" s="102" t="s">
        <v>1165</v>
      </c>
      <c r="G1279" s="102" t="s">
        <v>1166</v>
      </c>
      <c r="H1279" s="99" t="s">
        <v>1138</v>
      </c>
      <c r="I1279" s="102" t="s">
        <v>1192</v>
      </c>
      <c r="J1279" s="102" t="s">
        <v>21</v>
      </c>
      <c r="K1279" s="103">
        <v>50</v>
      </c>
      <c r="L1279" s="104">
        <v>40621</v>
      </c>
      <c r="M1279" s="104">
        <v>2031050</v>
      </c>
      <c r="N1279" s="39">
        <f t="shared" ref="N1279:N1280" si="216">+K1279*15000</f>
        <v>750000</v>
      </c>
      <c r="O1279" s="107">
        <f>+M1279*$O$1</f>
        <v>365589</v>
      </c>
      <c r="P1279" s="108">
        <f>+N1279+O1279</f>
        <v>1115589</v>
      </c>
      <c r="Q1279" s="39">
        <v>100</v>
      </c>
      <c r="R1279" s="39">
        <f t="shared" si="210"/>
        <v>2031050</v>
      </c>
      <c r="S1279" s="42">
        <f t="shared" si="211"/>
        <v>0</v>
      </c>
    </row>
    <row r="1280" spans="1:19">
      <c r="A1280" s="99">
        <v>2025</v>
      </c>
      <c r="B1280" s="100">
        <v>11</v>
      </c>
      <c r="C1280" s="101">
        <v>45986</v>
      </c>
      <c r="D1280" s="101" t="str">
        <f t="shared" si="209"/>
        <v>SM000004969Наманган_Зулайхо опа</v>
      </c>
      <c r="E1280" s="99" t="s">
        <v>1193</v>
      </c>
      <c r="F1280" s="102" t="s">
        <v>1182</v>
      </c>
      <c r="G1280" s="102" t="s">
        <v>1166</v>
      </c>
      <c r="H1280" s="99" t="s">
        <v>1138</v>
      </c>
      <c r="I1280" s="102" t="s">
        <v>1194</v>
      </c>
      <c r="J1280" s="102" t="s">
        <v>21</v>
      </c>
      <c r="K1280" s="103">
        <v>15</v>
      </c>
      <c r="L1280" s="104">
        <v>40621</v>
      </c>
      <c r="M1280" s="104">
        <v>609315</v>
      </c>
      <c r="N1280" s="39">
        <f t="shared" si="216"/>
        <v>225000</v>
      </c>
      <c r="O1280" s="107">
        <f>+M1280*$O$1</f>
        <v>109676.7</v>
      </c>
      <c r="P1280" s="108">
        <f>+N1280+O1280</f>
        <v>334676.7</v>
      </c>
      <c r="Q1280" s="39">
        <v>100</v>
      </c>
      <c r="R1280" s="39">
        <f t="shared" si="210"/>
        <v>609315</v>
      </c>
      <c r="S1280" s="42">
        <f t="shared" si="211"/>
        <v>0</v>
      </c>
    </row>
    <row r="1281" spans="1:19">
      <c r="A1281" s="99">
        <v>2025</v>
      </c>
      <c r="B1281" s="100">
        <v>11</v>
      </c>
      <c r="C1281" s="101">
        <v>45986</v>
      </c>
      <c r="D1281" s="101" t="str">
        <f t="shared" si="209"/>
        <v>SM000004984Фаргона_Ахроржон Ака</v>
      </c>
      <c r="E1281" s="99" t="s">
        <v>1195</v>
      </c>
      <c r="F1281" s="102" t="s">
        <v>1170</v>
      </c>
      <c r="G1281" s="102" t="s">
        <v>1171</v>
      </c>
      <c r="H1281" s="99" t="s">
        <v>1138</v>
      </c>
      <c r="I1281" s="102" t="s">
        <v>1196</v>
      </c>
      <c r="J1281" s="102" t="s">
        <v>466</v>
      </c>
      <c r="K1281" s="103">
        <v>10</v>
      </c>
      <c r="L1281" s="104">
        <v>120000</v>
      </c>
      <c r="M1281" s="104">
        <v>1200000</v>
      </c>
      <c r="N1281" s="39">
        <f>+K1281*35000</f>
        <v>350000</v>
      </c>
      <c r="O1281" s="107">
        <f>+M1281*$O$1</f>
        <v>216000</v>
      </c>
      <c r="P1281" s="108">
        <f>+N1281+O1281</f>
        <v>566000</v>
      </c>
      <c r="Q1281" s="39">
        <v>100</v>
      </c>
      <c r="R1281" s="39">
        <f t="shared" si="210"/>
        <v>1200000</v>
      </c>
      <c r="S1281" s="42">
        <f t="shared" si="211"/>
        <v>0</v>
      </c>
    </row>
    <row r="1282" spans="1:19">
      <c r="A1282" s="99">
        <v>2025</v>
      </c>
      <c r="B1282" s="100">
        <v>11</v>
      </c>
      <c r="C1282" s="101">
        <v>45987</v>
      </c>
      <c r="D1282" s="101" t="str">
        <f t="shared" si="209"/>
        <v>SM000005003Андижон_Жонибек ака</v>
      </c>
      <c r="E1282" s="99" t="s">
        <v>1197</v>
      </c>
      <c r="F1282" s="102" t="s">
        <v>1140</v>
      </c>
      <c r="G1282" s="102" t="s">
        <v>1141</v>
      </c>
      <c r="H1282" s="99" t="s">
        <v>1138</v>
      </c>
      <c r="I1282" s="102" t="s">
        <v>1198</v>
      </c>
      <c r="J1282" s="102" t="s">
        <v>21</v>
      </c>
      <c r="K1282" s="103">
        <v>100</v>
      </c>
      <c r="L1282" s="104">
        <v>40621</v>
      </c>
      <c r="M1282" s="104">
        <v>4062100</v>
      </c>
      <c r="N1282" s="39">
        <f t="shared" ref="N1282:N1283" si="217">+K1282*15000</f>
        <v>1500000</v>
      </c>
      <c r="O1282" s="107">
        <f>+M1282*$O$1</f>
        <v>731178</v>
      </c>
      <c r="P1282" s="108">
        <f>+N1282+O1282</f>
        <v>2231178</v>
      </c>
      <c r="Q1282" s="39">
        <v>100</v>
      </c>
      <c r="R1282" s="39">
        <f t="shared" si="210"/>
        <v>4062100</v>
      </c>
      <c r="S1282" s="42">
        <f t="shared" si="211"/>
        <v>0</v>
      </c>
    </row>
    <row r="1283" spans="1:19">
      <c r="A1283" s="99">
        <v>2025</v>
      </c>
      <c r="B1283" s="100">
        <v>11</v>
      </c>
      <c r="C1283" s="101">
        <v>45988</v>
      </c>
      <c r="D1283" s="101" t="str">
        <f t="shared" si="209"/>
        <v>SM000005024Андижон_Жонибек ака</v>
      </c>
      <c r="E1283" s="99" t="s">
        <v>1199</v>
      </c>
      <c r="F1283" s="102" t="s">
        <v>1140</v>
      </c>
      <c r="G1283" s="102" t="s">
        <v>1141</v>
      </c>
      <c r="H1283" s="99" t="s">
        <v>1138</v>
      </c>
      <c r="I1283" s="102" t="s">
        <v>1200</v>
      </c>
      <c r="J1283" s="102" t="s">
        <v>21</v>
      </c>
      <c r="K1283" s="103">
        <v>30</v>
      </c>
      <c r="L1283" s="104">
        <v>40621</v>
      </c>
      <c r="M1283" s="104">
        <v>1218630</v>
      </c>
      <c r="N1283" s="39">
        <f t="shared" si="217"/>
        <v>450000</v>
      </c>
      <c r="O1283" s="107">
        <f>+M1283*$O$1</f>
        <v>219353.4</v>
      </c>
      <c r="P1283" s="108">
        <f>+N1283+O1283</f>
        <v>669353.4</v>
      </c>
      <c r="Q1283" s="39">
        <v>100</v>
      </c>
      <c r="R1283" s="39">
        <f t="shared" si="210"/>
        <v>1218630</v>
      </c>
      <c r="S1283" s="42">
        <f t="shared" si="211"/>
        <v>0</v>
      </c>
    </row>
    <row r="1284" spans="1:19">
      <c r="A1284" s="99">
        <v>2025</v>
      </c>
      <c r="B1284" s="100">
        <v>11</v>
      </c>
      <c r="C1284" s="101">
        <v>45989</v>
      </c>
      <c r="D1284" s="101" t="str">
        <f t="shared" ref="D1284:D1347" si="218">+E1284&amp;G1284</f>
        <v>SM000005053Фаргона_Ахроржон Ака</v>
      </c>
      <c r="E1284" s="99" t="s">
        <v>1201</v>
      </c>
      <c r="F1284" s="102" t="s">
        <v>1170</v>
      </c>
      <c r="G1284" s="102" t="s">
        <v>1171</v>
      </c>
      <c r="H1284" s="99" t="s">
        <v>1138</v>
      </c>
      <c r="I1284" s="102" t="s">
        <v>1189</v>
      </c>
      <c r="J1284" s="102" t="s">
        <v>466</v>
      </c>
      <c r="K1284" s="103">
        <v>50</v>
      </c>
      <c r="L1284" s="104">
        <v>120000</v>
      </c>
      <c r="M1284" s="104">
        <v>6000000</v>
      </c>
      <c r="N1284" s="39">
        <f t="shared" ref="N1284:N1289" si="219">+K1284*35000</f>
        <v>1750000</v>
      </c>
      <c r="O1284" s="107">
        <f>+M1284*$O$1</f>
        <v>1080000</v>
      </c>
      <c r="P1284" s="108">
        <f>+N1284+O1284</f>
        <v>2830000</v>
      </c>
      <c r="Q1284" s="39">
        <v>100</v>
      </c>
      <c r="R1284" s="39">
        <f t="shared" ref="R1284:R1347" si="220">+M1284*Q1284%</f>
        <v>6000000</v>
      </c>
      <c r="S1284" s="42">
        <f t="shared" ref="S1284:S1347" si="221">M1284-R1284</f>
        <v>0</v>
      </c>
    </row>
    <row r="1285" spans="1:19">
      <c r="A1285" s="99">
        <v>2025</v>
      </c>
      <c r="B1285" s="100">
        <v>12</v>
      </c>
      <c r="C1285" s="101">
        <v>46000</v>
      </c>
      <c r="D1285" s="101" t="str">
        <f t="shared" si="218"/>
        <v>SM000005157Фаргона_Ахроржон Ака</v>
      </c>
      <c r="E1285" s="99" t="s">
        <v>1202</v>
      </c>
      <c r="F1285" s="102" t="s">
        <v>1170</v>
      </c>
      <c r="G1285" s="102" t="s">
        <v>1171</v>
      </c>
      <c r="H1285" s="99" t="s">
        <v>1138</v>
      </c>
      <c r="I1285" s="102" t="s">
        <v>1189</v>
      </c>
      <c r="J1285" s="102" t="s">
        <v>466</v>
      </c>
      <c r="K1285" s="103">
        <v>50</v>
      </c>
      <c r="L1285" s="104">
        <v>120000</v>
      </c>
      <c r="M1285" s="104">
        <v>6000000</v>
      </c>
      <c r="N1285" s="39">
        <f t="shared" si="219"/>
        <v>1750000</v>
      </c>
      <c r="O1285" s="107">
        <f>+M1285*$O$1</f>
        <v>1080000</v>
      </c>
      <c r="P1285" s="108">
        <f>+N1285+O1285</f>
        <v>2830000</v>
      </c>
      <c r="Q1285" s="39">
        <v>100</v>
      </c>
      <c r="R1285" s="39">
        <f t="shared" si="220"/>
        <v>6000000</v>
      </c>
      <c r="S1285" s="42">
        <f t="shared" si="221"/>
        <v>0</v>
      </c>
    </row>
    <row r="1286" spans="1:19">
      <c r="A1286" s="99">
        <v>2025</v>
      </c>
      <c r="B1286" s="100">
        <v>12</v>
      </c>
      <c r="C1286" s="101">
        <v>46001</v>
      </c>
      <c r="D1286" s="101" t="str">
        <f t="shared" si="218"/>
        <v>SM000005168Фаргона_Ахроржон Ака</v>
      </c>
      <c r="E1286" s="99" t="s">
        <v>1203</v>
      </c>
      <c r="F1286" s="102" t="s">
        <v>1170</v>
      </c>
      <c r="G1286" s="102" t="s">
        <v>1171</v>
      </c>
      <c r="H1286" s="99" t="s">
        <v>1138</v>
      </c>
      <c r="I1286" s="102" t="s">
        <v>1204</v>
      </c>
      <c r="J1286" s="102" t="s">
        <v>466</v>
      </c>
      <c r="K1286" s="103">
        <v>5</v>
      </c>
      <c r="L1286" s="104">
        <v>120000</v>
      </c>
      <c r="M1286" s="104">
        <v>600000</v>
      </c>
      <c r="N1286" s="39">
        <f t="shared" si="219"/>
        <v>175000</v>
      </c>
      <c r="O1286" s="107">
        <f>+M1286*$O$1</f>
        <v>108000</v>
      </c>
      <c r="P1286" s="108">
        <f>+N1286+O1286</f>
        <v>283000</v>
      </c>
      <c r="Q1286" s="39">
        <v>100</v>
      </c>
      <c r="R1286" s="39">
        <f t="shared" si="220"/>
        <v>600000</v>
      </c>
      <c r="S1286" s="42">
        <f t="shared" si="221"/>
        <v>0</v>
      </c>
    </row>
    <row r="1287" spans="1:19">
      <c r="A1287" s="99">
        <v>2025</v>
      </c>
      <c r="B1287" s="100">
        <v>12</v>
      </c>
      <c r="C1287" s="101">
        <v>46001</v>
      </c>
      <c r="D1287" s="101" t="str">
        <f t="shared" si="218"/>
        <v>SM000005171Фаргона_Ахроржон Ака</v>
      </c>
      <c r="E1287" s="99" t="s">
        <v>1205</v>
      </c>
      <c r="F1287" s="102" t="s">
        <v>1170</v>
      </c>
      <c r="G1287" s="102" t="s">
        <v>1171</v>
      </c>
      <c r="H1287" s="99" t="s">
        <v>1138</v>
      </c>
      <c r="I1287" s="102" t="s">
        <v>1196</v>
      </c>
      <c r="J1287" s="102" t="s">
        <v>466</v>
      </c>
      <c r="K1287" s="103">
        <v>5</v>
      </c>
      <c r="L1287" s="104">
        <v>120000</v>
      </c>
      <c r="M1287" s="104">
        <v>600000</v>
      </c>
      <c r="N1287" s="39">
        <f t="shared" si="219"/>
        <v>175000</v>
      </c>
      <c r="O1287" s="107">
        <f>+M1287*$O$1</f>
        <v>108000</v>
      </c>
      <c r="P1287" s="108">
        <f>+N1287+O1287</f>
        <v>283000</v>
      </c>
      <c r="Q1287" s="39">
        <v>100</v>
      </c>
      <c r="R1287" s="39">
        <f t="shared" si="220"/>
        <v>600000</v>
      </c>
      <c r="S1287" s="42">
        <f t="shared" si="221"/>
        <v>0</v>
      </c>
    </row>
    <row r="1288" spans="1:19">
      <c r="A1288" s="99">
        <v>2025</v>
      </c>
      <c r="B1288" s="100">
        <v>12</v>
      </c>
      <c r="C1288" s="101">
        <v>46002</v>
      </c>
      <c r="D1288" s="101" t="str">
        <f t="shared" si="218"/>
        <v>SM000005194Фаргона_Ахроржон Ака</v>
      </c>
      <c r="E1288" s="99" t="s">
        <v>1206</v>
      </c>
      <c r="F1288" s="102" t="s">
        <v>1170</v>
      </c>
      <c r="G1288" s="102" t="s">
        <v>1171</v>
      </c>
      <c r="H1288" s="99" t="s">
        <v>1138</v>
      </c>
      <c r="I1288" s="102" t="s">
        <v>1174</v>
      </c>
      <c r="J1288" s="102" t="s">
        <v>466</v>
      </c>
      <c r="K1288" s="103">
        <v>20</v>
      </c>
      <c r="L1288" s="104">
        <v>120000</v>
      </c>
      <c r="M1288" s="104">
        <v>2400000</v>
      </c>
      <c r="N1288" s="39">
        <f t="shared" si="219"/>
        <v>700000</v>
      </c>
      <c r="O1288" s="107">
        <f>+M1288*$O$1</f>
        <v>432000</v>
      </c>
      <c r="P1288" s="108">
        <f>+N1288+O1288</f>
        <v>1132000</v>
      </c>
      <c r="Q1288" s="39">
        <v>100</v>
      </c>
      <c r="R1288" s="39">
        <f t="shared" si="220"/>
        <v>2400000</v>
      </c>
      <c r="S1288" s="42">
        <f t="shared" si="221"/>
        <v>0</v>
      </c>
    </row>
    <row r="1289" spans="1:19">
      <c r="A1289" s="99">
        <v>2025</v>
      </c>
      <c r="B1289" s="100">
        <v>12</v>
      </c>
      <c r="C1289" s="101">
        <v>46003</v>
      </c>
      <c r="D1289" s="101" t="str">
        <f t="shared" si="218"/>
        <v>SM000005215Фаргона_Ахроржон Ака</v>
      </c>
      <c r="E1289" s="99" t="s">
        <v>1207</v>
      </c>
      <c r="F1289" s="102" t="s">
        <v>1208</v>
      </c>
      <c r="G1289" s="102" t="s">
        <v>1171</v>
      </c>
      <c r="H1289" s="99" t="s">
        <v>1138</v>
      </c>
      <c r="I1289" s="102" t="s">
        <v>1209</v>
      </c>
      <c r="J1289" s="102" t="s">
        <v>466</v>
      </c>
      <c r="K1289" s="103">
        <v>20</v>
      </c>
      <c r="L1289" s="104">
        <v>120000</v>
      </c>
      <c r="M1289" s="104">
        <v>2400000</v>
      </c>
      <c r="N1289" s="39">
        <f t="shared" si="219"/>
        <v>700000</v>
      </c>
      <c r="O1289" s="107">
        <f>+M1289*$O$1</f>
        <v>432000</v>
      </c>
      <c r="P1289" s="108">
        <f>+N1289+O1289</f>
        <v>1132000</v>
      </c>
      <c r="Q1289" s="39">
        <v>100</v>
      </c>
      <c r="R1289" s="39">
        <f t="shared" si="220"/>
        <v>2400000</v>
      </c>
      <c r="S1289" s="42">
        <f t="shared" si="221"/>
        <v>0</v>
      </c>
    </row>
    <row r="1290" spans="1:19">
      <c r="A1290" s="99">
        <v>2025</v>
      </c>
      <c r="B1290" s="100">
        <v>12</v>
      </c>
      <c r="C1290" s="101">
        <v>46008</v>
      </c>
      <c r="D1290" s="101" t="str">
        <f t="shared" si="218"/>
        <v>SM000005249Андижон_Жонибек ака</v>
      </c>
      <c r="E1290" s="99" t="s">
        <v>1212</v>
      </c>
      <c r="F1290" s="102" t="s">
        <v>1213</v>
      </c>
      <c r="G1290" s="102" t="s">
        <v>1141</v>
      </c>
      <c r="H1290" s="99" t="s">
        <v>1138</v>
      </c>
      <c r="I1290" s="102" t="s">
        <v>1149</v>
      </c>
      <c r="J1290" s="102" t="s">
        <v>21</v>
      </c>
      <c r="K1290" s="103">
        <v>60</v>
      </c>
      <c r="L1290" s="104">
        <v>40621</v>
      </c>
      <c r="M1290" s="104">
        <v>2437260</v>
      </c>
      <c r="N1290" s="39">
        <f t="shared" ref="N1290:N1292" si="222">+K1290*15000</f>
        <v>900000</v>
      </c>
      <c r="O1290" s="107">
        <f>+M1290*$O$1</f>
        <v>438706.8</v>
      </c>
      <c r="P1290" s="108">
        <f>+N1290+O1290</f>
        <v>1338706.8</v>
      </c>
      <c r="Q1290" s="39">
        <v>100</v>
      </c>
      <c r="R1290" s="39">
        <f t="shared" si="220"/>
        <v>2437260</v>
      </c>
      <c r="S1290" s="42">
        <f t="shared" si="221"/>
        <v>0</v>
      </c>
    </row>
    <row r="1291" spans="1:19">
      <c r="A1291" s="99">
        <v>2025</v>
      </c>
      <c r="B1291" s="100">
        <v>12</v>
      </c>
      <c r="C1291" s="101">
        <v>46016</v>
      </c>
      <c r="D1291" s="101" t="str">
        <f t="shared" si="218"/>
        <v>SM000005316Наманган_Зулайхо опа</v>
      </c>
      <c r="E1291" s="99" t="s">
        <v>1214</v>
      </c>
      <c r="F1291" s="102" t="s">
        <v>1165</v>
      </c>
      <c r="G1291" s="102" t="s">
        <v>1166</v>
      </c>
      <c r="H1291" s="99" t="s">
        <v>1138</v>
      </c>
      <c r="I1291" s="102" t="s">
        <v>1215</v>
      </c>
      <c r="J1291" s="102" t="s">
        <v>21</v>
      </c>
      <c r="K1291" s="103">
        <v>86</v>
      </c>
      <c r="L1291" s="104">
        <v>40621</v>
      </c>
      <c r="M1291" s="104">
        <v>3493406</v>
      </c>
      <c r="N1291" s="39">
        <f t="shared" si="222"/>
        <v>1290000</v>
      </c>
      <c r="O1291" s="107">
        <f>+M1291*$O$1</f>
        <v>628813.07999999996</v>
      </c>
      <c r="P1291" s="108">
        <f>+N1291+O1291</f>
        <v>1918813.08</v>
      </c>
      <c r="Q1291" s="39">
        <v>100</v>
      </c>
      <c r="R1291" s="39">
        <f t="shared" si="220"/>
        <v>3493406</v>
      </c>
      <c r="S1291" s="42">
        <f t="shared" si="221"/>
        <v>0</v>
      </c>
    </row>
    <row r="1292" spans="1:19">
      <c r="A1292" s="99">
        <v>2026</v>
      </c>
      <c r="B1292" s="100">
        <v>1</v>
      </c>
      <c r="C1292" s="101">
        <v>46028</v>
      </c>
      <c r="D1292" s="101" t="str">
        <f t="shared" si="218"/>
        <v>SM000000048Наманган_Зулайхо опа</v>
      </c>
      <c r="E1292" s="99" t="s">
        <v>1216</v>
      </c>
      <c r="F1292" s="102" t="s">
        <v>1182</v>
      </c>
      <c r="G1292" s="102" t="s">
        <v>1166</v>
      </c>
      <c r="H1292" s="99" t="s">
        <v>1138</v>
      </c>
      <c r="I1292" s="102" t="s">
        <v>1217</v>
      </c>
      <c r="J1292" s="102" t="s">
        <v>21</v>
      </c>
      <c r="K1292" s="103">
        <v>50</v>
      </c>
      <c r="L1292" s="104">
        <v>40621</v>
      </c>
      <c r="M1292" s="104">
        <v>2031050</v>
      </c>
      <c r="N1292" s="39">
        <f t="shared" si="222"/>
        <v>750000</v>
      </c>
      <c r="O1292" s="107">
        <f>+M1292*$O$1</f>
        <v>365589</v>
      </c>
      <c r="P1292" s="108">
        <f>+N1292+O1292</f>
        <v>1115589</v>
      </c>
      <c r="Q1292" s="39">
        <v>100</v>
      </c>
      <c r="R1292" s="39">
        <f t="shared" si="220"/>
        <v>2031050</v>
      </c>
      <c r="S1292" s="42">
        <f t="shared" si="221"/>
        <v>0</v>
      </c>
    </row>
    <row r="1293" spans="1:19">
      <c r="A1293" s="99">
        <v>2026</v>
      </c>
      <c r="B1293" s="100">
        <v>1</v>
      </c>
      <c r="C1293" s="101">
        <v>46028</v>
      </c>
      <c r="D1293" s="101" t="str">
        <f t="shared" si="218"/>
        <v>SM000000074Фаргона_Ахроржон Ака</v>
      </c>
      <c r="E1293" s="99" t="s">
        <v>1218</v>
      </c>
      <c r="F1293" s="102" t="s">
        <v>1170</v>
      </c>
      <c r="G1293" s="102" t="s">
        <v>1171</v>
      </c>
      <c r="H1293" s="99" t="s">
        <v>1138</v>
      </c>
      <c r="I1293" s="102" t="s">
        <v>1189</v>
      </c>
      <c r="J1293" s="102" t="s">
        <v>466</v>
      </c>
      <c r="K1293" s="103">
        <v>100</v>
      </c>
      <c r="L1293" s="104">
        <v>120000</v>
      </c>
      <c r="M1293" s="104">
        <v>12000000</v>
      </c>
      <c r="N1293" s="39">
        <f t="shared" ref="N1293:N1294" si="223">+K1293*35000</f>
        <v>3500000</v>
      </c>
      <c r="O1293" s="107">
        <f>+M1293*$O$1</f>
        <v>2160000</v>
      </c>
      <c r="P1293" s="108">
        <f>+N1293+O1293</f>
        <v>5660000</v>
      </c>
      <c r="Q1293" s="39">
        <v>100</v>
      </c>
      <c r="R1293" s="39">
        <f t="shared" si="220"/>
        <v>12000000</v>
      </c>
      <c r="S1293" s="42">
        <f t="shared" si="221"/>
        <v>0</v>
      </c>
    </row>
    <row r="1294" spans="1:19">
      <c r="A1294" s="99">
        <v>2026</v>
      </c>
      <c r="B1294" s="100">
        <v>1</v>
      </c>
      <c r="C1294" s="101">
        <v>46030</v>
      </c>
      <c r="D1294" s="101" t="str">
        <f t="shared" si="218"/>
        <v>SM000000112Фаргона_Ахроржон Ака</v>
      </c>
      <c r="E1294" s="99" t="s">
        <v>1219</v>
      </c>
      <c r="F1294" s="102" t="s">
        <v>1220</v>
      </c>
      <c r="G1294" s="102" t="s">
        <v>1171</v>
      </c>
      <c r="H1294" s="99" t="s">
        <v>1138</v>
      </c>
      <c r="I1294" s="102" t="s">
        <v>1221</v>
      </c>
      <c r="J1294" s="102" t="s">
        <v>466</v>
      </c>
      <c r="K1294" s="103">
        <v>10</v>
      </c>
      <c r="L1294" s="104">
        <v>120000</v>
      </c>
      <c r="M1294" s="104">
        <v>1200000</v>
      </c>
      <c r="N1294" s="39">
        <f t="shared" si="223"/>
        <v>350000</v>
      </c>
      <c r="O1294" s="107">
        <f>+M1294*$O$1</f>
        <v>216000</v>
      </c>
      <c r="P1294" s="108">
        <f>+N1294+O1294</f>
        <v>566000</v>
      </c>
      <c r="Q1294" s="39">
        <v>100</v>
      </c>
      <c r="R1294" s="39">
        <f t="shared" si="220"/>
        <v>1200000</v>
      </c>
      <c r="S1294" s="42">
        <f t="shared" si="221"/>
        <v>0</v>
      </c>
    </row>
    <row r="1295" spans="1:19">
      <c r="A1295" s="99">
        <v>2026</v>
      </c>
      <c r="B1295" s="100">
        <v>1</v>
      </c>
      <c r="C1295" s="101">
        <v>46031</v>
      </c>
      <c r="D1295" s="101" t="str">
        <f t="shared" si="218"/>
        <v>SM000000155Андижон_Жонибек ака</v>
      </c>
      <c r="E1295" s="99" t="s">
        <v>1222</v>
      </c>
      <c r="F1295" s="102" t="s">
        <v>1140</v>
      </c>
      <c r="G1295" s="102" t="s">
        <v>1141</v>
      </c>
      <c r="H1295" s="99" t="s">
        <v>1138</v>
      </c>
      <c r="I1295" s="102" t="s">
        <v>1223</v>
      </c>
      <c r="J1295" s="102" t="s">
        <v>21</v>
      </c>
      <c r="K1295" s="103">
        <v>100</v>
      </c>
      <c r="L1295" s="104">
        <v>40621</v>
      </c>
      <c r="M1295" s="104">
        <v>4062100</v>
      </c>
      <c r="N1295" s="39">
        <f>+K1295*15000</f>
        <v>1500000</v>
      </c>
      <c r="O1295" s="107">
        <f>+M1295*$O$1</f>
        <v>731178</v>
      </c>
      <c r="P1295" s="108">
        <f>+N1295+O1295</f>
        <v>2231178</v>
      </c>
      <c r="Q1295" s="39">
        <v>100</v>
      </c>
      <c r="R1295" s="39">
        <f t="shared" si="220"/>
        <v>4062100</v>
      </c>
      <c r="S1295" s="42">
        <f t="shared" si="221"/>
        <v>0</v>
      </c>
    </row>
    <row r="1296" spans="1:19">
      <c r="A1296" s="99">
        <v>2026</v>
      </c>
      <c r="B1296" s="100">
        <v>1</v>
      </c>
      <c r="C1296" s="101">
        <v>46034</v>
      </c>
      <c r="D1296" s="101" t="str">
        <f t="shared" si="218"/>
        <v>SM000000398Фаргона_Ахроржон Ака</v>
      </c>
      <c r="E1296" s="99" t="s">
        <v>1224</v>
      </c>
      <c r="F1296" s="102" t="s">
        <v>1170</v>
      </c>
      <c r="G1296" s="102" t="s">
        <v>1171</v>
      </c>
      <c r="H1296" s="99" t="s">
        <v>1138</v>
      </c>
      <c r="I1296" s="102" t="s">
        <v>1174</v>
      </c>
      <c r="J1296" s="102" t="s">
        <v>466</v>
      </c>
      <c r="K1296" s="103">
        <v>20</v>
      </c>
      <c r="L1296" s="104">
        <v>120000</v>
      </c>
      <c r="M1296" s="104">
        <v>2400000</v>
      </c>
      <c r="N1296" s="39">
        <f t="shared" ref="N1296:N1300" si="224">+K1296*35000</f>
        <v>700000</v>
      </c>
      <c r="O1296" s="107">
        <f>+M1296*$O$1</f>
        <v>432000</v>
      </c>
      <c r="P1296" s="108">
        <f>+N1296+O1296</f>
        <v>1132000</v>
      </c>
      <c r="Q1296" s="39">
        <v>100</v>
      </c>
      <c r="R1296" s="39">
        <f t="shared" si="220"/>
        <v>2400000</v>
      </c>
      <c r="S1296" s="42">
        <f t="shared" si="221"/>
        <v>0</v>
      </c>
    </row>
    <row r="1297" spans="1:19">
      <c r="A1297" s="99">
        <v>2026</v>
      </c>
      <c r="B1297" s="100">
        <v>1</v>
      </c>
      <c r="C1297" s="101">
        <v>46034</v>
      </c>
      <c r="D1297" s="101" t="str">
        <f t="shared" si="218"/>
        <v>SM000000201Фаргона_Ахроржон Ака</v>
      </c>
      <c r="E1297" s="99" t="s">
        <v>1225</v>
      </c>
      <c r="F1297" s="102" t="s">
        <v>1170</v>
      </c>
      <c r="G1297" s="102" t="s">
        <v>1171</v>
      </c>
      <c r="H1297" s="99" t="s">
        <v>1138</v>
      </c>
      <c r="I1297" s="102" t="s">
        <v>1172</v>
      </c>
      <c r="J1297" s="102" t="s">
        <v>466</v>
      </c>
      <c r="K1297" s="103">
        <v>10</v>
      </c>
      <c r="L1297" s="104">
        <v>120000</v>
      </c>
      <c r="M1297" s="104">
        <v>1200000</v>
      </c>
      <c r="N1297" s="39">
        <f t="shared" si="224"/>
        <v>350000</v>
      </c>
      <c r="O1297" s="107">
        <f>+M1297*$O$1</f>
        <v>216000</v>
      </c>
      <c r="P1297" s="108">
        <f>+N1297+O1297</f>
        <v>566000</v>
      </c>
      <c r="Q1297" s="39">
        <v>100</v>
      </c>
      <c r="R1297" s="39">
        <f t="shared" si="220"/>
        <v>1200000</v>
      </c>
      <c r="S1297" s="42">
        <f t="shared" si="221"/>
        <v>0</v>
      </c>
    </row>
    <row r="1298" spans="1:19">
      <c r="A1298" s="99">
        <v>2026</v>
      </c>
      <c r="B1298" s="100">
        <v>1</v>
      </c>
      <c r="C1298" s="101">
        <v>46037</v>
      </c>
      <c r="D1298" s="101" t="str">
        <f t="shared" si="218"/>
        <v>SM000000477Фаргона_Ахроржон Ака</v>
      </c>
      <c r="E1298" s="99" t="s">
        <v>1226</v>
      </c>
      <c r="F1298" s="102" t="s">
        <v>1170</v>
      </c>
      <c r="G1298" s="102" t="s">
        <v>1171</v>
      </c>
      <c r="H1298" s="99" t="s">
        <v>1138</v>
      </c>
      <c r="I1298" s="102" t="s">
        <v>1174</v>
      </c>
      <c r="J1298" s="102" t="s">
        <v>466</v>
      </c>
      <c r="K1298" s="103">
        <v>20</v>
      </c>
      <c r="L1298" s="104">
        <v>120000</v>
      </c>
      <c r="M1298" s="104">
        <v>2400000</v>
      </c>
      <c r="N1298" s="39">
        <f t="shared" si="224"/>
        <v>700000</v>
      </c>
      <c r="O1298" s="107">
        <f>+M1298*$O$1</f>
        <v>432000</v>
      </c>
      <c r="P1298" s="108">
        <f>+N1298+O1298</f>
        <v>1132000</v>
      </c>
      <c r="Q1298" s="39">
        <v>100</v>
      </c>
      <c r="R1298" s="39">
        <f t="shared" si="220"/>
        <v>2400000</v>
      </c>
      <c r="S1298" s="42">
        <f t="shared" si="221"/>
        <v>0</v>
      </c>
    </row>
    <row r="1299" spans="1:19">
      <c r="A1299" s="99">
        <v>2026</v>
      </c>
      <c r="B1299" s="100">
        <v>1</v>
      </c>
      <c r="C1299" s="101">
        <v>46038</v>
      </c>
      <c r="D1299" s="101" t="str">
        <f t="shared" si="218"/>
        <v>SM000000499Фаргона_Ахроржон Ака</v>
      </c>
      <c r="E1299" s="99" t="s">
        <v>1227</v>
      </c>
      <c r="F1299" s="102" t="s">
        <v>1170</v>
      </c>
      <c r="G1299" s="102" t="s">
        <v>1171</v>
      </c>
      <c r="H1299" s="99" t="s">
        <v>1138</v>
      </c>
      <c r="I1299" s="102" t="s">
        <v>1185</v>
      </c>
      <c r="J1299" s="102" t="s">
        <v>466</v>
      </c>
      <c r="K1299" s="103">
        <v>10</v>
      </c>
      <c r="L1299" s="104">
        <v>120000</v>
      </c>
      <c r="M1299" s="104">
        <v>1200000</v>
      </c>
      <c r="N1299" s="39">
        <f t="shared" si="224"/>
        <v>350000</v>
      </c>
      <c r="O1299" s="107">
        <f>+M1299*$O$1</f>
        <v>216000</v>
      </c>
      <c r="P1299" s="108">
        <f>+N1299+O1299</f>
        <v>566000</v>
      </c>
      <c r="Q1299" s="39">
        <v>100</v>
      </c>
      <c r="R1299" s="39">
        <f t="shared" si="220"/>
        <v>1200000</v>
      </c>
      <c r="S1299" s="42">
        <f t="shared" si="221"/>
        <v>0</v>
      </c>
    </row>
    <row r="1300" spans="1:19">
      <c r="A1300" s="99">
        <v>2026</v>
      </c>
      <c r="B1300" s="100">
        <v>1</v>
      </c>
      <c r="C1300" s="101">
        <v>46038</v>
      </c>
      <c r="D1300" s="101" t="str">
        <f t="shared" si="218"/>
        <v>SM000000504Фаргона_Ахроржон Ака</v>
      </c>
      <c r="E1300" s="99" t="s">
        <v>1228</v>
      </c>
      <c r="F1300" s="102" t="s">
        <v>1170</v>
      </c>
      <c r="G1300" s="102" t="s">
        <v>1171</v>
      </c>
      <c r="H1300" s="99" t="s">
        <v>1138</v>
      </c>
      <c r="I1300" s="102" t="s">
        <v>1229</v>
      </c>
      <c r="J1300" s="102" t="s">
        <v>466</v>
      </c>
      <c r="K1300" s="103">
        <v>10</v>
      </c>
      <c r="L1300" s="104">
        <v>120000</v>
      </c>
      <c r="M1300" s="104">
        <v>1200000</v>
      </c>
      <c r="N1300" s="39">
        <f t="shared" si="224"/>
        <v>350000</v>
      </c>
      <c r="O1300" s="107">
        <f>+M1300*$O$1</f>
        <v>216000</v>
      </c>
      <c r="P1300" s="108">
        <f>+N1300+O1300</f>
        <v>566000</v>
      </c>
      <c r="Q1300" s="39">
        <v>100</v>
      </c>
      <c r="R1300" s="39">
        <f t="shared" si="220"/>
        <v>1200000</v>
      </c>
      <c r="S1300" s="42">
        <f t="shared" si="221"/>
        <v>0</v>
      </c>
    </row>
    <row r="1301" spans="1:19">
      <c r="A1301" s="99">
        <v>2026</v>
      </c>
      <c r="B1301" s="100">
        <v>1</v>
      </c>
      <c r="C1301" s="101">
        <v>46041</v>
      </c>
      <c r="D1301" s="101" t="str">
        <f t="shared" si="218"/>
        <v>SM000000539Андижон_Жонибек ака</v>
      </c>
      <c r="E1301" s="99" t="s">
        <v>1230</v>
      </c>
      <c r="F1301" s="102" t="s">
        <v>1140</v>
      </c>
      <c r="G1301" s="102" t="s">
        <v>1141</v>
      </c>
      <c r="H1301" s="99" t="s">
        <v>1138</v>
      </c>
      <c r="I1301" s="102" t="s">
        <v>1223</v>
      </c>
      <c r="J1301" s="102" t="s">
        <v>21</v>
      </c>
      <c r="K1301" s="103">
        <v>200</v>
      </c>
      <c r="L1301" s="104">
        <v>40621</v>
      </c>
      <c r="M1301" s="104">
        <v>8124200</v>
      </c>
      <c r="N1301" s="39">
        <f t="shared" ref="N1301:N1303" si="225">+K1301*15000</f>
        <v>3000000</v>
      </c>
      <c r="O1301" s="107">
        <f>+M1301*$O$1</f>
        <v>1462356</v>
      </c>
      <c r="P1301" s="108">
        <f>+N1301+O1301</f>
        <v>4462356</v>
      </c>
      <c r="Q1301" s="39">
        <v>100</v>
      </c>
      <c r="R1301" s="39">
        <f t="shared" si="220"/>
        <v>8124200</v>
      </c>
      <c r="S1301" s="42">
        <f t="shared" si="221"/>
        <v>0</v>
      </c>
    </row>
    <row r="1302" spans="1:19">
      <c r="A1302" s="99">
        <v>2026</v>
      </c>
      <c r="B1302" s="100">
        <v>1</v>
      </c>
      <c r="C1302" s="101">
        <v>46042</v>
      </c>
      <c r="D1302" s="101" t="str">
        <f t="shared" si="218"/>
        <v>SM000000559Андижон_Жонибек ака</v>
      </c>
      <c r="E1302" s="99" t="s">
        <v>1231</v>
      </c>
      <c r="F1302" s="102" t="s">
        <v>1140</v>
      </c>
      <c r="G1302" s="102" t="s">
        <v>1141</v>
      </c>
      <c r="H1302" s="99" t="s">
        <v>1138</v>
      </c>
      <c r="I1302" s="102" t="s">
        <v>1232</v>
      </c>
      <c r="J1302" s="102" t="s">
        <v>21</v>
      </c>
      <c r="K1302" s="103">
        <v>50</v>
      </c>
      <c r="L1302" s="104">
        <v>40621</v>
      </c>
      <c r="M1302" s="104">
        <v>2031050</v>
      </c>
      <c r="N1302" s="39">
        <f t="shared" si="225"/>
        <v>750000</v>
      </c>
      <c r="O1302" s="107">
        <f>+M1302*$O$1</f>
        <v>365589</v>
      </c>
      <c r="P1302" s="108">
        <f>+N1302+O1302</f>
        <v>1115589</v>
      </c>
      <c r="Q1302" s="39">
        <v>100</v>
      </c>
      <c r="R1302" s="39">
        <f t="shared" si="220"/>
        <v>2031050</v>
      </c>
      <c r="S1302" s="42">
        <f t="shared" si="221"/>
        <v>0</v>
      </c>
    </row>
    <row r="1303" spans="1:19">
      <c r="A1303" s="99">
        <v>2026</v>
      </c>
      <c r="B1303" s="100">
        <v>1</v>
      </c>
      <c r="C1303" s="101">
        <v>46043</v>
      </c>
      <c r="D1303" s="101" t="str">
        <f t="shared" si="218"/>
        <v>SM000000582Наманган_Зулайхо опа</v>
      </c>
      <c r="E1303" s="99" t="s">
        <v>1233</v>
      </c>
      <c r="F1303" s="102" t="s">
        <v>1182</v>
      </c>
      <c r="G1303" s="102" t="s">
        <v>1166</v>
      </c>
      <c r="H1303" s="99" t="s">
        <v>1138</v>
      </c>
      <c r="I1303" s="102" t="s">
        <v>1234</v>
      </c>
      <c r="J1303" s="102" t="s">
        <v>21</v>
      </c>
      <c r="K1303" s="103">
        <v>10</v>
      </c>
      <c r="L1303" s="104">
        <v>40621</v>
      </c>
      <c r="M1303" s="104">
        <v>406210</v>
      </c>
      <c r="N1303" s="39">
        <f t="shared" si="225"/>
        <v>150000</v>
      </c>
      <c r="O1303" s="107">
        <f>+M1303*$O$1</f>
        <v>73117.8</v>
      </c>
      <c r="P1303" s="108">
        <f>+N1303+O1303</f>
        <v>223117.8</v>
      </c>
      <c r="Q1303" s="39">
        <v>100</v>
      </c>
      <c r="R1303" s="39">
        <f t="shared" si="220"/>
        <v>406210</v>
      </c>
      <c r="S1303" s="42">
        <f t="shared" si="221"/>
        <v>0</v>
      </c>
    </row>
    <row r="1304" spans="1:19">
      <c r="A1304" s="99">
        <v>2026</v>
      </c>
      <c r="B1304" s="100">
        <v>1</v>
      </c>
      <c r="C1304" s="101">
        <v>46044</v>
      </c>
      <c r="D1304" s="101" t="str">
        <f t="shared" si="218"/>
        <v>SM000000587Фаргона_Ахроржон Ака</v>
      </c>
      <c r="E1304" s="99" t="s">
        <v>1235</v>
      </c>
      <c r="F1304" s="102" t="s">
        <v>1170</v>
      </c>
      <c r="G1304" s="102" t="s">
        <v>1171</v>
      </c>
      <c r="H1304" s="99" t="s">
        <v>1138</v>
      </c>
      <c r="I1304" s="102" t="s">
        <v>1174</v>
      </c>
      <c r="J1304" s="102" t="s">
        <v>466</v>
      </c>
      <c r="K1304" s="103">
        <v>30</v>
      </c>
      <c r="L1304" s="104">
        <v>120000</v>
      </c>
      <c r="M1304" s="104">
        <v>3600000</v>
      </c>
      <c r="N1304" s="39">
        <f t="shared" ref="N1304:N1307" si="226">+K1304*35000</f>
        <v>1050000</v>
      </c>
      <c r="O1304" s="107">
        <f>+M1304*$O$1</f>
        <v>648000</v>
      </c>
      <c r="P1304" s="108">
        <f>+N1304+O1304</f>
        <v>1698000</v>
      </c>
      <c r="Q1304" s="39">
        <v>100</v>
      </c>
      <c r="R1304" s="39">
        <f t="shared" si="220"/>
        <v>3600000</v>
      </c>
      <c r="S1304" s="42">
        <f t="shared" si="221"/>
        <v>0</v>
      </c>
    </row>
    <row r="1305" spans="1:19">
      <c r="A1305" s="99">
        <v>2026</v>
      </c>
      <c r="B1305" s="100">
        <v>1</v>
      </c>
      <c r="C1305" s="101">
        <v>46051</v>
      </c>
      <c r="D1305" s="101" t="str">
        <f t="shared" si="218"/>
        <v>SM000000683Фаргона_Ахроржон Ака</v>
      </c>
      <c r="E1305" s="99" t="s">
        <v>1236</v>
      </c>
      <c r="F1305" s="102" t="s">
        <v>1170</v>
      </c>
      <c r="G1305" s="102" t="s">
        <v>1171</v>
      </c>
      <c r="H1305" s="99" t="s">
        <v>1138</v>
      </c>
      <c r="I1305" s="102" t="s">
        <v>1174</v>
      </c>
      <c r="J1305" s="102" t="s">
        <v>466</v>
      </c>
      <c r="K1305" s="103">
        <v>5</v>
      </c>
      <c r="L1305" s="104">
        <v>120000</v>
      </c>
      <c r="M1305" s="104">
        <v>600000</v>
      </c>
      <c r="N1305" s="39">
        <f t="shared" si="226"/>
        <v>175000</v>
      </c>
      <c r="O1305" s="107">
        <f>+M1305*$O$1</f>
        <v>108000</v>
      </c>
      <c r="P1305" s="108">
        <f>+N1305+O1305</f>
        <v>283000</v>
      </c>
      <c r="Q1305" s="39">
        <v>100</v>
      </c>
      <c r="R1305" s="39">
        <f t="shared" si="220"/>
        <v>600000</v>
      </c>
      <c r="S1305" s="42">
        <f t="shared" si="221"/>
        <v>0</v>
      </c>
    </row>
    <row r="1306" spans="1:19">
      <c r="A1306" s="99">
        <v>2026</v>
      </c>
      <c r="B1306" s="100">
        <v>1</v>
      </c>
      <c r="C1306" s="101">
        <v>46051</v>
      </c>
      <c r="D1306" s="101" t="str">
        <f t="shared" si="218"/>
        <v>SM000000683Фаргона_Ахроржон Ака</v>
      </c>
      <c r="E1306" s="99" t="s">
        <v>1236</v>
      </c>
      <c r="F1306" s="102" t="s">
        <v>1170</v>
      </c>
      <c r="G1306" s="102" t="s">
        <v>1171</v>
      </c>
      <c r="H1306" s="99" t="s">
        <v>1138</v>
      </c>
      <c r="I1306" s="102" t="s">
        <v>1174</v>
      </c>
      <c r="J1306" s="102" t="s">
        <v>466</v>
      </c>
      <c r="K1306" s="103">
        <v>31</v>
      </c>
      <c r="L1306" s="104">
        <v>120000</v>
      </c>
      <c r="M1306" s="104">
        <v>3720000</v>
      </c>
      <c r="N1306" s="39">
        <f t="shared" si="226"/>
        <v>1085000</v>
      </c>
      <c r="O1306" s="107">
        <f>+M1306*$O$1</f>
        <v>669600</v>
      </c>
      <c r="P1306" s="108">
        <f>+N1306+O1306</f>
        <v>1754600</v>
      </c>
      <c r="Q1306" s="39">
        <v>100</v>
      </c>
      <c r="R1306" s="39">
        <f t="shared" si="220"/>
        <v>3720000</v>
      </c>
      <c r="S1306" s="42">
        <f t="shared" si="221"/>
        <v>0</v>
      </c>
    </row>
    <row r="1307" spans="1:19">
      <c r="A1307" s="99">
        <v>2026</v>
      </c>
      <c r="B1307" s="100">
        <v>1</v>
      </c>
      <c r="C1307" s="101">
        <v>46052</v>
      </c>
      <c r="D1307" s="101" t="str">
        <f t="shared" si="218"/>
        <v>SM000000716Фаргона_Ахроржон Ака</v>
      </c>
      <c r="E1307" s="99" t="s">
        <v>1237</v>
      </c>
      <c r="F1307" s="102" t="s">
        <v>1170</v>
      </c>
      <c r="G1307" s="102" t="s">
        <v>1171</v>
      </c>
      <c r="H1307" s="99" t="s">
        <v>1138</v>
      </c>
      <c r="I1307" s="102" t="s">
        <v>1185</v>
      </c>
      <c r="J1307" s="102" t="s">
        <v>466</v>
      </c>
      <c r="K1307" s="103">
        <v>30</v>
      </c>
      <c r="L1307" s="104">
        <v>120000</v>
      </c>
      <c r="M1307" s="104">
        <v>3600000</v>
      </c>
      <c r="N1307" s="39">
        <f t="shared" si="226"/>
        <v>1050000</v>
      </c>
      <c r="O1307" s="107">
        <f>+M1307*$O$1</f>
        <v>648000</v>
      </c>
      <c r="P1307" s="108">
        <f>+N1307+O1307</f>
        <v>1698000</v>
      </c>
      <c r="Q1307" s="39">
        <v>100</v>
      </c>
      <c r="R1307" s="39">
        <f t="shared" si="220"/>
        <v>3600000</v>
      </c>
      <c r="S1307" s="42">
        <f t="shared" si="221"/>
        <v>0</v>
      </c>
    </row>
    <row r="1308" spans="1:19">
      <c r="A1308" s="99">
        <v>2026</v>
      </c>
      <c r="B1308" s="100">
        <v>2</v>
      </c>
      <c r="C1308" s="101">
        <v>46056</v>
      </c>
      <c r="D1308" s="101" t="str">
        <f t="shared" si="218"/>
        <v>SM000000732Наманган_Зулайхо опа</v>
      </c>
      <c r="E1308" s="99" t="s">
        <v>1238</v>
      </c>
      <c r="F1308" s="102" t="s">
        <v>1165</v>
      </c>
      <c r="G1308" s="102" t="s">
        <v>1166</v>
      </c>
      <c r="H1308" s="99" t="s">
        <v>1138</v>
      </c>
      <c r="I1308" s="102" t="s">
        <v>1192</v>
      </c>
      <c r="J1308" s="102" t="s">
        <v>21</v>
      </c>
      <c r="K1308" s="103">
        <v>50</v>
      </c>
      <c r="L1308" s="104">
        <v>40621</v>
      </c>
      <c r="M1308" s="104">
        <v>2031050</v>
      </c>
      <c r="N1308" s="39">
        <f t="shared" ref="N1308:N1309" si="227">+K1308*15000</f>
        <v>750000</v>
      </c>
      <c r="O1308" s="107">
        <f>+M1308*$O$1</f>
        <v>365589</v>
      </c>
      <c r="P1308" s="108">
        <f>+N1308+O1308</f>
        <v>1115589</v>
      </c>
      <c r="Q1308" s="39">
        <v>100</v>
      </c>
      <c r="R1308" s="39">
        <f t="shared" si="220"/>
        <v>2031050</v>
      </c>
      <c r="S1308" s="42">
        <f t="shared" si="221"/>
        <v>0</v>
      </c>
    </row>
    <row r="1309" spans="1:19">
      <c r="A1309" s="99">
        <v>2026</v>
      </c>
      <c r="B1309" s="100">
        <v>2</v>
      </c>
      <c r="C1309" s="101">
        <v>46057</v>
      </c>
      <c r="D1309" s="101" t="str">
        <f t="shared" si="218"/>
        <v>SM000000769Андижон_Жонибек ака</v>
      </c>
      <c r="E1309" s="99" t="s">
        <v>1239</v>
      </c>
      <c r="F1309" s="102" t="s">
        <v>1140</v>
      </c>
      <c r="G1309" s="102" t="s">
        <v>1141</v>
      </c>
      <c r="H1309" s="99" t="s">
        <v>1138</v>
      </c>
      <c r="I1309" s="102" t="s">
        <v>1232</v>
      </c>
      <c r="J1309" s="102" t="s">
        <v>21</v>
      </c>
      <c r="K1309" s="103">
        <v>50</v>
      </c>
      <c r="L1309" s="104">
        <v>40621</v>
      </c>
      <c r="M1309" s="104">
        <v>2031050</v>
      </c>
      <c r="N1309" s="39">
        <f t="shared" si="227"/>
        <v>750000</v>
      </c>
      <c r="O1309" s="107">
        <f>+M1309*$O$1</f>
        <v>365589</v>
      </c>
      <c r="P1309" s="108">
        <f>+N1309+O1309</f>
        <v>1115589</v>
      </c>
      <c r="Q1309" s="39">
        <v>100</v>
      </c>
      <c r="R1309" s="39">
        <f t="shared" si="220"/>
        <v>2031050</v>
      </c>
      <c r="S1309" s="42">
        <f t="shared" si="221"/>
        <v>0</v>
      </c>
    </row>
    <row r="1310" spans="1:19">
      <c r="A1310" s="99">
        <v>2026</v>
      </c>
      <c r="B1310" s="100">
        <v>2</v>
      </c>
      <c r="C1310" s="101">
        <v>46058</v>
      </c>
      <c r="D1310" s="101" t="str">
        <f t="shared" si="218"/>
        <v>SM000000782Фаргона_Ахроржон Ака</v>
      </c>
      <c r="E1310" s="99" t="s">
        <v>1240</v>
      </c>
      <c r="F1310" s="102" t="s">
        <v>1170</v>
      </c>
      <c r="G1310" s="102" t="s">
        <v>1171</v>
      </c>
      <c r="H1310" s="99" t="s">
        <v>1138</v>
      </c>
      <c r="I1310" s="102" t="s">
        <v>1196</v>
      </c>
      <c r="J1310" s="102" t="s">
        <v>466</v>
      </c>
      <c r="K1310" s="103">
        <v>15</v>
      </c>
      <c r="L1310" s="104">
        <v>120000</v>
      </c>
      <c r="M1310" s="104">
        <v>1800000</v>
      </c>
      <c r="N1310" s="39">
        <f t="shared" ref="N1310:N1312" si="228">+K1310*35000</f>
        <v>525000</v>
      </c>
      <c r="O1310" s="107">
        <f>+M1310*$O$1</f>
        <v>324000</v>
      </c>
      <c r="P1310" s="108">
        <f>+N1310+O1310</f>
        <v>849000</v>
      </c>
      <c r="Q1310" s="39">
        <v>100</v>
      </c>
      <c r="R1310" s="39">
        <f t="shared" si="220"/>
        <v>1800000</v>
      </c>
      <c r="S1310" s="42">
        <f t="shared" si="221"/>
        <v>0</v>
      </c>
    </row>
    <row r="1311" spans="1:19">
      <c r="A1311" s="99">
        <v>2026</v>
      </c>
      <c r="B1311" s="100">
        <v>2</v>
      </c>
      <c r="C1311" s="101">
        <v>46058</v>
      </c>
      <c r="D1311" s="101" t="str">
        <f t="shared" si="218"/>
        <v>SM000000795Фаргона_Ахроржон Ака</v>
      </c>
      <c r="E1311" s="99" t="s">
        <v>1241</v>
      </c>
      <c r="F1311" s="102" t="s">
        <v>1170</v>
      </c>
      <c r="G1311" s="102" t="s">
        <v>1171</v>
      </c>
      <c r="H1311" s="99" t="s">
        <v>1138</v>
      </c>
      <c r="I1311" s="102" t="s">
        <v>1174</v>
      </c>
      <c r="J1311" s="102" t="s">
        <v>466</v>
      </c>
      <c r="K1311" s="103">
        <v>26</v>
      </c>
      <c r="L1311" s="104">
        <v>120000</v>
      </c>
      <c r="M1311" s="104">
        <v>3120000</v>
      </c>
      <c r="N1311" s="39">
        <f t="shared" si="228"/>
        <v>910000</v>
      </c>
      <c r="O1311" s="107">
        <f>+M1311*$O$1</f>
        <v>561600</v>
      </c>
      <c r="P1311" s="108">
        <f>+N1311+O1311</f>
        <v>1471600</v>
      </c>
      <c r="Q1311" s="39">
        <v>100</v>
      </c>
      <c r="R1311" s="39">
        <f t="shared" si="220"/>
        <v>3120000</v>
      </c>
      <c r="S1311" s="42">
        <f t="shared" si="221"/>
        <v>0</v>
      </c>
    </row>
    <row r="1312" spans="1:19">
      <c r="A1312" s="99">
        <v>2026</v>
      </c>
      <c r="B1312" s="100">
        <v>2</v>
      </c>
      <c r="C1312" s="101">
        <v>46062</v>
      </c>
      <c r="D1312" s="101" t="str">
        <f t="shared" si="218"/>
        <v>SM000000838Фаргона_Ахроржон Ака</v>
      </c>
      <c r="E1312" s="99" t="s">
        <v>1242</v>
      </c>
      <c r="F1312" s="102" t="s">
        <v>1220</v>
      </c>
      <c r="G1312" s="102" t="s">
        <v>1171</v>
      </c>
      <c r="H1312" s="99" t="s">
        <v>1138</v>
      </c>
      <c r="I1312" s="102" t="s">
        <v>1243</v>
      </c>
      <c r="J1312" s="102" t="s">
        <v>466</v>
      </c>
      <c r="K1312" s="103">
        <v>10</v>
      </c>
      <c r="L1312" s="104">
        <v>120000</v>
      </c>
      <c r="M1312" s="104">
        <v>1200000</v>
      </c>
      <c r="N1312" s="39">
        <f t="shared" si="228"/>
        <v>350000</v>
      </c>
      <c r="O1312" s="107">
        <f>+M1312*$O$1</f>
        <v>216000</v>
      </c>
      <c r="P1312" s="108">
        <f>+N1312+O1312</f>
        <v>566000</v>
      </c>
      <c r="Q1312" s="39">
        <v>100</v>
      </c>
      <c r="R1312" s="39">
        <f t="shared" si="220"/>
        <v>1200000</v>
      </c>
      <c r="S1312" s="42">
        <f t="shared" si="221"/>
        <v>0</v>
      </c>
    </row>
    <row r="1313" spans="1:19">
      <c r="A1313" s="99">
        <v>2026</v>
      </c>
      <c r="B1313" s="100">
        <v>2</v>
      </c>
      <c r="C1313" s="101">
        <v>46069</v>
      </c>
      <c r="D1313" s="101" t="str">
        <f t="shared" si="218"/>
        <v>SM000000934Наманган_Зулайхо опа</v>
      </c>
      <c r="E1313" s="99" t="s">
        <v>1244</v>
      </c>
      <c r="F1313" s="102" t="s">
        <v>1165</v>
      </c>
      <c r="G1313" s="102" t="s">
        <v>1166</v>
      </c>
      <c r="H1313" s="99" t="s">
        <v>1138</v>
      </c>
      <c r="I1313" s="102" t="s">
        <v>1180</v>
      </c>
      <c r="J1313" s="102" t="s">
        <v>21</v>
      </c>
      <c r="K1313" s="103">
        <v>48</v>
      </c>
      <c r="L1313" s="104">
        <v>40621</v>
      </c>
      <c r="M1313" s="104">
        <v>1949808</v>
      </c>
      <c r="N1313" s="39">
        <f>+K1313*15000</f>
        <v>720000</v>
      </c>
      <c r="O1313" s="107">
        <f>+M1313*$O$1</f>
        <v>350965.44</v>
      </c>
      <c r="P1313" s="108">
        <f>+N1313+O1313</f>
        <v>1070965.44</v>
      </c>
      <c r="Q1313" s="39">
        <v>100</v>
      </c>
      <c r="R1313" s="39">
        <f t="shared" si="220"/>
        <v>1949808</v>
      </c>
      <c r="S1313" s="42">
        <f t="shared" si="221"/>
        <v>0</v>
      </c>
    </row>
    <row r="1314" spans="1:19">
      <c r="A1314" s="99">
        <v>2026</v>
      </c>
      <c r="B1314" s="100">
        <v>2</v>
      </c>
      <c r="C1314" s="101">
        <v>46069</v>
      </c>
      <c r="D1314" s="101" t="str">
        <f t="shared" si="218"/>
        <v>SM000000935Фаргона_Ахроржон Ака</v>
      </c>
      <c r="E1314" s="99" t="s">
        <v>1245</v>
      </c>
      <c r="F1314" s="102" t="s">
        <v>1170</v>
      </c>
      <c r="G1314" s="102" t="s">
        <v>1171</v>
      </c>
      <c r="H1314" s="99" t="s">
        <v>1138</v>
      </c>
      <c r="I1314" s="102" t="s">
        <v>1178</v>
      </c>
      <c r="J1314" s="102" t="s">
        <v>466</v>
      </c>
      <c r="K1314" s="103">
        <v>10</v>
      </c>
      <c r="L1314" s="104">
        <v>120000</v>
      </c>
      <c r="M1314" s="104">
        <v>1200000</v>
      </c>
      <c r="N1314" s="39">
        <f t="shared" ref="N1314:N1320" si="229">+K1314*35000</f>
        <v>350000</v>
      </c>
      <c r="O1314" s="107">
        <f>+M1314*$O$1</f>
        <v>216000</v>
      </c>
      <c r="P1314" s="108">
        <f>+N1314+O1314</f>
        <v>566000</v>
      </c>
      <c r="Q1314" s="39">
        <v>100</v>
      </c>
      <c r="R1314" s="39">
        <f t="shared" si="220"/>
        <v>1200000</v>
      </c>
      <c r="S1314" s="42">
        <f t="shared" si="221"/>
        <v>0</v>
      </c>
    </row>
    <row r="1315" spans="1:19">
      <c r="A1315" s="99">
        <v>2026</v>
      </c>
      <c r="B1315" s="100">
        <v>2</v>
      </c>
      <c r="C1315" s="101">
        <v>46073</v>
      </c>
      <c r="D1315" s="101" t="str">
        <f t="shared" si="218"/>
        <v>SM000001031Фаргона_Ахроржон Ака</v>
      </c>
      <c r="E1315" s="99" t="s">
        <v>1246</v>
      </c>
      <c r="F1315" s="102" t="s">
        <v>1170</v>
      </c>
      <c r="G1315" s="102" t="s">
        <v>1171</v>
      </c>
      <c r="H1315" s="99" t="s">
        <v>1138</v>
      </c>
      <c r="I1315" s="102" t="s">
        <v>1185</v>
      </c>
      <c r="J1315" s="102" t="s">
        <v>466</v>
      </c>
      <c r="K1315" s="103">
        <v>20</v>
      </c>
      <c r="L1315" s="104">
        <v>120000</v>
      </c>
      <c r="M1315" s="104">
        <v>2400000</v>
      </c>
      <c r="N1315" s="39">
        <f t="shared" si="229"/>
        <v>700000</v>
      </c>
      <c r="O1315" s="107">
        <f>+M1315*$O$1</f>
        <v>432000</v>
      </c>
      <c r="P1315" s="108">
        <f>+N1315+O1315</f>
        <v>1132000</v>
      </c>
      <c r="Q1315" s="39">
        <v>100</v>
      </c>
      <c r="R1315" s="39">
        <f t="shared" si="220"/>
        <v>2400000</v>
      </c>
      <c r="S1315" s="42">
        <f t="shared" si="221"/>
        <v>0</v>
      </c>
    </row>
    <row r="1316" spans="1:19">
      <c r="A1316" s="99">
        <v>2026</v>
      </c>
      <c r="B1316" s="100">
        <v>3</v>
      </c>
      <c r="C1316" s="101">
        <v>46093</v>
      </c>
      <c r="D1316" s="101" t="str">
        <f t="shared" si="218"/>
        <v>SM000001249Фаргона_Ахроржон Ака</v>
      </c>
      <c r="E1316" s="99" t="s">
        <v>1247</v>
      </c>
      <c r="F1316" s="102" t="s">
        <v>1170</v>
      </c>
      <c r="G1316" s="102" t="s">
        <v>1171</v>
      </c>
      <c r="H1316" s="99" t="s">
        <v>1138</v>
      </c>
      <c r="I1316" s="102" t="s">
        <v>1185</v>
      </c>
      <c r="J1316" s="102" t="s">
        <v>466</v>
      </c>
      <c r="K1316" s="103">
        <v>10</v>
      </c>
      <c r="L1316" s="104">
        <v>120000</v>
      </c>
      <c r="M1316" s="104">
        <v>1200000</v>
      </c>
      <c r="N1316" s="39">
        <f t="shared" si="229"/>
        <v>350000</v>
      </c>
      <c r="O1316" s="107">
        <f>+M1316*$O$1</f>
        <v>216000</v>
      </c>
      <c r="P1316" s="108">
        <f>+N1316+O1316</f>
        <v>566000</v>
      </c>
      <c r="Q1316" s="39">
        <v>100</v>
      </c>
      <c r="R1316" s="39">
        <f t="shared" si="220"/>
        <v>1200000</v>
      </c>
      <c r="S1316" s="42">
        <f t="shared" si="221"/>
        <v>0</v>
      </c>
    </row>
    <row r="1317" spans="1:19">
      <c r="A1317" s="99">
        <v>2026</v>
      </c>
      <c r="B1317" s="100">
        <v>3</v>
      </c>
      <c r="C1317" s="101">
        <v>46093</v>
      </c>
      <c r="D1317" s="101" t="str">
        <f t="shared" si="218"/>
        <v>SM000001253Фаргона_Ахроржон Ака</v>
      </c>
      <c r="E1317" s="99" t="s">
        <v>1248</v>
      </c>
      <c r="F1317" s="102" t="s">
        <v>1170</v>
      </c>
      <c r="G1317" s="102" t="s">
        <v>1171</v>
      </c>
      <c r="H1317" s="99" t="s">
        <v>1138</v>
      </c>
      <c r="I1317" s="102" t="s">
        <v>1174</v>
      </c>
      <c r="J1317" s="102" t="s">
        <v>466</v>
      </c>
      <c r="K1317" s="103">
        <v>8</v>
      </c>
      <c r="L1317" s="104">
        <v>120000</v>
      </c>
      <c r="M1317" s="104">
        <v>960000</v>
      </c>
      <c r="N1317" s="39">
        <f t="shared" si="229"/>
        <v>280000</v>
      </c>
      <c r="O1317" s="107">
        <f>+M1317*$O$1</f>
        <v>172800</v>
      </c>
      <c r="P1317" s="108">
        <f>+N1317+O1317</f>
        <v>452800</v>
      </c>
      <c r="Q1317" s="39">
        <v>100</v>
      </c>
      <c r="R1317" s="39">
        <f t="shared" si="220"/>
        <v>960000</v>
      </c>
      <c r="S1317" s="42">
        <f t="shared" si="221"/>
        <v>0</v>
      </c>
    </row>
    <row r="1318" spans="1:19">
      <c r="A1318" s="99">
        <v>2026</v>
      </c>
      <c r="B1318" s="100">
        <v>3</v>
      </c>
      <c r="C1318" s="101">
        <v>46107</v>
      </c>
      <c r="D1318" s="101" t="str">
        <f t="shared" si="218"/>
        <v>SM000001407Фаргона_Ахроржон Ака</v>
      </c>
      <c r="E1318" s="99" t="s">
        <v>1249</v>
      </c>
      <c r="F1318" s="102" t="s">
        <v>1170</v>
      </c>
      <c r="G1318" s="102" t="s">
        <v>1171</v>
      </c>
      <c r="H1318" s="99" t="s">
        <v>1138</v>
      </c>
      <c r="I1318" s="102" t="s">
        <v>1174</v>
      </c>
      <c r="J1318" s="102" t="s">
        <v>466</v>
      </c>
      <c r="K1318" s="103">
        <v>20</v>
      </c>
      <c r="L1318" s="104">
        <v>120000</v>
      </c>
      <c r="M1318" s="104">
        <v>2400000</v>
      </c>
      <c r="N1318" s="39">
        <f t="shared" si="229"/>
        <v>700000</v>
      </c>
      <c r="O1318" s="107">
        <f>+M1318*$O$1</f>
        <v>432000</v>
      </c>
      <c r="P1318" s="108">
        <f>+N1318+O1318</f>
        <v>1132000</v>
      </c>
      <c r="Q1318" s="39">
        <v>100</v>
      </c>
      <c r="R1318" s="39">
        <f t="shared" si="220"/>
        <v>2400000</v>
      </c>
      <c r="S1318" s="42">
        <f t="shared" si="221"/>
        <v>0</v>
      </c>
    </row>
    <row r="1319" spans="1:19">
      <c r="A1319" s="99">
        <v>2026</v>
      </c>
      <c r="B1319" s="100">
        <v>4</v>
      </c>
      <c r="C1319" s="101">
        <v>46113</v>
      </c>
      <c r="D1319" s="101" t="str">
        <f t="shared" si="218"/>
        <v>SM000001487Фаргона_Ахроржон Ака</v>
      </c>
      <c r="E1319" s="99" t="s">
        <v>1250</v>
      </c>
      <c r="F1319" s="102" t="s">
        <v>1170</v>
      </c>
      <c r="G1319" s="102" t="s">
        <v>1171</v>
      </c>
      <c r="H1319" s="99" t="s">
        <v>1138</v>
      </c>
      <c r="I1319" s="102" t="s">
        <v>1187</v>
      </c>
      <c r="J1319" s="102" t="s">
        <v>466</v>
      </c>
      <c r="K1319" s="103">
        <v>25</v>
      </c>
      <c r="L1319" s="104">
        <v>120000</v>
      </c>
      <c r="M1319" s="104">
        <v>3000000</v>
      </c>
      <c r="N1319" s="39">
        <f t="shared" si="229"/>
        <v>875000</v>
      </c>
      <c r="O1319" s="107">
        <f>+M1319*$O$1</f>
        <v>540000</v>
      </c>
      <c r="P1319" s="108">
        <f>+N1319+O1319</f>
        <v>1415000</v>
      </c>
      <c r="Q1319" s="39">
        <v>100</v>
      </c>
      <c r="R1319" s="39">
        <f t="shared" si="220"/>
        <v>3000000</v>
      </c>
      <c r="S1319" s="42">
        <f t="shared" si="221"/>
        <v>0</v>
      </c>
    </row>
    <row r="1320" spans="1:19">
      <c r="A1320" s="99">
        <v>2026</v>
      </c>
      <c r="B1320" s="100">
        <v>4</v>
      </c>
      <c r="C1320" s="101">
        <v>46114</v>
      </c>
      <c r="D1320" s="101" t="str">
        <f t="shared" si="218"/>
        <v>SM000001510Фаргона_Ахроржон Ака</v>
      </c>
      <c r="E1320" s="99" t="s">
        <v>1251</v>
      </c>
      <c r="F1320" s="102" t="s">
        <v>1170</v>
      </c>
      <c r="G1320" s="102" t="s">
        <v>1171</v>
      </c>
      <c r="H1320" s="99" t="s">
        <v>1138</v>
      </c>
      <c r="I1320" s="102" t="s">
        <v>1174</v>
      </c>
      <c r="J1320" s="102" t="s">
        <v>466</v>
      </c>
      <c r="K1320" s="103">
        <v>20</v>
      </c>
      <c r="L1320" s="104">
        <v>120000</v>
      </c>
      <c r="M1320" s="104">
        <v>2400000</v>
      </c>
      <c r="N1320" s="39">
        <f t="shared" si="229"/>
        <v>700000</v>
      </c>
      <c r="O1320" s="107">
        <f>+M1320*$O$1</f>
        <v>432000</v>
      </c>
      <c r="P1320" s="108">
        <f>+N1320+O1320</f>
        <v>1132000</v>
      </c>
      <c r="Q1320" s="39">
        <v>100</v>
      </c>
      <c r="R1320" s="39">
        <f t="shared" si="220"/>
        <v>2400000</v>
      </c>
      <c r="S1320" s="42">
        <f t="shared" si="221"/>
        <v>0</v>
      </c>
    </row>
    <row r="1321" spans="1:19">
      <c r="A1321" s="99">
        <v>2026</v>
      </c>
      <c r="B1321" s="100">
        <v>4</v>
      </c>
      <c r="C1321" s="101">
        <v>46114</v>
      </c>
      <c r="D1321" s="101" t="str">
        <f t="shared" si="218"/>
        <v>SM000001512Наманган_Зулайхо опа</v>
      </c>
      <c r="E1321" s="99" t="s">
        <v>1252</v>
      </c>
      <c r="F1321" s="102" t="s">
        <v>1165</v>
      </c>
      <c r="G1321" s="102" t="s">
        <v>1166</v>
      </c>
      <c r="H1321" s="99" t="s">
        <v>1138</v>
      </c>
      <c r="I1321" s="102" t="s">
        <v>1253</v>
      </c>
      <c r="J1321" s="102" t="s">
        <v>21</v>
      </c>
      <c r="K1321" s="103">
        <v>15</v>
      </c>
      <c r="L1321" s="104">
        <v>40621</v>
      </c>
      <c r="M1321" s="104">
        <v>609315</v>
      </c>
      <c r="N1321" s="39">
        <f t="shared" ref="N1321:N1323" si="230">+K1321*15000</f>
        <v>225000</v>
      </c>
      <c r="O1321" s="107">
        <f>+M1321*$O$1</f>
        <v>109676.7</v>
      </c>
      <c r="P1321" s="108">
        <f>+N1321+O1321</f>
        <v>334676.7</v>
      </c>
      <c r="Q1321" s="39">
        <v>100</v>
      </c>
      <c r="R1321" s="39">
        <f t="shared" si="220"/>
        <v>609315</v>
      </c>
      <c r="S1321" s="42">
        <f t="shared" si="221"/>
        <v>0</v>
      </c>
    </row>
    <row r="1322" spans="1:19">
      <c r="A1322" s="99">
        <v>2026</v>
      </c>
      <c r="B1322" s="100">
        <v>4</v>
      </c>
      <c r="C1322" s="101">
        <v>46115</v>
      </c>
      <c r="D1322" s="101" t="str">
        <f t="shared" si="218"/>
        <v>SM000001540Андижон_Жонибек ака</v>
      </c>
      <c r="E1322" s="99" t="s">
        <v>1254</v>
      </c>
      <c r="F1322" s="102" t="s">
        <v>1140</v>
      </c>
      <c r="G1322" s="102" t="s">
        <v>1141</v>
      </c>
      <c r="H1322" s="99" t="s">
        <v>1138</v>
      </c>
      <c r="I1322" s="102" t="s">
        <v>1255</v>
      </c>
      <c r="J1322" s="102" t="s">
        <v>21</v>
      </c>
      <c r="K1322" s="103">
        <v>50</v>
      </c>
      <c r="L1322" s="104">
        <v>40621</v>
      </c>
      <c r="M1322" s="104">
        <v>2031050</v>
      </c>
      <c r="N1322" s="39">
        <f t="shared" si="230"/>
        <v>750000</v>
      </c>
      <c r="O1322" s="107">
        <f>+M1322*$O$1</f>
        <v>365589</v>
      </c>
      <c r="P1322" s="108">
        <f>+N1322+O1322</f>
        <v>1115589</v>
      </c>
      <c r="Q1322" s="39">
        <v>100</v>
      </c>
      <c r="R1322" s="39">
        <f t="shared" si="220"/>
        <v>2031050</v>
      </c>
      <c r="S1322" s="42">
        <f t="shared" si="221"/>
        <v>0</v>
      </c>
    </row>
    <row r="1323" spans="1:19">
      <c r="A1323" s="99">
        <v>2026</v>
      </c>
      <c r="B1323" s="100">
        <v>4</v>
      </c>
      <c r="C1323" s="101">
        <v>46115</v>
      </c>
      <c r="D1323" s="101" t="str">
        <f t="shared" si="218"/>
        <v>SM000001557Наманган_Зулайхо опа</v>
      </c>
      <c r="E1323" s="99" t="s">
        <v>1256</v>
      </c>
      <c r="F1323" s="102" t="s">
        <v>1182</v>
      </c>
      <c r="G1323" s="102" t="s">
        <v>1166</v>
      </c>
      <c r="H1323" s="99" t="s">
        <v>1138</v>
      </c>
      <c r="I1323" s="102" t="s">
        <v>1257</v>
      </c>
      <c r="J1323" s="102" t="s">
        <v>21</v>
      </c>
      <c r="K1323" s="103">
        <v>20</v>
      </c>
      <c r="L1323" s="104">
        <v>40621</v>
      </c>
      <c r="M1323" s="104">
        <v>812420</v>
      </c>
      <c r="N1323" s="39">
        <f t="shared" si="230"/>
        <v>300000</v>
      </c>
      <c r="O1323" s="107">
        <f>+M1323*$O$1</f>
        <v>146235.6</v>
      </c>
      <c r="P1323" s="108">
        <f>+N1323+O1323</f>
        <v>446235.6</v>
      </c>
      <c r="Q1323" s="39">
        <v>100</v>
      </c>
      <c r="R1323" s="39">
        <f t="shared" si="220"/>
        <v>812420</v>
      </c>
      <c r="S1323" s="42">
        <f t="shared" si="221"/>
        <v>0</v>
      </c>
    </row>
    <row r="1324" spans="1:19">
      <c r="A1324" s="99">
        <v>2026</v>
      </c>
      <c r="B1324" s="100">
        <v>4</v>
      </c>
      <c r="C1324" s="101">
        <v>46119</v>
      </c>
      <c r="D1324" s="101" t="str">
        <f t="shared" si="218"/>
        <v>SM000001600Фаргона_Ахроржон Ака</v>
      </c>
      <c r="E1324" s="99" t="s">
        <v>1258</v>
      </c>
      <c r="F1324" s="102" t="s">
        <v>1220</v>
      </c>
      <c r="G1324" s="102" t="s">
        <v>1171</v>
      </c>
      <c r="H1324" s="99" t="s">
        <v>1138</v>
      </c>
      <c r="I1324" s="102" t="s">
        <v>1243</v>
      </c>
      <c r="J1324" s="102" t="s">
        <v>466</v>
      </c>
      <c r="K1324" s="103">
        <v>10</v>
      </c>
      <c r="L1324" s="104">
        <v>120000</v>
      </c>
      <c r="M1324" s="104">
        <v>1200000</v>
      </c>
      <c r="N1324" s="39">
        <f t="shared" ref="N1324:N1325" si="231">+K1324*35000</f>
        <v>350000</v>
      </c>
      <c r="O1324" s="107">
        <f>+M1324*$O$1</f>
        <v>216000</v>
      </c>
      <c r="P1324" s="108">
        <f>+N1324+O1324</f>
        <v>566000</v>
      </c>
      <c r="Q1324" s="39">
        <v>50</v>
      </c>
      <c r="R1324" s="39">
        <f t="shared" si="220"/>
        <v>600000</v>
      </c>
      <c r="S1324" s="42">
        <f t="shared" si="221"/>
        <v>600000</v>
      </c>
    </row>
    <row r="1325" spans="1:19">
      <c r="A1325" s="99">
        <v>2026</v>
      </c>
      <c r="B1325" s="100">
        <v>4</v>
      </c>
      <c r="C1325" s="101">
        <v>46121</v>
      </c>
      <c r="D1325" s="101" t="str">
        <f t="shared" si="218"/>
        <v>SM000001638Фаргона_Ахроржон Ака</v>
      </c>
      <c r="E1325" s="99" t="s">
        <v>1259</v>
      </c>
      <c r="F1325" s="102" t="s">
        <v>1170</v>
      </c>
      <c r="G1325" s="102" t="s">
        <v>1171</v>
      </c>
      <c r="H1325" s="99" t="s">
        <v>1138</v>
      </c>
      <c r="I1325" s="102" t="s">
        <v>1174</v>
      </c>
      <c r="J1325" s="102" t="s">
        <v>466</v>
      </c>
      <c r="K1325" s="103">
        <v>60</v>
      </c>
      <c r="L1325" s="104">
        <v>120000</v>
      </c>
      <c r="M1325" s="104">
        <v>7200000</v>
      </c>
      <c r="N1325" s="39">
        <f t="shared" si="231"/>
        <v>2100000</v>
      </c>
      <c r="O1325" s="107">
        <f>+M1325*$O$1</f>
        <v>1296000</v>
      </c>
      <c r="P1325" s="108">
        <f>+N1325+O1325</f>
        <v>3396000</v>
      </c>
      <c r="Q1325" s="39">
        <v>100</v>
      </c>
      <c r="R1325" s="39">
        <f t="shared" si="220"/>
        <v>7200000</v>
      </c>
      <c r="S1325" s="42">
        <f t="shared" si="221"/>
        <v>0</v>
      </c>
    </row>
    <row r="1326" spans="1:19">
      <c r="A1326" s="99">
        <v>2026</v>
      </c>
      <c r="B1326" s="100">
        <v>4</v>
      </c>
      <c r="C1326" s="101">
        <v>46122</v>
      </c>
      <c r="D1326" s="101" t="str">
        <f t="shared" si="218"/>
        <v>SM000001663Наманган_Зулайхо опа</v>
      </c>
      <c r="E1326" s="99" t="s">
        <v>1260</v>
      </c>
      <c r="F1326" s="102" t="s">
        <v>1182</v>
      </c>
      <c r="G1326" s="102" t="s">
        <v>1166</v>
      </c>
      <c r="H1326" s="99" t="s">
        <v>1138</v>
      </c>
      <c r="I1326" s="102" t="s">
        <v>1234</v>
      </c>
      <c r="J1326" s="102" t="s">
        <v>21</v>
      </c>
      <c r="K1326" s="103">
        <v>10</v>
      </c>
      <c r="L1326" s="104">
        <v>40621</v>
      </c>
      <c r="M1326" s="104">
        <v>406210</v>
      </c>
      <c r="N1326" s="39">
        <f>+K1326*15000</f>
        <v>150000</v>
      </c>
      <c r="O1326" s="107">
        <f>+M1326*$O$1</f>
        <v>73117.8</v>
      </c>
      <c r="P1326" s="108">
        <f>+N1326+O1326</f>
        <v>223117.8</v>
      </c>
      <c r="Q1326" s="39">
        <v>100</v>
      </c>
      <c r="R1326" s="39">
        <f t="shared" si="220"/>
        <v>406210</v>
      </c>
      <c r="S1326" s="42">
        <f t="shared" si="221"/>
        <v>0</v>
      </c>
    </row>
    <row r="1327" spans="1:19">
      <c r="A1327" s="99">
        <v>2026</v>
      </c>
      <c r="B1327" s="100">
        <v>4</v>
      </c>
      <c r="C1327" s="101">
        <v>46125</v>
      </c>
      <c r="D1327" s="101" t="str">
        <f t="shared" si="218"/>
        <v>SM000001711Фаргона_Ахроржон Ака</v>
      </c>
      <c r="E1327" s="99" t="s">
        <v>1261</v>
      </c>
      <c r="F1327" s="102" t="s">
        <v>1170</v>
      </c>
      <c r="G1327" s="102" t="s">
        <v>1171</v>
      </c>
      <c r="H1327" s="99" t="s">
        <v>1138</v>
      </c>
      <c r="I1327" s="102" t="s">
        <v>1185</v>
      </c>
      <c r="J1327" s="102" t="s">
        <v>466</v>
      </c>
      <c r="K1327" s="103">
        <v>20</v>
      </c>
      <c r="L1327" s="104">
        <v>120000</v>
      </c>
      <c r="M1327" s="104">
        <v>2400000</v>
      </c>
      <c r="N1327" s="39">
        <f>+K1327*35000</f>
        <v>700000</v>
      </c>
      <c r="O1327" s="107">
        <f>+M1327*$O$1</f>
        <v>432000</v>
      </c>
      <c r="P1327" s="108">
        <f>+N1327+O1327</f>
        <v>1132000</v>
      </c>
      <c r="Q1327" s="39">
        <v>100</v>
      </c>
      <c r="R1327" s="39">
        <f t="shared" si="220"/>
        <v>2400000</v>
      </c>
      <c r="S1327" s="42">
        <f t="shared" si="221"/>
        <v>0</v>
      </c>
    </row>
    <row r="1328" spans="1:19">
      <c r="A1328" s="99">
        <v>2026</v>
      </c>
      <c r="B1328" s="100">
        <v>4</v>
      </c>
      <c r="C1328" s="101">
        <v>46125</v>
      </c>
      <c r="D1328" s="101" t="str">
        <f t="shared" si="218"/>
        <v>SM000001713Кукон_Баходирхон ака</v>
      </c>
      <c r="E1328" s="99" t="s">
        <v>1262</v>
      </c>
      <c r="F1328" s="102" t="s">
        <v>1263</v>
      </c>
      <c r="G1328" s="102" t="s">
        <v>1264</v>
      </c>
      <c r="H1328" s="99" t="s">
        <v>1138</v>
      </c>
      <c r="I1328" s="102" t="s">
        <v>1265</v>
      </c>
      <c r="J1328" s="102" t="s">
        <v>38</v>
      </c>
      <c r="K1328" s="103">
        <v>15</v>
      </c>
      <c r="L1328" s="104">
        <v>65000</v>
      </c>
      <c r="M1328" s="104">
        <v>975000</v>
      </c>
      <c r="N1328" s="39">
        <f>+K1328*20000</f>
        <v>300000</v>
      </c>
      <c r="O1328" s="107">
        <f>+M1328*$O$1</f>
        <v>175500</v>
      </c>
      <c r="P1328" s="108">
        <f>+N1328+O1328</f>
        <v>475500</v>
      </c>
      <c r="Q1328" s="39">
        <v>100</v>
      </c>
      <c r="R1328" s="39">
        <f t="shared" si="220"/>
        <v>975000</v>
      </c>
      <c r="S1328" s="42">
        <f t="shared" si="221"/>
        <v>0</v>
      </c>
    </row>
    <row r="1329" spans="1:19">
      <c r="A1329" s="99">
        <v>2026</v>
      </c>
      <c r="B1329" s="100">
        <v>4</v>
      </c>
      <c r="C1329" s="101">
        <v>46125</v>
      </c>
      <c r="D1329" s="101" t="str">
        <f t="shared" si="218"/>
        <v>SM000001728Андижон_Жонибек ака</v>
      </c>
      <c r="E1329" s="99" t="s">
        <v>1266</v>
      </c>
      <c r="F1329" s="102" t="s">
        <v>1140</v>
      </c>
      <c r="G1329" s="102" t="s">
        <v>1141</v>
      </c>
      <c r="H1329" s="99" t="s">
        <v>1138</v>
      </c>
      <c r="I1329" s="102" t="s">
        <v>1267</v>
      </c>
      <c r="J1329" s="102" t="s">
        <v>21</v>
      </c>
      <c r="K1329" s="103">
        <v>17</v>
      </c>
      <c r="L1329" s="104">
        <v>40621</v>
      </c>
      <c r="M1329" s="104">
        <v>690557</v>
      </c>
      <c r="N1329" s="39">
        <f t="shared" ref="N1329:N1330" si="232">+K1329*15000</f>
        <v>255000</v>
      </c>
      <c r="O1329" s="107">
        <f>+M1329*$O$1</f>
        <v>124300.26</v>
      </c>
      <c r="P1329" s="108">
        <f>+N1329+O1329</f>
        <v>379300.26</v>
      </c>
      <c r="Q1329" s="39">
        <v>100</v>
      </c>
      <c r="R1329" s="39">
        <f t="shared" si="220"/>
        <v>690557</v>
      </c>
      <c r="S1329" s="42">
        <f t="shared" si="221"/>
        <v>0</v>
      </c>
    </row>
    <row r="1330" spans="1:19">
      <c r="A1330" s="99">
        <v>2026</v>
      </c>
      <c r="B1330" s="100">
        <v>4</v>
      </c>
      <c r="C1330" s="101">
        <v>46125</v>
      </c>
      <c r="D1330" s="101" t="str">
        <f t="shared" si="218"/>
        <v>SM000001728Андижон_Жонибек ака</v>
      </c>
      <c r="E1330" s="99" t="s">
        <v>1266</v>
      </c>
      <c r="F1330" s="102" t="s">
        <v>1140</v>
      </c>
      <c r="G1330" s="102" t="s">
        <v>1141</v>
      </c>
      <c r="H1330" s="99" t="s">
        <v>1138</v>
      </c>
      <c r="I1330" s="102" t="s">
        <v>1267</v>
      </c>
      <c r="J1330" s="102" t="s">
        <v>21</v>
      </c>
      <c r="K1330" s="103">
        <v>103</v>
      </c>
      <c r="L1330" s="104">
        <v>40621</v>
      </c>
      <c r="M1330" s="104">
        <v>4183963</v>
      </c>
      <c r="N1330" s="39">
        <f t="shared" si="232"/>
        <v>1545000</v>
      </c>
      <c r="O1330" s="107">
        <f>+M1330*$O$1</f>
        <v>753113.34</v>
      </c>
      <c r="P1330" s="108">
        <f>+N1330+O1330</f>
        <v>2298113.34</v>
      </c>
      <c r="Q1330" s="39">
        <v>100</v>
      </c>
      <c r="R1330" s="39">
        <f t="shared" si="220"/>
        <v>4183963</v>
      </c>
      <c r="S1330" s="42">
        <f t="shared" si="221"/>
        <v>0</v>
      </c>
    </row>
    <row r="1331" spans="1:19">
      <c r="A1331" s="99">
        <v>2026</v>
      </c>
      <c r="B1331" s="100">
        <v>4</v>
      </c>
      <c r="C1331" s="101">
        <v>46125</v>
      </c>
      <c r="D1331" s="101" t="str">
        <f t="shared" si="218"/>
        <v>SM000001731Фаргона_Ахроржон Ака</v>
      </c>
      <c r="E1331" s="99" t="s">
        <v>1268</v>
      </c>
      <c r="F1331" s="102" t="s">
        <v>1170</v>
      </c>
      <c r="G1331" s="102" t="s">
        <v>1171</v>
      </c>
      <c r="H1331" s="99" t="s">
        <v>1138</v>
      </c>
      <c r="I1331" s="102" t="s">
        <v>1189</v>
      </c>
      <c r="J1331" s="102" t="s">
        <v>466</v>
      </c>
      <c r="K1331" s="103">
        <v>50</v>
      </c>
      <c r="L1331" s="104">
        <v>120000</v>
      </c>
      <c r="M1331" s="104">
        <v>6000000</v>
      </c>
      <c r="N1331" s="39">
        <f>+K1331*35000</f>
        <v>1750000</v>
      </c>
      <c r="O1331" s="107">
        <f>+M1331*$O$1</f>
        <v>1080000</v>
      </c>
      <c r="P1331" s="108">
        <f>+N1331+O1331</f>
        <v>2830000</v>
      </c>
      <c r="Q1331" s="39">
        <v>100</v>
      </c>
      <c r="R1331" s="39">
        <f t="shared" si="220"/>
        <v>6000000</v>
      </c>
      <c r="S1331" s="42">
        <f t="shared" si="221"/>
        <v>0</v>
      </c>
    </row>
    <row r="1332" spans="1:19">
      <c r="A1332" s="99">
        <v>2026</v>
      </c>
      <c r="B1332" s="100">
        <v>4</v>
      </c>
      <c r="C1332" s="101">
        <v>46126</v>
      </c>
      <c r="D1332" s="101" t="str">
        <f t="shared" si="218"/>
        <v>SM000001757Наманган_Зулайхо опа</v>
      </c>
      <c r="E1332" s="99" t="s">
        <v>1269</v>
      </c>
      <c r="F1332" s="102" t="s">
        <v>1182</v>
      </c>
      <c r="G1332" s="102" t="s">
        <v>1166</v>
      </c>
      <c r="H1332" s="99" t="s">
        <v>1138</v>
      </c>
      <c r="I1332" s="102" t="s">
        <v>1217</v>
      </c>
      <c r="J1332" s="102" t="s">
        <v>21</v>
      </c>
      <c r="K1332" s="103">
        <v>50</v>
      </c>
      <c r="L1332" s="104">
        <v>40621</v>
      </c>
      <c r="M1332" s="104">
        <v>2031050</v>
      </c>
      <c r="N1332" s="39">
        <f>+K1332*15000</f>
        <v>750000</v>
      </c>
      <c r="O1332" s="107">
        <f>+M1332*$O$1</f>
        <v>365589</v>
      </c>
      <c r="P1332" s="108">
        <f>+N1332+O1332</f>
        <v>1115589</v>
      </c>
      <c r="Q1332" s="39">
        <v>100</v>
      </c>
      <c r="R1332" s="39">
        <f t="shared" si="220"/>
        <v>2031050</v>
      </c>
      <c r="S1332" s="42">
        <f t="shared" si="221"/>
        <v>0</v>
      </c>
    </row>
    <row r="1333" spans="1:19">
      <c r="A1333" s="99">
        <v>2026</v>
      </c>
      <c r="B1333" s="100">
        <v>4</v>
      </c>
      <c r="C1333" s="101">
        <v>46133</v>
      </c>
      <c r="D1333" s="101" t="str">
        <f t="shared" si="218"/>
        <v>SM000001900Фаргона_Умар ака Сух</v>
      </c>
      <c r="E1333" s="99" t="s">
        <v>1270</v>
      </c>
      <c r="F1333" s="102" t="s">
        <v>1271</v>
      </c>
      <c r="G1333" s="102" t="s">
        <v>1272</v>
      </c>
      <c r="H1333" s="99" t="s">
        <v>1138</v>
      </c>
      <c r="I1333" s="102" t="s">
        <v>1273</v>
      </c>
      <c r="J1333" s="102" t="s">
        <v>466</v>
      </c>
      <c r="K1333" s="103">
        <v>10</v>
      </c>
      <c r="L1333" s="104">
        <v>120000</v>
      </c>
      <c r="M1333" s="104">
        <v>1200000</v>
      </c>
      <c r="N1333" s="39">
        <f>+K1333*35000</f>
        <v>350000</v>
      </c>
      <c r="O1333" s="107">
        <f>+M1333*$O$1</f>
        <v>216000</v>
      </c>
      <c r="P1333" s="108">
        <f>+N1333+O1333</f>
        <v>566000</v>
      </c>
      <c r="Q1333" s="39">
        <v>59</v>
      </c>
      <c r="R1333" s="39">
        <f t="shared" si="220"/>
        <v>708000</v>
      </c>
      <c r="S1333" s="42">
        <f t="shared" si="221"/>
        <v>492000</v>
      </c>
    </row>
    <row r="1334" spans="1:19">
      <c r="A1334" s="99">
        <v>2026</v>
      </c>
      <c r="B1334" s="100">
        <v>4</v>
      </c>
      <c r="C1334" s="101">
        <v>46133</v>
      </c>
      <c r="D1334" s="101" t="str">
        <f t="shared" si="218"/>
        <v>SM000001931Кукон_Баходирхон ака</v>
      </c>
      <c r="E1334" s="99" t="s">
        <v>1274</v>
      </c>
      <c r="F1334" s="102" t="s">
        <v>1275</v>
      </c>
      <c r="G1334" s="102" t="s">
        <v>1264</v>
      </c>
      <c r="H1334" s="99" t="s">
        <v>1138</v>
      </c>
      <c r="I1334" s="102" t="s">
        <v>1187</v>
      </c>
      <c r="J1334" s="102" t="s">
        <v>46</v>
      </c>
      <c r="K1334" s="103">
        <v>10</v>
      </c>
      <c r="L1334" s="104">
        <v>64700</v>
      </c>
      <c r="M1334" s="104">
        <v>647000</v>
      </c>
      <c r="N1334" s="39">
        <f>20000*K1334</f>
        <v>200000</v>
      </c>
      <c r="O1334" s="107">
        <f>+M1334*$O$1</f>
        <v>116460</v>
      </c>
      <c r="P1334" s="108">
        <f>+N1334+O1334</f>
        <v>316460</v>
      </c>
      <c r="Q1334" s="39">
        <v>100</v>
      </c>
      <c r="R1334" s="39">
        <f t="shared" si="220"/>
        <v>647000</v>
      </c>
      <c r="S1334" s="42">
        <f t="shared" si="221"/>
        <v>0</v>
      </c>
    </row>
    <row r="1335" spans="1:19">
      <c r="A1335" s="99">
        <v>2026</v>
      </c>
      <c r="B1335" s="100">
        <v>4</v>
      </c>
      <c r="C1335" s="101">
        <v>46135</v>
      </c>
      <c r="D1335" s="101" t="str">
        <f t="shared" si="218"/>
        <v>SM000001974Фаргона_Ахроржон Ака</v>
      </c>
      <c r="E1335" s="99" t="s">
        <v>1276</v>
      </c>
      <c r="F1335" s="102" t="s">
        <v>1170</v>
      </c>
      <c r="G1335" s="102" t="s">
        <v>1171</v>
      </c>
      <c r="H1335" s="99" t="s">
        <v>1138</v>
      </c>
      <c r="I1335" s="102" t="s">
        <v>1174</v>
      </c>
      <c r="J1335" s="102" t="s">
        <v>466</v>
      </c>
      <c r="K1335" s="103">
        <v>20</v>
      </c>
      <c r="L1335" s="104">
        <v>120000</v>
      </c>
      <c r="M1335" s="104">
        <v>2400000</v>
      </c>
      <c r="N1335" s="39">
        <f t="shared" ref="N1335:N1336" si="233">+K1335*35000</f>
        <v>700000</v>
      </c>
      <c r="O1335" s="107">
        <f>+M1335*$O$1</f>
        <v>432000</v>
      </c>
      <c r="P1335" s="108">
        <f>+N1335+O1335</f>
        <v>1132000</v>
      </c>
      <c r="Q1335" s="39">
        <v>100</v>
      </c>
      <c r="R1335" s="39">
        <f t="shared" si="220"/>
        <v>2400000</v>
      </c>
      <c r="S1335" s="42">
        <f t="shared" si="221"/>
        <v>0</v>
      </c>
    </row>
    <row r="1336" spans="1:19">
      <c r="A1336" s="99">
        <v>2026</v>
      </c>
      <c r="B1336" s="100">
        <v>4</v>
      </c>
      <c r="C1336" s="101">
        <v>46139</v>
      </c>
      <c r="D1336" s="101" t="str">
        <f t="shared" si="218"/>
        <v>SM000002045Фаргона_Ахроржон Ака</v>
      </c>
      <c r="E1336" s="99" t="s">
        <v>1277</v>
      </c>
      <c r="F1336" s="102" t="s">
        <v>1170</v>
      </c>
      <c r="G1336" s="102" t="s">
        <v>1171</v>
      </c>
      <c r="H1336" s="99" t="s">
        <v>1138</v>
      </c>
      <c r="I1336" s="102" t="s">
        <v>1174</v>
      </c>
      <c r="J1336" s="102" t="s">
        <v>466</v>
      </c>
      <c r="K1336" s="103">
        <v>10</v>
      </c>
      <c r="L1336" s="104">
        <v>120000</v>
      </c>
      <c r="M1336" s="104">
        <v>1200000</v>
      </c>
      <c r="N1336" s="39">
        <f t="shared" si="233"/>
        <v>350000</v>
      </c>
      <c r="O1336" s="107">
        <f>+M1336*$O$1</f>
        <v>216000</v>
      </c>
      <c r="P1336" s="108">
        <f>+N1336+O1336</f>
        <v>566000</v>
      </c>
      <c r="Q1336" s="39">
        <v>100</v>
      </c>
      <c r="R1336" s="39">
        <f t="shared" si="220"/>
        <v>1200000</v>
      </c>
      <c r="S1336" s="42">
        <f t="shared" si="221"/>
        <v>0</v>
      </c>
    </row>
    <row r="1337" spans="1:19">
      <c r="A1337" s="99">
        <v>2026</v>
      </c>
      <c r="B1337" s="100">
        <v>4</v>
      </c>
      <c r="C1337" s="101">
        <v>46140</v>
      </c>
      <c r="D1337" s="101" t="str">
        <f t="shared" si="218"/>
        <v>SM000002088Андижон_Жонибек ака (S)</v>
      </c>
      <c r="E1337" s="99" t="s">
        <v>1278</v>
      </c>
      <c r="F1337" s="102" t="s">
        <v>1279</v>
      </c>
      <c r="G1337" s="102" t="s">
        <v>1280</v>
      </c>
      <c r="H1337" s="99" t="s">
        <v>1138</v>
      </c>
      <c r="I1337" s="102" t="s">
        <v>1281</v>
      </c>
      <c r="J1337" s="102" t="s">
        <v>38</v>
      </c>
      <c r="K1337" s="103">
        <v>10</v>
      </c>
      <c r="L1337" s="104">
        <v>65000</v>
      </c>
      <c r="M1337" s="104">
        <v>650000</v>
      </c>
      <c r="N1337" s="39">
        <f t="shared" ref="N1337:N1338" si="234">+K1337*20000</f>
        <v>200000</v>
      </c>
      <c r="O1337" s="107">
        <f>+M1337*$O$1</f>
        <v>117000</v>
      </c>
      <c r="P1337" s="108">
        <f>+N1337+O1337</f>
        <v>317000</v>
      </c>
      <c r="Q1337" s="39">
        <v>100</v>
      </c>
      <c r="R1337" s="39">
        <f t="shared" si="220"/>
        <v>650000</v>
      </c>
      <c r="S1337" s="42">
        <f t="shared" si="221"/>
        <v>0</v>
      </c>
    </row>
    <row r="1338" spans="1:19">
      <c r="A1338" s="99">
        <v>2026</v>
      </c>
      <c r="B1338" s="100">
        <v>4</v>
      </c>
      <c r="C1338" s="101">
        <v>46142</v>
      </c>
      <c r="D1338" s="101" t="str">
        <f t="shared" si="218"/>
        <v>SM000002131Кукон_Баходирхон ака</v>
      </c>
      <c r="E1338" s="99" t="s">
        <v>1282</v>
      </c>
      <c r="F1338" s="102" t="s">
        <v>1275</v>
      </c>
      <c r="G1338" s="102" t="s">
        <v>1264</v>
      </c>
      <c r="H1338" s="99" t="s">
        <v>1138</v>
      </c>
      <c r="I1338" s="102" t="s">
        <v>1283</v>
      </c>
      <c r="J1338" s="102" t="s">
        <v>38</v>
      </c>
      <c r="K1338" s="103">
        <v>10</v>
      </c>
      <c r="L1338" s="104">
        <v>65000</v>
      </c>
      <c r="M1338" s="104">
        <v>650000</v>
      </c>
      <c r="N1338" s="39">
        <f t="shared" si="234"/>
        <v>200000</v>
      </c>
      <c r="O1338" s="107">
        <f>+M1338*$O$1</f>
        <v>117000</v>
      </c>
      <c r="P1338" s="108">
        <f>+N1338+O1338</f>
        <v>317000</v>
      </c>
      <c r="Q1338" s="39">
        <v>100</v>
      </c>
      <c r="R1338" s="39">
        <f t="shared" si="220"/>
        <v>650000</v>
      </c>
      <c r="S1338" s="42">
        <f t="shared" si="221"/>
        <v>0</v>
      </c>
    </row>
    <row r="1339" spans="1:19">
      <c r="A1339" s="99">
        <v>2026</v>
      </c>
      <c r="B1339" s="100">
        <v>4</v>
      </c>
      <c r="C1339" s="101">
        <v>46142</v>
      </c>
      <c r="D1339" s="101" t="str">
        <f t="shared" si="218"/>
        <v>SM000002145Андижон_Жонибек ака (S)</v>
      </c>
      <c r="E1339" s="99" t="s">
        <v>1284</v>
      </c>
      <c r="F1339" s="102" t="s">
        <v>1279</v>
      </c>
      <c r="G1339" s="102" t="s">
        <v>1280</v>
      </c>
      <c r="H1339" s="99" t="s">
        <v>1138</v>
      </c>
      <c r="I1339" s="102" t="s">
        <v>1285</v>
      </c>
      <c r="J1339" s="102" t="s">
        <v>466</v>
      </c>
      <c r="K1339" s="103">
        <v>10</v>
      </c>
      <c r="L1339" s="104">
        <v>120000</v>
      </c>
      <c r="M1339" s="104">
        <v>1200000</v>
      </c>
      <c r="N1339" s="39">
        <f t="shared" ref="N1339:N1341" si="235">+K1339*35000</f>
        <v>350000</v>
      </c>
      <c r="O1339" s="107">
        <f>+M1339*$O$1</f>
        <v>216000</v>
      </c>
      <c r="P1339" s="108">
        <f>+N1339+O1339</f>
        <v>566000</v>
      </c>
      <c r="Q1339" s="39">
        <v>100</v>
      </c>
      <c r="R1339" s="39">
        <f t="shared" si="220"/>
        <v>1200000</v>
      </c>
      <c r="S1339" s="42">
        <f t="shared" si="221"/>
        <v>0</v>
      </c>
    </row>
    <row r="1340" spans="1:19">
      <c r="A1340" s="99">
        <v>2026</v>
      </c>
      <c r="B1340" s="100">
        <v>5</v>
      </c>
      <c r="C1340" s="101">
        <v>46143</v>
      </c>
      <c r="D1340" s="101" t="str">
        <f t="shared" si="218"/>
        <v>SM000002163Фаргона_Ахроржон Ака</v>
      </c>
      <c r="E1340" s="99" t="s">
        <v>1286</v>
      </c>
      <c r="F1340" s="102" t="s">
        <v>1170</v>
      </c>
      <c r="G1340" s="102" t="s">
        <v>1171</v>
      </c>
      <c r="H1340" s="99" t="s">
        <v>1138</v>
      </c>
      <c r="I1340" s="102" t="s">
        <v>1187</v>
      </c>
      <c r="J1340" s="102" t="s">
        <v>466</v>
      </c>
      <c r="K1340" s="103">
        <v>40</v>
      </c>
      <c r="L1340" s="104">
        <v>122400</v>
      </c>
      <c r="M1340" s="104">
        <v>4896000</v>
      </c>
      <c r="N1340" s="39">
        <f t="shared" si="235"/>
        <v>1400000</v>
      </c>
      <c r="O1340" s="107">
        <f>+M1340*$O$1</f>
        <v>881280</v>
      </c>
      <c r="P1340" s="108">
        <f>+N1340+O1340</f>
        <v>2281280</v>
      </c>
      <c r="Q1340" s="39">
        <v>100</v>
      </c>
      <c r="R1340" s="39">
        <f t="shared" si="220"/>
        <v>4896000</v>
      </c>
      <c r="S1340" s="42">
        <f t="shared" si="221"/>
        <v>0</v>
      </c>
    </row>
    <row r="1341" spans="1:19">
      <c r="A1341" s="99">
        <v>2026</v>
      </c>
      <c r="B1341" s="100">
        <v>5</v>
      </c>
      <c r="C1341" s="101">
        <v>46147</v>
      </c>
      <c r="D1341" s="101" t="str">
        <f t="shared" si="218"/>
        <v>SM000002245Фаргона_Ахроржон Ака</v>
      </c>
      <c r="E1341" s="99" t="s">
        <v>1287</v>
      </c>
      <c r="F1341" s="102" t="s">
        <v>1170</v>
      </c>
      <c r="G1341" s="102" t="s">
        <v>1171</v>
      </c>
      <c r="H1341" s="99" t="s">
        <v>1138</v>
      </c>
      <c r="I1341" s="102" t="s">
        <v>1178</v>
      </c>
      <c r="J1341" s="102" t="s">
        <v>466</v>
      </c>
      <c r="K1341" s="103">
        <v>5</v>
      </c>
      <c r="L1341" s="104">
        <v>122400</v>
      </c>
      <c r="M1341" s="104">
        <v>612000</v>
      </c>
      <c r="N1341" s="39">
        <f t="shared" si="235"/>
        <v>175000</v>
      </c>
      <c r="O1341" s="107">
        <f>+M1341*$O$1</f>
        <v>110160</v>
      </c>
      <c r="P1341" s="108">
        <f>+N1341+O1341</f>
        <v>285160</v>
      </c>
      <c r="Q1341" s="39">
        <v>50</v>
      </c>
      <c r="R1341" s="39">
        <f t="shared" si="220"/>
        <v>306000</v>
      </c>
      <c r="S1341" s="42">
        <f t="shared" si="221"/>
        <v>306000</v>
      </c>
    </row>
    <row r="1342" spans="1:19">
      <c r="A1342" s="99">
        <v>2026</v>
      </c>
      <c r="B1342" s="100">
        <v>5</v>
      </c>
      <c r="C1342" s="101">
        <v>46149</v>
      </c>
      <c r="D1342" s="101" t="str">
        <f t="shared" si="218"/>
        <v>SM000002298Кукон_Баходирхон ака</v>
      </c>
      <c r="E1342" s="99" t="s">
        <v>1288</v>
      </c>
      <c r="F1342" s="102" t="s">
        <v>1263</v>
      </c>
      <c r="G1342" s="102" t="s">
        <v>1264</v>
      </c>
      <c r="H1342" s="99" t="s">
        <v>1138</v>
      </c>
      <c r="I1342" s="102" t="s">
        <v>1265</v>
      </c>
      <c r="J1342" s="102" t="s">
        <v>38</v>
      </c>
      <c r="K1342" s="103">
        <v>30</v>
      </c>
      <c r="L1342" s="104">
        <v>65000</v>
      </c>
      <c r="M1342" s="104">
        <v>1950000</v>
      </c>
      <c r="N1342" s="39">
        <f>+K1342*20000</f>
        <v>600000</v>
      </c>
      <c r="O1342" s="107">
        <f>+M1342*$O$1</f>
        <v>351000</v>
      </c>
      <c r="P1342" s="108">
        <f>+N1342+O1342</f>
        <v>951000</v>
      </c>
      <c r="Q1342" s="39">
        <v>39</v>
      </c>
      <c r="R1342" s="39">
        <f t="shared" si="220"/>
        <v>760500</v>
      </c>
      <c r="S1342" s="42">
        <f t="shared" si="221"/>
        <v>1189500</v>
      </c>
    </row>
    <row r="1343" spans="1:19">
      <c r="A1343" s="99">
        <v>2026</v>
      </c>
      <c r="B1343" s="100">
        <v>5</v>
      </c>
      <c r="C1343" s="101">
        <v>46149</v>
      </c>
      <c r="D1343" s="101" t="str">
        <f t="shared" si="218"/>
        <v>SM000002314Фаргона_Зафаржон ака</v>
      </c>
      <c r="E1343" s="99" t="s">
        <v>1289</v>
      </c>
      <c r="F1343" s="102" t="s">
        <v>1290</v>
      </c>
      <c r="G1343" s="102" t="s">
        <v>1291</v>
      </c>
      <c r="H1343" s="99" t="s">
        <v>1138</v>
      </c>
      <c r="I1343" s="102" t="s">
        <v>1292</v>
      </c>
      <c r="J1343" s="102" t="s">
        <v>41</v>
      </c>
      <c r="K1343" s="103">
        <v>80</v>
      </c>
      <c r="L1343" s="104">
        <v>90000</v>
      </c>
      <c r="M1343" s="104">
        <v>7200000</v>
      </c>
      <c r="N1343" s="39">
        <f>+K1343*25000</f>
        <v>2000000</v>
      </c>
      <c r="O1343" s="107">
        <f>+M1343*$O$1</f>
        <v>1296000</v>
      </c>
      <c r="P1343" s="108">
        <f>+N1343+O1343</f>
        <v>3296000</v>
      </c>
      <c r="Q1343" s="39">
        <v>50</v>
      </c>
      <c r="R1343" s="39">
        <f t="shared" si="220"/>
        <v>3600000</v>
      </c>
      <c r="S1343" s="42">
        <f t="shared" si="221"/>
        <v>3600000</v>
      </c>
    </row>
    <row r="1344" spans="1:19">
      <c r="A1344" s="99">
        <v>2026</v>
      </c>
      <c r="B1344" s="100">
        <v>5</v>
      </c>
      <c r="C1344" s="101">
        <v>46150</v>
      </c>
      <c r="D1344" s="101" t="str">
        <f t="shared" si="218"/>
        <v>SM000002322Андижон_Жонибек ака (S)</v>
      </c>
      <c r="E1344" s="99" t="s">
        <v>1293</v>
      </c>
      <c r="F1344" s="102" t="s">
        <v>1279</v>
      </c>
      <c r="G1344" s="102" t="s">
        <v>1280</v>
      </c>
      <c r="H1344" s="99" t="s">
        <v>1138</v>
      </c>
      <c r="I1344" s="102" t="s">
        <v>1294</v>
      </c>
      <c r="J1344" s="102" t="s">
        <v>466</v>
      </c>
      <c r="K1344" s="103">
        <v>10</v>
      </c>
      <c r="L1344" s="104">
        <v>120000</v>
      </c>
      <c r="M1344" s="104">
        <v>1200000</v>
      </c>
      <c r="N1344" s="39">
        <f>+K1344*35000</f>
        <v>350000</v>
      </c>
      <c r="O1344" s="107">
        <f>+M1344*$O$1</f>
        <v>216000</v>
      </c>
      <c r="P1344" s="108">
        <f>+N1344+O1344</f>
        <v>566000</v>
      </c>
      <c r="Q1344" s="39">
        <v>30</v>
      </c>
      <c r="R1344" s="39">
        <f t="shared" si="220"/>
        <v>360000</v>
      </c>
      <c r="S1344" s="42">
        <f t="shared" si="221"/>
        <v>840000</v>
      </c>
    </row>
    <row r="1345" spans="1:19">
      <c r="A1345" s="99">
        <v>2026</v>
      </c>
      <c r="B1345" s="100">
        <v>5</v>
      </c>
      <c r="C1345" s="101">
        <v>46155</v>
      </c>
      <c r="D1345" s="101" t="str">
        <f t="shared" si="218"/>
        <v>SM000002424Андижон_Жонибек ака (S)</v>
      </c>
      <c r="E1345" s="99" t="s">
        <v>1295</v>
      </c>
      <c r="F1345" s="102" t="s">
        <v>1279</v>
      </c>
      <c r="G1345" s="102" t="s">
        <v>1280</v>
      </c>
      <c r="H1345" s="99" t="s">
        <v>1138</v>
      </c>
      <c r="I1345" s="102" t="s">
        <v>1296</v>
      </c>
      <c r="J1345" s="102" t="s">
        <v>38</v>
      </c>
      <c r="K1345" s="103">
        <v>100</v>
      </c>
      <c r="L1345" s="104">
        <v>65000</v>
      </c>
      <c r="M1345" s="104">
        <v>6500000</v>
      </c>
      <c r="N1345" s="39">
        <f>+K1345*20000</f>
        <v>2000000</v>
      </c>
      <c r="O1345" s="107">
        <f>+M1345*$O$1</f>
        <v>1170000</v>
      </c>
      <c r="P1345" s="108">
        <f>+N1345+O1345</f>
        <v>3170000</v>
      </c>
      <c r="Q1345" s="39">
        <v>100</v>
      </c>
      <c r="R1345" s="39">
        <f t="shared" si="220"/>
        <v>6500000</v>
      </c>
      <c r="S1345" s="42">
        <f t="shared" si="221"/>
        <v>0</v>
      </c>
    </row>
    <row r="1346" spans="1:19">
      <c r="A1346" s="99">
        <v>2026</v>
      </c>
      <c r="B1346" s="100">
        <v>5</v>
      </c>
      <c r="C1346" s="101">
        <v>46156</v>
      </c>
      <c r="D1346" s="101" t="str">
        <f t="shared" si="218"/>
        <v>SM000002459Фаргона_Умар ака Сух</v>
      </c>
      <c r="E1346" s="99" t="s">
        <v>1297</v>
      </c>
      <c r="F1346" s="102" t="s">
        <v>1271</v>
      </c>
      <c r="G1346" s="102" t="s">
        <v>1272</v>
      </c>
      <c r="H1346" s="99" t="s">
        <v>1138</v>
      </c>
      <c r="I1346" s="102" t="s">
        <v>1298</v>
      </c>
      <c r="J1346" s="102" t="s">
        <v>466</v>
      </c>
      <c r="K1346" s="103">
        <v>20</v>
      </c>
      <c r="L1346" s="104">
        <v>120000</v>
      </c>
      <c r="M1346" s="104">
        <v>2400000</v>
      </c>
      <c r="N1346" s="39">
        <f t="shared" ref="N1346:N1347" si="236">+K1346*35000</f>
        <v>700000</v>
      </c>
      <c r="O1346" s="107">
        <f>+M1346*$O$1</f>
        <v>432000</v>
      </c>
      <c r="P1346" s="108">
        <f>+N1346+O1346</f>
        <v>1132000</v>
      </c>
      <c r="Q1346" s="39">
        <v>53</v>
      </c>
      <c r="R1346" s="39">
        <f t="shared" si="220"/>
        <v>1272000</v>
      </c>
      <c r="S1346" s="42">
        <f t="shared" si="221"/>
        <v>1128000</v>
      </c>
    </row>
    <row r="1347" spans="1:19">
      <c r="A1347" s="99">
        <v>2026</v>
      </c>
      <c r="B1347" s="100">
        <v>5</v>
      </c>
      <c r="C1347" s="101">
        <v>46156</v>
      </c>
      <c r="D1347" s="101" t="str">
        <f t="shared" si="218"/>
        <v>SM000002460Фаргона_Ахроржон Ака</v>
      </c>
      <c r="E1347" s="99" t="s">
        <v>1299</v>
      </c>
      <c r="F1347" s="102" t="s">
        <v>1170</v>
      </c>
      <c r="G1347" s="102" t="s">
        <v>1171</v>
      </c>
      <c r="H1347" s="99" t="s">
        <v>1138</v>
      </c>
      <c r="I1347" s="102" t="s">
        <v>1187</v>
      </c>
      <c r="J1347" s="102" t="s">
        <v>466</v>
      </c>
      <c r="K1347" s="103">
        <v>100</v>
      </c>
      <c r="L1347" s="104">
        <v>120000</v>
      </c>
      <c r="M1347" s="104">
        <v>12000000</v>
      </c>
      <c r="N1347" s="39">
        <f t="shared" si="236"/>
        <v>3500000</v>
      </c>
      <c r="O1347" s="107">
        <f>+M1347*$O$1</f>
        <v>2160000</v>
      </c>
      <c r="P1347" s="108">
        <f>+N1347+O1347</f>
        <v>5660000</v>
      </c>
      <c r="Q1347" s="39">
        <v>100</v>
      </c>
      <c r="R1347" s="39">
        <f t="shared" si="220"/>
        <v>12000000</v>
      </c>
      <c r="S1347" s="42">
        <f t="shared" si="221"/>
        <v>0</v>
      </c>
    </row>
    <row r="1348" spans="1:19">
      <c r="A1348" s="99">
        <v>2026</v>
      </c>
      <c r="B1348" s="100">
        <v>5</v>
      </c>
      <c r="C1348" s="101">
        <v>46157</v>
      </c>
      <c r="D1348" s="101" t="str">
        <f t="shared" ref="D1348" si="237">+E1348&amp;G1348</f>
        <v>SM000002468Кукон_Баходирхон ака</v>
      </c>
      <c r="E1348" s="99" t="s">
        <v>1300</v>
      </c>
      <c r="F1348" s="102" t="s">
        <v>1275</v>
      </c>
      <c r="G1348" s="102" t="s">
        <v>1264</v>
      </c>
      <c r="H1348" s="99" t="s">
        <v>1138</v>
      </c>
      <c r="I1348" s="102" t="s">
        <v>1187</v>
      </c>
      <c r="J1348" s="102" t="s">
        <v>46</v>
      </c>
      <c r="K1348" s="103">
        <v>40</v>
      </c>
      <c r="L1348" s="104">
        <v>64700</v>
      </c>
      <c r="M1348" s="104">
        <v>2588000</v>
      </c>
      <c r="N1348" s="39">
        <f>20000*K1348</f>
        <v>800000</v>
      </c>
      <c r="O1348" s="107">
        <f>+M1348*$O$1</f>
        <v>465840</v>
      </c>
      <c r="P1348" s="108">
        <f>+N1348+O1348</f>
        <v>1265840</v>
      </c>
      <c r="Q1348" s="39">
        <v>100</v>
      </c>
      <c r="R1348" s="39">
        <f t="shared" ref="R1348" si="238">+M1348*Q1348%</f>
        <v>2588000</v>
      </c>
      <c r="S1348" s="42">
        <f t="shared" ref="S1348" si="239">M1348-R1348</f>
        <v>0</v>
      </c>
    </row>
  </sheetData>
  <autoFilter ref="A2:R1348" xr:uid="{494A06CF-C62E-4F4E-BC1D-27A85D0B49C9}"/>
  <conditionalFormatting sqref="L3:M1348">
    <cfRule type="containsBlanks" dxfId="1" priority="2">
      <formula>LEN(TRIM(L3))=0</formula>
    </cfRule>
  </conditionalFormatting>
  <conditionalFormatting sqref="N559">
    <cfRule type="containsBlanks" dxfId="0" priority="1">
      <formula>LEN(TRIM(N559))=0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7024-2835-4B47-8948-1ACA1DB8061F}">
  <dimension ref="A2:J20"/>
  <sheetViews>
    <sheetView tabSelected="1" zoomScale="139" workbookViewId="0">
      <selection activeCell="B3" sqref="B3"/>
    </sheetView>
  </sheetViews>
  <sheetFormatPr baseColWidth="10" defaultRowHeight="16"/>
  <cols>
    <col min="1" max="1" width="25.6640625" style="11" bestFit="1" customWidth="1"/>
    <col min="2" max="2" width="16.5" style="11" customWidth="1"/>
    <col min="3" max="3" width="21.33203125" style="11" customWidth="1"/>
    <col min="4" max="4" width="23.33203125" style="11" customWidth="1"/>
    <col min="5" max="5" width="19.1640625" style="11" customWidth="1"/>
    <col min="6" max="6" width="21.1640625" style="11" customWidth="1"/>
    <col min="7" max="7" width="15.6640625" style="11" bestFit="1" customWidth="1"/>
    <col min="8" max="8" width="13.83203125" style="11" bestFit="1" customWidth="1"/>
    <col min="9" max="9" width="10.83203125" style="11"/>
    <col min="10" max="10" width="14.83203125" style="11" bestFit="1" customWidth="1"/>
    <col min="11" max="16384" width="10.83203125" style="11"/>
  </cols>
  <sheetData>
    <row r="2" spans="1:10" ht="51">
      <c r="A2" s="45" t="s">
        <v>2179</v>
      </c>
      <c r="B2" s="51" t="s">
        <v>21</v>
      </c>
      <c r="C2" s="51" t="s">
        <v>38</v>
      </c>
      <c r="D2" s="51" t="s">
        <v>46</v>
      </c>
      <c r="E2" s="51" t="s">
        <v>466</v>
      </c>
      <c r="F2" s="51" t="s">
        <v>41</v>
      </c>
      <c r="G2" s="50" t="s">
        <v>2137</v>
      </c>
    </row>
    <row r="3" spans="1:10" ht="17">
      <c r="A3" s="45" t="s">
        <v>2184</v>
      </c>
      <c r="B3" s="92">
        <f>SUMIFS('Продажа Переч'!$K:$K,'Продажа Переч'!$J:$J,B2)</f>
        <v>29785</v>
      </c>
      <c r="C3" s="92">
        <f>SUMIFS('Продажа Переч'!$K:$K,'Продажа Переч'!$J:$J,C2)</f>
        <v>9486</v>
      </c>
      <c r="D3" s="92">
        <f>SUMIFS('Продажа Переч'!$K:$K,'Продажа Переч'!$J:$J,D2)</f>
        <v>5866</v>
      </c>
      <c r="E3" s="92">
        <f>SUMIFS('Продажа Переч'!$K:$K,'Продажа Переч'!$J:$J,E2)</f>
        <v>5361</v>
      </c>
      <c r="F3" s="92">
        <f>SUMIFS('Продажа Переч'!$K:$K,'Продажа Переч'!$J:$J,F2)</f>
        <v>12264</v>
      </c>
      <c r="G3" s="92"/>
    </row>
    <row r="4" spans="1:10" ht="17">
      <c r="A4" s="45" t="s">
        <v>2186</v>
      </c>
      <c r="B4" s="94">
        <f>SUMIFS('Продажа Переч'!$M:$M,'Продажа Переч'!$J:$J,B2)</f>
        <v>1157064091.9999998</v>
      </c>
      <c r="C4" s="94">
        <f>SUMIFS('Продажа Переч'!$M:$M,'Продажа Переч'!$J:$J,C2)</f>
        <v>613440000</v>
      </c>
      <c r="D4" s="94">
        <f>SUMIFS('Продажа Переч'!$M:$M,'Продажа Переч'!$J:$J,D2)</f>
        <v>379530200</v>
      </c>
      <c r="E4" s="94">
        <f>SUMIFS('Продажа Переч'!$M:$M,'Продажа Переч'!$J:$J,E2)</f>
        <v>641928000</v>
      </c>
      <c r="F4" s="94">
        <f>SUMIFS('Продажа Переч'!$M:$M,'Продажа Переч'!$J:$J,F2)</f>
        <v>1100848000</v>
      </c>
      <c r="G4" s="93">
        <f>SUM(B4:F4)</f>
        <v>3892810292</v>
      </c>
    </row>
    <row r="5" spans="1:10" ht="17">
      <c r="A5" s="45" t="s">
        <v>2185</v>
      </c>
      <c r="B5" s="92">
        <f>SUMIFS('Продажа Переч'!$P:$P,'Продажа Переч'!$J:$J,B2)</f>
        <v>611566799.18000138</v>
      </c>
      <c r="C5" s="92">
        <f>SUMIFS('Продажа Переч'!$P:$P,'Продажа Переч'!$J:$J,C2)</f>
        <v>261816100</v>
      </c>
      <c r="D5" s="92">
        <f>SUMIFS('Продажа Переч'!$P:$P,'Продажа Переч'!$J:$J,D2)</f>
        <v>154014456</v>
      </c>
      <c r="E5" s="92">
        <f>SUMIFS('Продажа Переч'!$P:$P,'Продажа Переч'!$J:$J,E2)</f>
        <v>289030040</v>
      </c>
      <c r="F5" s="92">
        <f>SUMIFS('Продажа Переч'!$P:$P,'Продажа Переч'!$J:$J,F2)</f>
        <v>393129800</v>
      </c>
      <c r="G5" s="93">
        <f>SUM(B5:F5)</f>
        <v>1709557195.1800013</v>
      </c>
    </row>
    <row r="6" spans="1:10" ht="17">
      <c r="A6" s="45" t="s">
        <v>2175</v>
      </c>
      <c r="B6" s="92">
        <f>B4*$H$6</f>
        <v>115706409.19999999</v>
      </c>
      <c r="C6" s="92">
        <f>C4*$H$6</f>
        <v>61344000</v>
      </c>
      <c r="D6" s="92">
        <f>D4*$H$6</f>
        <v>37953020</v>
      </c>
      <c r="E6" s="92">
        <f>E4*$H$6</f>
        <v>64192800</v>
      </c>
      <c r="F6" s="92">
        <f>F4*$H$6</f>
        <v>110084800</v>
      </c>
      <c r="G6" s="93">
        <f t="shared" ref="G6:G8" si="0">SUM(B6:F6)</f>
        <v>389281029.19999999</v>
      </c>
      <c r="H6" s="96">
        <v>0.1</v>
      </c>
    </row>
    <row r="7" spans="1:10" ht="17">
      <c r="A7" s="45" t="s">
        <v>2189</v>
      </c>
      <c r="B7" s="92">
        <f>(B16*B17)*$H$7</f>
        <v>49203404.879999995</v>
      </c>
      <c r="C7" s="92">
        <f>(C16*C17)*$H$7</f>
        <v>31200000</v>
      </c>
      <c r="D7" s="92">
        <f>(D16*D17)*$H$7</f>
        <v>23292000</v>
      </c>
      <c r="E7" s="92">
        <f>(E16*E17)*$H$7</f>
        <v>57600000</v>
      </c>
      <c r="F7" s="92">
        <f>(F16*F17)*$H$7</f>
        <v>32400000</v>
      </c>
      <c r="G7" s="93">
        <f t="shared" si="0"/>
        <v>193695404.88</v>
      </c>
      <c r="H7" s="96">
        <v>0.06</v>
      </c>
    </row>
    <row r="8" spans="1:10" ht="17">
      <c r="A8" s="45" t="s">
        <v>2188</v>
      </c>
      <c r="B8" s="92">
        <v>7248399</v>
      </c>
      <c r="C8" s="92">
        <v>7248399</v>
      </c>
      <c r="D8" s="92">
        <v>7248399</v>
      </c>
      <c r="E8" s="92">
        <v>7248399</v>
      </c>
      <c r="F8" s="92">
        <v>7248399</v>
      </c>
      <c r="G8" s="93">
        <f t="shared" si="0"/>
        <v>36241995</v>
      </c>
      <c r="H8" s="96">
        <v>0.05</v>
      </c>
      <c r="J8" s="118"/>
    </row>
    <row r="9" spans="1:10" ht="17">
      <c r="A9" s="45" t="s">
        <v>2174</v>
      </c>
      <c r="B9" s="92">
        <f>0.308*12000</f>
        <v>3696</v>
      </c>
      <c r="C9" s="92">
        <v>20000</v>
      </c>
      <c r="D9" s="92">
        <v>18000</v>
      </c>
      <c r="E9" s="92">
        <v>25000</v>
      </c>
      <c r="F9" s="92">
        <v>21000</v>
      </c>
      <c r="G9" s="93"/>
    </row>
    <row r="10" spans="1:10" ht="17">
      <c r="A10" s="45" t="s">
        <v>2173</v>
      </c>
      <c r="B10" s="92">
        <f>B9*B3</f>
        <v>110085360</v>
      </c>
      <c r="C10" s="92">
        <f>C9*C3</f>
        <v>189720000</v>
      </c>
      <c r="D10" s="92">
        <f>D9*D3</f>
        <v>105588000</v>
      </c>
      <c r="E10" s="92">
        <f>E9*E3</f>
        <v>134025000</v>
      </c>
      <c r="F10" s="92">
        <f>F9*F3</f>
        <v>257544000</v>
      </c>
      <c r="G10" s="93">
        <f t="shared" ref="G10:G15" si="1">SUM(B10:F10)</f>
        <v>796962360</v>
      </c>
    </row>
    <row r="11" spans="1:10" ht="17">
      <c r="A11" s="45" t="s">
        <v>2172</v>
      </c>
      <c r="B11" s="95">
        <f>+B4-B5-B6-B7-B10</f>
        <v>270502118.7399984</v>
      </c>
      <c r="C11" s="95">
        <f>+C4-C5-C6-C7-C10</f>
        <v>69359900</v>
      </c>
      <c r="D11" s="95">
        <f>+D4-D5-D6-D7-D10</f>
        <v>58682724</v>
      </c>
      <c r="E11" s="95">
        <f>+E4-E5-E6-E7-E10</f>
        <v>97080160</v>
      </c>
      <c r="F11" s="95">
        <f>+F4-F5-F6-F7-F10</f>
        <v>307689400</v>
      </c>
      <c r="G11" s="93">
        <f t="shared" si="1"/>
        <v>803314302.73999834</v>
      </c>
    </row>
    <row r="12" spans="1:10" ht="17">
      <c r="A12" s="45" t="s">
        <v>2190</v>
      </c>
      <c r="B12" s="95">
        <f>+B11*$H$12</f>
        <v>135251059.3699992</v>
      </c>
      <c r="C12" s="95">
        <f>+C11*$H$12</f>
        <v>34679950</v>
      </c>
      <c r="D12" s="95">
        <f>+D11*$H$12</f>
        <v>29341362</v>
      </c>
      <c r="E12" s="95">
        <f>+E11*$H$12</f>
        <v>48540080</v>
      </c>
      <c r="F12" s="95">
        <f>+F11*$H$12</f>
        <v>153844700</v>
      </c>
      <c r="G12" s="93">
        <f t="shared" si="1"/>
        <v>401657151.36999917</v>
      </c>
      <c r="H12" s="96">
        <v>0.5</v>
      </c>
    </row>
    <row r="13" spans="1:10" ht="17">
      <c r="A13" s="45" t="s">
        <v>2194</v>
      </c>
      <c r="B13" s="95">
        <f>+B11*$H$13</f>
        <v>135251059.3699992</v>
      </c>
      <c r="C13" s="95">
        <f>+C11*$H$13</f>
        <v>34679950</v>
      </c>
      <c r="D13" s="95">
        <f>+D11*$H$13</f>
        <v>29341362</v>
      </c>
      <c r="E13" s="95">
        <f>+E11*$H$13</f>
        <v>48540080</v>
      </c>
      <c r="F13" s="95">
        <f>+F11*$H$13</f>
        <v>153844700</v>
      </c>
      <c r="G13" s="93">
        <f t="shared" si="1"/>
        <v>401657151.36999917</v>
      </c>
      <c r="H13" s="96">
        <v>0.5</v>
      </c>
    </row>
    <row r="14" spans="1:10">
      <c r="A14" s="48" t="s">
        <v>2206</v>
      </c>
      <c r="B14" s="95">
        <f>SUMIFS('Продажа Переч'!$R:$R,'Продажа Переч'!$J:$J,B2)</f>
        <v>1136280380.1699998</v>
      </c>
      <c r="C14" s="95">
        <f>SUMIFS('Продажа Переч'!$R:$R,'Продажа Переч'!$J:$J,C2)</f>
        <v>538673750</v>
      </c>
      <c r="D14" s="95">
        <f>SUMIFS('Продажа Переч'!$R:$R,'Продажа Переч'!$J:$J,D2)</f>
        <v>284838515</v>
      </c>
      <c r="E14" s="95">
        <f>SUMIFS('Продажа Переч'!$R:$R,'Продажа Переч'!$J:$J,E2)</f>
        <v>600378000</v>
      </c>
      <c r="F14" s="95">
        <f>SUMIFS('Продажа Переч'!$R:$R,'Продажа Переч'!$J:$J,F2)</f>
        <v>927389200</v>
      </c>
      <c r="G14" s="93">
        <f t="shared" si="1"/>
        <v>3487559845.1700001</v>
      </c>
      <c r="H14" s="96"/>
      <c r="J14" s="117"/>
    </row>
    <row r="15" spans="1:10" ht="17">
      <c r="A15" s="45" t="s">
        <v>2200</v>
      </c>
      <c r="B15" s="124">
        <f>SUMIFS('Продажа Переч'!$S:$S,'Продажа Переч'!$J:$J,B2)</f>
        <v>20783711.830000002</v>
      </c>
      <c r="C15" s="124">
        <f>SUMIFS('Продажа Переч'!$S:$S,'Продажа Переч'!$J:$J,C2)</f>
        <v>74766250</v>
      </c>
      <c r="D15" s="124">
        <f>SUMIFS('Продажа Переч'!$S:$S,'Продажа Переч'!$J:$J,D2)</f>
        <v>94691685</v>
      </c>
      <c r="E15" s="124">
        <f>SUMIFS('Продажа Переч'!$S:$S,'Продажа Переч'!$J:$J,E2)</f>
        <v>41550000</v>
      </c>
      <c r="F15" s="124">
        <f>SUMIFS('Продажа Переч'!$S:$S,'Продажа Переч'!$J:$J,F2)</f>
        <v>173458800</v>
      </c>
      <c r="G15" s="93">
        <f t="shared" si="1"/>
        <v>405250446.82999998</v>
      </c>
    </row>
    <row r="16" spans="1:10" ht="17" hidden="1">
      <c r="A16" s="45" t="s">
        <v>2199</v>
      </c>
      <c r="B16" s="47">
        <v>20188</v>
      </c>
      <c r="C16" s="47">
        <v>8000</v>
      </c>
      <c r="D16" s="47">
        <v>6000</v>
      </c>
      <c r="E16" s="47">
        <v>8000</v>
      </c>
      <c r="F16" s="47">
        <v>6000</v>
      </c>
      <c r="G16" s="116"/>
    </row>
    <row r="17" spans="2:8" hidden="1">
      <c r="B17" s="47">
        <v>40621</v>
      </c>
      <c r="C17" s="47">
        <v>65000</v>
      </c>
      <c r="D17" s="47">
        <v>64700</v>
      </c>
      <c r="E17" s="47">
        <v>120000</v>
      </c>
      <c r="F17" s="47">
        <v>90000</v>
      </c>
      <c r="G17" s="116"/>
    </row>
    <row r="18" spans="2:8" hidden="1">
      <c r="B18" s="117">
        <f>+B3-B16</f>
        <v>9597</v>
      </c>
      <c r="C18" s="117">
        <f>+C3-C16</f>
        <v>1486</v>
      </c>
      <c r="D18" s="117">
        <f>+D3-D16</f>
        <v>-134</v>
      </c>
      <c r="E18" s="117">
        <f>+E3-E16</f>
        <v>-2639</v>
      </c>
      <c r="F18" s="117">
        <f>+F3-F16</f>
        <v>6264</v>
      </c>
      <c r="G18" s="117">
        <f>+G3-G16</f>
        <v>0</v>
      </c>
    </row>
    <row r="19" spans="2:8" hidden="1">
      <c r="B19" s="117">
        <f>+B18*B17</f>
        <v>389839737</v>
      </c>
      <c r="C19" s="117">
        <f>+C18*C17</f>
        <v>96590000</v>
      </c>
      <c r="D19" s="117">
        <f>+D18*D17</f>
        <v>-8669800</v>
      </c>
      <c r="E19" s="117">
        <f>+E18*E17</f>
        <v>-316680000</v>
      </c>
      <c r="F19" s="117">
        <f>+F18*F17</f>
        <v>563760000</v>
      </c>
      <c r="G19" s="117"/>
      <c r="H19" s="118"/>
    </row>
    <row r="20" spans="2:8">
      <c r="H20" s="118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CAD6-7392-E74F-B1EF-BD81F77E0C34}">
  <dimension ref="A1:J17"/>
  <sheetViews>
    <sheetView zoomScale="160" workbookViewId="0">
      <selection activeCell="J2" sqref="J2"/>
    </sheetView>
  </sheetViews>
  <sheetFormatPr baseColWidth="10" defaultRowHeight="16"/>
  <cols>
    <col min="1" max="1" width="25.6640625" bestFit="1" customWidth="1"/>
    <col min="2" max="2" width="14" bestFit="1" customWidth="1"/>
    <col min="3" max="3" width="12.5" bestFit="1" customWidth="1"/>
    <col min="4" max="4" width="18.6640625" customWidth="1"/>
    <col min="5" max="6" width="14" bestFit="1" customWidth="1"/>
    <col min="7" max="7" width="15.6640625" bestFit="1" customWidth="1"/>
    <col min="8" max="8" width="12" bestFit="1" customWidth="1"/>
    <col min="9" max="9" width="14" bestFit="1" customWidth="1"/>
  </cols>
  <sheetData>
    <row r="1" spans="1:10" s="11" customFormat="1" ht="68">
      <c r="A1" s="45" t="s">
        <v>2179</v>
      </c>
      <c r="B1" s="51" t="s">
        <v>21</v>
      </c>
      <c r="C1" s="51" t="s">
        <v>38</v>
      </c>
      <c r="D1" s="51" t="s">
        <v>46</v>
      </c>
      <c r="E1" s="51" t="s">
        <v>466</v>
      </c>
      <c r="F1" s="51" t="s">
        <v>41</v>
      </c>
      <c r="G1" s="50" t="s">
        <v>2137</v>
      </c>
    </row>
    <row r="2" spans="1:10">
      <c r="A2" s="48" t="s">
        <v>2187</v>
      </c>
      <c r="B2" s="91">
        <f>SUMIFS('Продажа 2'!$J:$J,'Продажа 2'!$I:$I,B1)</f>
        <v>71951</v>
      </c>
      <c r="C2" s="91">
        <f>SUMIFS('Продажа 2'!$J:$J,'Продажа 2'!$I:$I,C1)</f>
        <v>10210</v>
      </c>
      <c r="D2" s="91">
        <f>SUMIFS('Продажа 2'!$J:$J,'Продажа 2'!$I:$I,D1)</f>
        <v>11690</v>
      </c>
      <c r="E2" s="91">
        <f>SUMIFS('Продажа 2'!$J:$J,'Продажа 2'!$I:$I,E1)</f>
        <v>11340</v>
      </c>
      <c r="F2" s="91">
        <f>SUMIFS('Продажа 2'!$J:$J,'Продажа 2'!$I:$I,F1)</f>
        <v>14740</v>
      </c>
      <c r="G2" s="43"/>
      <c r="H2" s="11"/>
      <c r="J2" s="42"/>
    </row>
    <row r="3" spans="1:10">
      <c r="A3" s="48" t="s">
        <v>2177</v>
      </c>
      <c r="B3" s="47">
        <f>SUMIFS('Продажа 2'!$L:$L,'Продажа 2'!$I:$I,B1)</f>
        <v>1236851700</v>
      </c>
      <c r="C3" s="47">
        <f>SUMIFS('Продажа 2'!$L:$L,'Продажа 2'!$I:$I,C1)</f>
        <v>335410000</v>
      </c>
      <c r="D3" s="47">
        <f>SUMIFS('Продажа 2'!$L:$L,'Продажа 2'!$I:$I,D1)</f>
        <v>361628000</v>
      </c>
      <c r="E3" s="47">
        <f>SUMIFS('Продажа 2'!$L:$L,'Продажа 2'!$I:$I,E1)</f>
        <v>591916500</v>
      </c>
      <c r="F3" s="47">
        <f>SUMIFS('Продажа 2'!$L:$L,'Продажа 2'!$I:$I,F1)</f>
        <v>587000000</v>
      </c>
      <c r="G3" s="43">
        <f t="shared" ref="G3:G6" si="0">SUM(B3:F3)</f>
        <v>3112806200</v>
      </c>
      <c r="H3" s="11"/>
    </row>
    <row r="4" spans="1:10">
      <c r="A4" s="48" t="s">
        <v>2175</v>
      </c>
      <c r="B4" s="47">
        <f>+B3*$H$4</f>
        <v>123685170</v>
      </c>
      <c r="C4" s="47">
        <f>+C3*$H$4</f>
        <v>33541000</v>
      </c>
      <c r="D4" s="47">
        <f>+D3*$H$4</f>
        <v>36162800</v>
      </c>
      <c r="E4" s="47">
        <f>+E3*$H$4</f>
        <v>59191650</v>
      </c>
      <c r="F4" s="47">
        <f>+F3*$H$4</f>
        <v>58700000</v>
      </c>
      <c r="G4" s="43">
        <f t="shared" si="0"/>
        <v>311280620</v>
      </c>
      <c r="H4" s="120">
        <v>0.1</v>
      </c>
    </row>
    <row r="5" spans="1:10">
      <c r="A5" s="48" t="s">
        <v>2189</v>
      </c>
      <c r="B5" s="47"/>
      <c r="C5" s="47"/>
      <c r="D5" s="47"/>
      <c r="E5" s="47"/>
      <c r="F5" s="47"/>
      <c r="G5" s="43">
        <f t="shared" si="0"/>
        <v>0</v>
      </c>
      <c r="H5" s="120">
        <v>0.06</v>
      </c>
    </row>
    <row r="6" spans="1:10">
      <c r="A6" s="48" t="s">
        <v>2188</v>
      </c>
      <c r="B6" s="47"/>
      <c r="C6" s="47"/>
      <c r="D6" s="47"/>
      <c r="E6" s="47"/>
      <c r="F6" s="47"/>
      <c r="G6" s="43">
        <f t="shared" si="0"/>
        <v>0</v>
      </c>
      <c r="H6" s="120">
        <v>0.05</v>
      </c>
    </row>
    <row r="7" spans="1:10">
      <c r="A7" s="48" t="s">
        <v>2174</v>
      </c>
      <c r="B7" s="47">
        <f>0.308*12000</f>
        <v>3696</v>
      </c>
      <c r="C7" s="47">
        <v>20000</v>
      </c>
      <c r="D7" s="47">
        <v>18000</v>
      </c>
      <c r="E7" s="47">
        <v>25000</v>
      </c>
      <c r="F7" s="47">
        <v>21000</v>
      </c>
      <c r="G7" s="43"/>
      <c r="H7" s="11"/>
    </row>
    <row r="8" spans="1:10">
      <c r="A8" s="48" t="s">
        <v>2173</v>
      </c>
      <c r="B8" s="47">
        <f>B7*B2</f>
        <v>265930896</v>
      </c>
      <c r="C8" s="47">
        <f>C7*C2</f>
        <v>204200000</v>
      </c>
      <c r="D8" s="47">
        <f>D7*D2</f>
        <v>210420000</v>
      </c>
      <c r="E8" s="47">
        <f>E7*E2</f>
        <v>283500000</v>
      </c>
      <c r="F8" s="47">
        <f>F7*F2</f>
        <v>309540000</v>
      </c>
      <c r="G8" s="43">
        <f t="shared" ref="G8:G13" si="1">SUM(B8:F8)</f>
        <v>1273590896</v>
      </c>
      <c r="H8" s="11"/>
    </row>
    <row r="9" spans="1:10">
      <c r="A9" s="48" t="s">
        <v>2172</v>
      </c>
      <c r="B9" s="44">
        <f>B3-B4-B5-B8</f>
        <v>847235634</v>
      </c>
      <c r="C9" s="44">
        <f>C3-C4-C5-C8</f>
        <v>97669000</v>
      </c>
      <c r="D9" s="44">
        <f>D3-D4-D5-D8</f>
        <v>115045200</v>
      </c>
      <c r="E9" s="44">
        <f>E3-E4-E5-E8</f>
        <v>249224850</v>
      </c>
      <c r="F9" s="44">
        <f>F3-F4-F5-F8</f>
        <v>218760000</v>
      </c>
      <c r="G9" s="43">
        <f t="shared" si="1"/>
        <v>1527934684</v>
      </c>
      <c r="H9" s="11"/>
    </row>
    <row r="10" spans="1:10">
      <c r="A10" s="48" t="s">
        <v>2190</v>
      </c>
      <c r="B10" s="44">
        <f>B9*50%</f>
        <v>423617817</v>
      </c>
      <c r="C10" s="44">
        <f>C9*50%</f>
        <v>48834500</v>
      </c>
      <c r="D10" s="44">
        <f>D9*50%</f>
        <v>57522600</v>
      </c>
      <c r="E10" s="44">
        <f>E9*50%</f>
        <v>124612425</v>
      </c>
      <c r="F10" s="44">
        <f>F9*50%</f>
        <v>109380000</v>
      </c>
      <c r="G10" s="43">
        <f t="shared" si="1"/>
        <v>763967342</v>
      </c>
      <c r="H10" s="11"/>
      <c r="I10" s="60"/>
    </row>
    <row r="11" spans="1:10">
      <c r="A11" s="48" t="s">
        <v>2194</v>
      </c>
      <c r="B11" s="44">
        <f>+B9*50%</f>
        <v>423617817</v>
      </c>
      <c r="C11" s="44">
        <f>+C9*50%</f>
        <v>48834500</v>
      </c>
      <c r="D11" s="44">
        <f>+D9*50%</f>
        <v>57522600</v>
      </c>
      <c r="E11" s="44">
        <f>+E9*50%</f>
        <v>124612425</v>
      </c>
      <c r="F11" s="44">
        <f>+F9*50%</f>
        <v>109380000</v>
      </c>
      <c r="G11" s="43">
        <f t="shared" si="1"/>
        <v>763967342</v>
      </c>
      <c r="H11" s="11"/>
    </row>
    <row r="12" spans="1:10">
      <c r="A12" s="48" t="s">
        <v>2205</v>
      </c>
      <c r="B12" s="44">
        <f>SUMIFS('Продажа 2'!$N:$N,'Продажа 2'!$I:$I,B1)</f>
        <v>1236721300</v>
      </c>
      <c r="C12" s="44">
        <f>SUMIFS('Продажа 2'!$N:$N,'Продажа 2'!$I:$I,C1)</f>
        <v>263322200</v>
      </c>
      <c r="D12" s="44">
        <f>SUMIFS('Продажа 2'!$N:$N,'Продажа 2'!$I:$I,D1)</f>
        <v>299287000</v>
      </c>
      <c r="E12" s="44">
        <f>SUMIFS('Продажа 2'!$N:$N,'Продажа 2'!$I:$I,E1)</f>
        <v>512256500</v>
      </c>
      <c r="F12" s="44">
        <f>SUMIFS('Продажа 2'!$N:$N,'Продажа 2'!$I:$I,F1)</f>
        <v>410256000</v>
      </c>
      <c r="G12" s="43">
        <f t="shared" si="1"/>
        <v>2721843000</v>
      </c>
      <c r="H12" s="11"/>
      <c r="I12" s="60"/>
    </row>
    <row r="13" spans="1:10">
      <c r="A13" s="48" t="s">
        <v>2200</v>
      </c>
      <c r="B13" s="44">
        <f>SUMIFS('Продажа 2'!$O:$O,'Продажа 2'!$I:$I,B1)</f>
        <v>130400</v>
      </c>
      <c r="C13" s="44">
        <f>SUMIFS('Продажа 2'!$O:$O,'Продажа 2'!$I:$I,C1)</f>
        <v>72087800</v>
      </c>
      <c r="D13" s="44">
        <f>SUMIFS('Продажа 2'!$O:$O,'Продажа 2'!$I:$I,D1)</f>
        <v>62341000</v>
      </c>
      <c r="E13" s="44">
        <f>SUMIFS('Продажа 2'!$O:$O,'Продажа 2'!$I:$I,E1)</f>
        <v>79660000</v>
      </c>
      <c r="F13" s="44">
        <f>SUMIFS('Продажа 2'!$O:$O,'Продажа 2'!$I:$I,F1)</f>
        <v>176744000</v>
      </c>
      <c r="G13" s="43">
        <f t="shared" si="1"/>
        <v>390963200</v>
      </c>
      <c r="H13" s="117"/>
    </row>
    <row r="14" spans="1:10">
      <c r="H14" s="11"/>
    </row>
    <row r="15" spans="1:10">
      <c r="H15" s="11"/>
    </row>
    <row r="16" spans="1:10">
      <c r="H16" s="11"/>
    </row>
    <row r="17" spans="8:8">
      <c r="H17" s="11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5109-1B51-4948-9B0A-F364078602A3}">
  <dimension ref="A1:B15"/>
  <sheetViews>
    <sheetView zoomScale="161" workbookViewId="0">
      <selection activeCell="B16" sqref="B16"/>
    </sheetView>
  </sheetViews>
  <sheetFormatPr baseColWidth="10" defaultRowHeight="16"/>
  <cols>
    <col min="1" max="1" width="17.1640625" bestFit="1" customWidth="1"/>
    <col min="2" max="2" width="14.33203125" bestFit="1" customWidth="1"/>
  </cols>
  <sheetData>
    <row r="1" spans="1:2" ht="19">
      <c r="A1" s="65" t="s">
        <v>2165</v>
      </c>
      <c r="B1" s="65"/>
    </row>
    <row r="2" spans="1:2">
      <c r="A2" s="37" t="s">
        <v>2159</v>
      </c>
      <c r="B2" s="38">
        <f>SUBTOTAL(9,B3:B8)</f>
        <v>2510800664</v>
      </c>
    </row>
    <row r="3" spans="1:2">
      <c r="A3" s="39" t="s">
        <v>2160</v>
      </c>
      <c r="B3" s="40">
        <v>300000000</v>
      </c>
    </row>
    <row r="4" spans="1:2">
      <c r="A4" s="39" t="s">
        <v>1314</v>
      </c>
      <c r="B4" s="40">
        <v>86123662</v>
      </c>
    </row>
    <row r="5" spans="1:2">
      <c r="A5" s="39" t="s">
        <v>2161</v>
      </c>
      <c r="B5" s="40">
        <v>165552675</v>
      </c>
    </row>
    <row r="6" spans="1:2">
      <c r="A6" s="39" t="s">
        <v>2162</v>
      </c>
      <c r="B6" s="40">
        <v>172247327</v>
      </c>
    </row>
    <row r="7" spans="1:2">
      <c r="A7" s="39" t="s">
        <v>2163</v>
      </c>
      <c r="B7" s="41">
        <v>1086877000</v>
      </c>
    </row>
    <row r="8" spans="1:2">
      <c r="A8" s="39" t="s">
        <v>2164</v>
      </c>
      <c r="B8" s="40">
        <v>700000000</v>
      </c>
    </row>
    <row r="10" spans="1:2">
      <c r="A10" s="48" t="s">
        <v>2173</v>
      </c>
      <c r="B10" s="122">
        <f>+'2H'!G8+Перечеслени!G10</f>
        <v>2070553256</v>
      </c>
    </row>
    <row r="11" spans="1:2">
      <c r="A11" s="48" t="s">
        <v>2172</v>
      </c>
      <c r="B11" s="122">
        <f>'2H'!G9+Перечеслени!G11</f>
        <v>2331248986.7399983</v>
      </c>
    </row>
    <row r="12" spans="1:2">
      <c r="A12" s="48" t="s">
        <v>2190</v>
      </c>
      <c r="B12" s="122">
        <f>+B11/2</f>
        <v>1165624493.3699992</v>
      </c>
    </row>
    <row r="13" spans="1:2">
      <c r="A13" s="48" t="s">
        <v>2192</v>
      </c>
      <c r="B13" s="122">
        <v>2510800664</v>
      </c>
    </row>
    <row r="14" spans="1:2">
      <c r="A14" s="48" t="s">
        <v>2193</v>
      </c>
      <c r="B14" s="122">
        <f>B10+B11-B12-B13</f>
        <v>725377085.36999893</v>
      </c>
    </row>
    <row r="15" spans="1:2">
      <c r="A15" s="119" t="s">
        <v>2204</v>
      </c>
      <c r="B15" s="122">
        <f>'2H'!G13+Перечеслени!G15</f>
        <v>796213646.82999992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D77A-90DE-D744-870D-E6FB628A29EF}">
  <dimension ref="B1:M72"/>
  <sheetViews>
    <sheetView topLeftCell="A18" zoomScale="125" zoomScaleNormal="146" workbookViewId="0">
      <selection activeCell="B31" sqref="B31:E37"/>
    </sheetView>
  </sheetViews>
  <sheetFormatPr baseColWidth="10" defaultColWidth="8.1640625" defaultRowHeight="16"/>
  <cols>
    <col min="2" max="2" width="52.5" bestFit="1" customWidth="1"/>
    <col min="3" max="3" width="16.5" customWidth="1"/>
    <col min="4" max="4" width="27.1640625" bestFit="1" customWidth="1"/>
    <col min="5" max="5" width="25.1640625" bestFit="1" customWidth="1"/>
    <col min="6" max="6" width="24.6640625" customWidth="1"/>
    <col min="7" max="7" width="21.6640625" customWidth="1"/>
    <col min="8" max="8" width="19.33203125" bestFit="1" customWidth="1"/>
    <col min="9" max="9" width="19.5" style="9" customWidth="1"/>
    <col min="10" max="10" width="30.1640625" customWidth="1"/>
    <col min="11" max="11" width="16.1640625" bestFit="1" customWidth="1"/>
    <col min="12" max="12" width="15.1640625" bestFit="1" customWidth="1"/>
  </cols>
  <sheetData>
    <row r="1" spans="2:13" ht="18">
      <c r="B1" s="63" t="s">
        <v>2144</v>
      </c>
      <c r="C1" s="63"/>
      <c r="D1" s="63"/>
      <c r="E1" s="63"/>
      <c r="F1" s="17"/>
      <c r="G1" s="17"/>
      <c r="H1" s="64" t="s">
        <v>2140</v>
      </c>
      <c r="I1" s="64"/>
      <c r="J1" s="64"/>
      <c r="K1" s="64"/>
    </row>
    <row r="2" spans="2:13">
      <c r="B2" s="19" t="s">
        <v>2158</v>
      </c>
      <c r="C2" s="20">
        <v>45911</v>
      </c>
      <c r="D2" s="21" t="s">
        <v>2141</v>
      </c>
      <c r="E2" s="22">
        <v>21604</v>
      </c>
      <c r="F2" s="17"/>
      <c r="G2" s="17"/>
      <c r="H2" s="21" t="s">
        <v>2157</v>
      </c>
      <c r="I2" s="23">
        <f>8000+2000+1500+3000+1000+2000</f>
        <v>17500</v>
      </c>
      <c r="J2" s="24"/>
      <c r="K2" s="24"/>
    </row>
    <row r="3" spans="2:13">
      <c r="B3" s="19" t="s">
        <v>2158</v>
      </c>
      <c r="C3" s="20">
        <v>46105</v>
      </c>
      <c r="D3" s="21" t="s">
        <v>2147</v>
      </c>
      <c r="E3" s="22">
        <v>25822</v>
      </c>
      <c r="F3" s="17"/>
      <c r="G3" s="17"/>
      <c r="H3" s="21" t="s">
        <v>2156</v>
      </c>
      <c r="I3" s="23">
        <f>2000+2000+1500+2000+2000+2000+2000+2000+1000</f>
        <v>16500</v>
      </c>
      <c r="J3" s="24"/>
      <c r="K3" s="24"/>
    </row>
    <row r="4" spans="2:13">
      <c r="B4" s="25"/>
      <c r="C4" s="25"/>
      <c r="D4" s="26"/>
      <c r="E4" s="27">
        <f>SUM(E2:E3)</f>
        <v>47426</v>
      </c>
      <c r="F4" s="17"/>
      <c r="G4" s="17"/>
      <c r="H4" s="28" t="s">
        <v>2137</v>
      </c>
      <c r="I4" s="29">
        <f>SUM(I2:I3)</f>
        <v>34000</v>
      </c>
      <c r="J4" s="17"/>
      <c r="K4" s="17"/>
    </row>
    <row r="5" spans="2:13">
      <c r="B5" s="17"/>
      <c r="C5" s="17"/>
      <c r="D5" s="17"/>
      <c r="E5" s="17"/>
      <c r="F5" s="17"/>
      <c r="G5" s="17"/>
      <c r="H5" s="17"/>
      <c r="I5" s="68"/>
      <c r="J5" s="17"/>
      <c r="K5" s="17"/>
    </row>
    <row r="6" spans="2:13">
      <c r="B6" s="17"/>
      <c r="C6" s="17"/>
      <c r="D6" s="17"/>
      <c r="E6" s="17"/>
      <c r="F6" s="17"/>
      <c r="G6" s="17"/>
      <c r="H6" s="17"/>
      <c r="I6" s="68"/>
      <c r="J6" s="17"/>
      <c r="K6" s="17"/>
    </row>
    <row r="7" spans="2:13" ht="18">
      <c r="B7" s="64" t="s">
        <v>2140</v>
      </c>
      <c r="C7" s="64"/>
      <c r="D7" s="64"/>
      <c r="E7" s="64"/>
      <c r="F7" s="17"/>
      <c r="G7" s="17"/>
      <c r="H7" s="17"/>
      <c r="I7" s="68"/>
      <c r="J7" s="17"/>
      <c r="K7" s="17"/>
    </row>
    <row r="8" spans="2:13">
      <c r="B8" s="21" t="s">
        <v>2155</v>
      </c>
      <c r="C8" s="23">
        <f>2040+4080+4080</f>
        <v>10200</v>
      </c>
      <c r="D8" s="24"/>
      <c r="E8" s="24"/>
      <c r="F8" s="17"/>
      <c r="G8" s="17"/>
      <c r="H8" s="17"/>
      <c r="I8" s="68"/>
      <c r="J8" s="17"/>
      <c r="K8" s="17"/>
    </row>
    <row r="9" spans="2:13">
      <c r="B9" s="21" t="s">
        <v>2154</v>
      </c>
      <c r="C9" s="23">
        <f>7080+12000+12000+12000+12000+38040</f>
        <v>93120</v>
      </c>
      <c r="D9" s="24"/>
      <c r="E9" s="24"/>
      <c r="F9" s="17"/>
      <c r="G9" s="17"/>
      <c r="H9" s="17"/>
      <c r="I9" s="68"/>
      <c r="J9" s="17"/>
      <c r="K9" s="17"/>
    </row>
    <row r="10" spans="2:13">
      <c r="B10" s="28" t="s">
        <v>2137</v>
      </c>
      <c r="C10" s="29">
        <f>SUM(C8:C9)</f>
        <v>103320</v>
      </c>
      <c r="D10" s="17"/>
      <c r="E10" s="17"/>
      <c r="F10" s="17"/>
      <c r="G10" s="17"/>
      <c r="H10" s="17"/>
      <c r="I10" s="68"/>
      <c r="J10" s="17"/>
      <c r="K10" s="17"/>
    </row>
    <row r="11" spans="2:13" ht="19">
      <c r="B11" s="63" t="s">
        <v>2144</v>
      </c>
      <c r="C11" s="63"/>
      <c r="D11" s="63"/>
      <c r="E11" s="63"/>
      <c r="F11" s="17"/>
      <c r="G11" s="18" t="s">
        <v>2140</v>
      </c>
      <c r="H11" s="18"/>
      <c r="I11" s="18"/>
      <c r="J11" s="30" t="s">
        <v>2149</v>
      </c>
      <c r="K11" s="30"/>
      <c r="L11" s="16"/>
      <c r="M11" s="16"/>
    </row>
    <row r="12" spans="2:13">
      <c r="B12" s="19" t="s">
        <v>2153</v>
      </c>
      <c r="C12" s="20">
        <v>45905</v>
      </c>
      <c r="D12" s="21" t="s">
        <v>2141</v>
      </c>
      <c r="E12" s="22">
        <v>21906</v>
      </c>
      <c r="F12" s="17"/>
      <c r="G12" s="21" t="s">
        <v>2151</v>
      </c>
      <c r="H12" s="23">
        <f>6000+3000+1500+2000+6000+2500+3000+1000+2500</f>
        <v>27500</v>
      </c>
      <c r="I12" s="67"/>
      <c r="J12" s="21" t="s">
        <v>2141</v>
      </c>
      <c r="K12" s="31">
        <v>14319</v>
      </c>
    </row>
    <row r="13" spans="2:13">
      <c r="B13" s="19" t="s">
        <v>2153</v>
      </c>
      <c r="C13" s="20">
        <v>46009</v>
      </c>
      <c r="D13" s="21" t="s">
        <v>2152</v>
      </c>
      <c r="E13" s="22">
        <v>37000</v>
      </c>
      <c r="F13" s="17"/>
      <c r="G13" s="21" t="s">
        <v>2150</v>
      </c>
      <c r="H13" s="23">
        <f>3000+2000+1500+2200+3000+2000+2000+1000</f>
        <v>16700</v>
      </c>
      <c r="I13" s="67"/>
      <c r="J13" s="21" t="s">
        <v>2141</v>
      </c>
      <c r="K13" s="31">
        <v>1205</v>
      </c>
    </row>
    <row r="14" spans="2:13">
      <c r="B14" s="25"/>
      <c r="C14" s="25"/>
      <c r="D14" s="26"/>
      <c r="E14" s="27">
        <f>SUM(E12:E13)</f>
        <v>58906</v>
      </c>
      <c r="F14" s="17"/>
      <c r="G14" s="28" t="s">
        <v>2137</v>
      </c>
      <c r="H14" s="29">
        <f>SUM(H12:H13)</f>
        <v>44200</v>
      </c>
      <c r="I14" s="68"/>
      <c r="J14" s="28" t="s">
        <v>2137</v>
      </c>
      <c r="K14" s="32">
        <f>SUM(K12:K13)</f>
        <v>15524</v>
      </c>
      <c r="L14" s="36">
        <f>+H14-K14</f>
        <v>28676</v>
      </c>
    </row>
    <row r="15" spans="2:13">
      <c r="B15" s="17"/>
      <c r="C15" s="17"/>
      <c r="D15" s="17"/>
      <c r="E15" s="17"/>
      <c r="F15" s="17"/>
      <c r="G15" s="17"/>
      <c r="H15" s="17"/>
      <c r="I15" s="68"/>
      <c r="J15" s="17"/>
      <c r="K15" s="17"/>
    </row>
    <row r="16" spans="2:13">
      <c r="B16" s="17"/>
      <c r="C16" s="17"/>
      <c r="D16" s="17"/>
      <c r="E16" s="17"/>
      <c r="F16" s="17"/>
      <c r="G16" s="17"/>
      <c r="H16" s="17"/>
      <c r="I16" s="68"/>
      <c r="J16" s="17"/>
      <c r="K16" s="17"/>
    </row>
    <row r="17" spans="2:11" ht="18">
      <c r="B17" s="63" t="s">
        <v>2144</v>
      </c>
      <c r="C17" s="63"/>
      <c r="D17" s="63"/>
      <c r="E17" s="63"/>
      <c r="F17" s="17"/>
      <c r="G17" s="17"/>
      <c r="H17" s="64" t="s">
        <v>2140</v>
      </c>
      <c r="I17" s="64"/>
      <c r="J17" s="64"/>
      <c r="K17" s="64"/>
    </row>
    <row r="18" spans="2:11">
      <c r="B18" s="19" t="s">
        <v>2148</v>
      </c>
      <c r="C18" s="20">
        <v>45924</v>
      </c>
      <c r="D18" s="21" t="s">
        <v>2141</v>
      </c>
      <c r="E18" s="22">
        <v>17690</v>
      </c>
      <c r="F18" s="17"/>
      <c r="G18" s="17"/>
      <c r="H18" s="21" t="s">
        <v>2146</v>
      </c>
      <c r="I18" s="23">
        <f>8000+2000+1204+3000+2000+1000+2480</f>
        <v>19684</v>
      </c>
      <c r="J18" s="24"/>
      <c r="K18" s="24"/>
    </row>
    <row r="19" spans="2:11">
      <c r="B19" s="19" t="s">
        <v>2148</v>
      </c>
      <c r="C19" s="20">
        <v>46088</v>
      </c>
      <c r="D19" s="21" t="s">
        <v>2147</v>
      </c>
      <c r="E19" s="22">
        <v>16695</v>
      </c>
      <c r="F19" s="17"/>
      <c r="G19" s="17"/>
      <c r="H19" s="21" t="s">
        <v>2145</v>
      </c>
      <c r="I19" s="23">
        <f>2695+4000+5000+2000+1000</f>
        <v>14695</v>
      </c>
      <c r="J19" s="24"/>
      <c r="K19" s="24"/>
    </row>
    <row r="20" spans="2:11">
      <c r="B20" s="25"/>
      <c r="C20" s="25"/>
      <c r="D20" s="26"/>
      <c r="E20" s="27">
        <f>SUM(E18:E19)</f>
        <v>34385</v>
      </c>
      <c r="F20" s="17"/>
      <c r="G20" s="17"/>
      <c r="H20" s="28" t="s">
        <v>2137</v>
      </c>
      <c r="I20" s="29">
        <f>SUM(I18:I19)</f>
        <v>34379</v>
      </c>
      <c r="J20" s="17"/>
      <c r="K20" s="17"/>
    </row>
    <row r="21" spans="2:11">
      <c r="B21" s="17"/>
      <c r="C21" s="17"/>
      <c r="D21" s="17"/>
      <c r="E21" s="17"/>
      <c r="F21" s="17"/>
      <c r="G21" s="17"/>
      <c r="H21" s="17"/>
      <c r="I21" s="68"/>
      <c r="J21" s="17"/>
      <c r="K21" s="17"/>
    </row>
    <row r="22" spans="2:11">
      <c r="B22" s="17"/>
      <c r="C22" s="17"/>
      <c r="D22" s="17"/>
      <c r="E22" s="17"/>
      <c r="F22" s="17"/>
      <c r="G22" s="17"/>
      <c r="H22" s="17"/>
      <c r="I22" s="68"/>
      <c r="J22" s="17"/>
      <c r="K22" s="17"/>
    </row>
    <row r="23" spans="2:11" ht="18">
      <c r="B23" s="63" t="s">
        <v>2144</v>
      </c>
      <c r="C23" s="63"/>
      <c r="D23" s="63"/>
      <c r="E23" s="63"/>
      <c r="F23" s="17"/>
      <c r="G23" s="64" t="s">
        <v>2140</v>
      </c>
      <c r="H23" s="64"/>
      <c r="I23" s="64"/>
      <c r="J23" s="64"/>
      <c r="K23" s="17"/>
    </row>
    <row r="24" spans="2:11">
      <c r="B24" s="19" t="s">
        <v>2142</v>
      </c>
      <c r="C24" s="20">
        <v>45947</v>
      </c>
      <c r="D24" s="21" t="s">
        <v>2141</v>
      </c>
      <c r="E24" s="22">
        <v>18264</v>
      </c>
      <c r="F24" s="17"/>
      <c r="G24" s="21" t="s">
        <v>2139</v>
      </c>
      <c r="H24" s="23">
        <f>6000+2400+2000+3000</f>
        <v>13400</v>
      </c>
      <c r="I24" s="67"/>
      <c r="J24" s="24"/>
      <c r="K24" s="17"/>
    </row>
    <row r="25" spans="2:11">
      <c r="B25" s="19" t="s">
        <v>2142</v>
      </c>
      <c r="C25" s="20">
        <v>45985</v>
      </c>
      <c r="D25" s="21" t="s">
        <v>2143</v>
      </c>
      <c r="E25" s="22">
        <v>19771</v>
      </c>
      <c r="F25" s="17"/>
      <c r="G25" s="21" t="s">
        <v>2138</v>
      </c>
      <c r="H25" s="23">
        <f>3000+2520+3000+2000+4000+2000+2000</f>
        <v>18520</v>
      </c>
      <c r="I25" s="67"/>
      <c r="J25" s="24"/>
      <c r="K25" s="17"/>
    </row>
    <row r="26" spans="2:11">
      <c r="B26" s="19" t="s">
        <v>2142</v>
      </c>
      <c r="C26" s="20">
        <v>46149</v>
      </c>
      <c r="D26" s="21" t="s">
        <v>2141</v>
      </c>
      <c r="E26" s="22">
        <v>19936</v>
      </c>
      <c r="F26" s="17"/>
      <c r="G26" s="28" t="s">
        <v>2137</v>
      </c>
      <c r="H26" s="29">
        <f>SUM(H24:H25)</f>
        <v>31920</v>
      </c>
      <c r="I26" s="68"/>
      <c r="J26" s="17"/>
      <c r="K26" s="17"/>
    </row>
    <row r="27" spans="2:11">
      <c r="B27" s="25"/>
      <c r="C27" s="25"/>
      <c r="D27" s="26"/>
      <c r="E27" s="27">
        <f>SUM(E24:E26)</f>
        <v>57971</v>
      </c>
      <c r="F27" s="17"/>
      <c r="G27" s="17"/>
      <c r="H27" s="17"/>
      <c r="I27" s="68"/>
      <c r="J27" s="17"/>
      <c r="K27" s="17"/>
    </row>
    <row r="28" spans="2:11">
      <c r="B28" s="17"/>
      <c r="C28" s="17"/>
      <c r="D28" s="17"/>
      <c r="E28" s="17"/>
      <c r="F28" s="17"/>
      <c r="G28" s="17"/>
      <c r="H28" s="17"/>
      <c r="I28" s="68"/>
      <c r="J28" s="17"/>
      <c r="K28" s="17"/>
    </row>
    <row r="29" spans="2:11">
      <c r="B29" s="17"/>
      <c r="C29" s="17"/>
      <c r="D29" s="17"/>
      <c r="E29" s="17"/>
      <c r="F29" s="17"/>
      <c r="G29" s="17"/>
      <c r="H29" s="17"/>
      <c r="I29" s="68"/>
      <c r="J29" s="17"/>
      <c r="K29" s="17"/>
    </row>
    <row r="30" spans="2:11">
      <c r="B30" s="17"/>
    </row>
    <row r="39" spans="2:4" ht="19">
      <c r="B39" s="65" t="s">
        <v>2165</v>
      </c>
      <c r="C39" s="65"/>
      <c r="D39" s="58"/>
    </row>
    <row r="40" spans="2:4">
      <c r="B40" s="37" t="s">
        <v>2159</v>
      </c>
      <c r="C40" s="38">
        <f>SUBTOTAL(9,C41:C46)</f>
        <v>2510800664</v>
      </c>
      <c r="D40" s="59"/>
    </row>
    <row r="41" spans="2:4">
      <c r="B41" s="39" t="s">
        <v>2160</v>
      </c>
      <c r="C41" s="40">
        <v>300000000</v>
      </c>
    </row>
    <row r="42" spans="2:4">
      <c r="B42" s="39" t="s">
        <v>1314</v>
      </c>
      <c r="C42" s="40">
        <v>86123662</v>
      </c>
    </row>
    <row r="43" spans="2:4">
      <c r="B43" s="39" t="s">
        <v>2161</v>
      </c>
      <c r="C43" s="40">
        <v>165552675</v>
      </c>
    </row>
    <row r="44" spans="2:4">
      <c r="B44" s="39" t="s">
        <v>2162</v>
      </c>
      <c r="C44" s="40">
        <v>172247327</v>
      </c>
    </row>
    <row r="45" spans="2:4">
      <c r="B45" s="39" t="s">
        <v>2163</v>
      </c>
      <c r="C45" s="41">
        <v>1086877000</v>
      </c>
    </row>
    <row r="46" spans="2:4">
      <c r="B46" s="39" t="s">
        <v>2164</v>
      </c>
      <c r="C46" s="40">
        <v>700000000</v>
      </c>
    </row>
    <row r="51" spans="2:13" ht="51">
      <c r="B51" s="45" t="s">
        <v>2179</v>
      </c>
      <c r="C51" s="51" t="s">
        <v>21</v>
      </c>
      <c r="D51" s="51" t="s">
        <v>38</v>
      </c>
      <c r="E51" s="51" t="s">
        <v>46</v>
      </c>
      <c r="F51" s="51" t="s">
        <v>466</v>
      </c>
      <c r="G51" s="51" t="s">
        <v>41</v>
      </c>
      <c r="H51" s="50" t="s">
        <v>2137</v>
      </c>
      <c r="J51" t="s">
        <v>2171</v>
      </c>
      <c r="K51" s="42">
        <v>30000</v>
      </c>
    </row>
    <row r="52" spans="2:13" s="15" customFormat="1">
      <c r="B52" s="48" t="s">
        <v>2178</v>
      </c>
      <c r="C52" s="47">
        <v>40621</v>
      </c>
      <c r="D52" s="47">
        <v>65000</v>
      </c>
      <c r="E52" s="47">
        <v>64700</v>
      </c>
      <c r="F52" s="47">
        <v>120000</v>
      </c>
      <c r="G52" s="47">
        <v>90000</v>
      </c>
      <c r="H52" s="47"/>
      <c r="J52" t="s">
        <v>2170</v>
      </c>
      <c r="K52" s="42">
        <v>50000</v>
      </c>
      <c r="L52"/>
      <c r="M52"/>
    </row>
    <row r="53" spans="2:13">
      <c r="B53" s="48" t="s">
        <v>2184</v>
      </c>
      <c r="C53" s="47">
        <v>29785</v>
      </c>
      <c r="D53" s="47">
        <v>9486</v>
      </c>
      <c r="E53" s="47">
        <v>5866</v>
      </c>
      <c r="F53" s="47">
        <v>5361</v>
      </c>
      <c r="G53" s="47">
        <v>12264</v>
      </c>
      <c r="H53" s="47"/>
      <c r="K53" s="42">
        <f>+K52-K51</f>
        <v>20000</v>
      </c>
    </row>
    <row r="54" spans="2:13">
      <c r="B54" s="48" t="s">
        <v>2185</v>
      </c>
      <c r="C54" s="47">
        <v>611566799</v>
      </c>
      <c r="D54" s="47">
        <v>261816100</v>
      </c>
      <c r="E54" s="47">
        <v>154014456</v>
      </c>
      <c r="F54" s="47">
        <v>289030040</v>
      </c>
      <c r="G54" s="47">
        <v>393129800</v>
      </c>
      <c r="H54" s="43">
        <f>SUM(C54:G54)</f>
        <v>1709557195</v>
      </c>
      <c r="J54" t="s">
        <v>2169</v>
      </c>
      <c r="K54" s="42">
        <v>10000</v>
      </c>
    </row>
    <row r="55" spans="2:13">
      <c r="B55" s="48" t="s">
        <v>2186</v>
      </c>
      <c r="C55" s="49">
        <v>1157064091.9999998</v>
      </c>
      <c r="D55" s="49">
        <v>613440000</v>
      </c>
      <c r="E55" s="49">
        <v>379530200</v>
      </c>
      <c r="F55" s="49">
        <v>641928000</v>
      </c>
      <c r="G55" s="49">
        <v>1100848000</v>
      </c>
      <c r="H55" s="43">
        <f>SUM(C55:G55)</f>
        <v>3892810292</v>
      </c>
      <c r="J55" t="s">
        <v>2168</v>
      </c>
      <c r="K55" s="42">
        <f>K53-K54</f>
        <v>10000</v>
      </c>
    </row>
    <row r="56" spans="2:13">
      <c r="B56" s="48" t="s">
        <v>2187</v>
      </c>
      <c r="C56" s="49">
        <f>77090-3700</f>
        <v>73390</v>
      </c>
      <c r="D56" s="49">
        <v>10210</v>
      </c>
      <c r="E56" s="49">
        <v>11690</v>
      </c>
      <c r="F56" s="49">
        <v>11335</v>
      </c>
      <c r="G56" s="49">
        <v>14740</v>
      </c>
      <c r="H56" s="43"/>
      <c r="J56" t="s">
        <v>2167</v>
      </c>
      <c r="K56" s="42">
        <v>35000</v>
      </c>
      <c r="L56" t="s">
        <v>2166</v>
      </c>
    </row>
    <row r="57" spans="2:13">
      <c r="B57" s="48" t="s">
        <v>2195</v>
      </c>
      <c r="C57" s="49">
        <f>C56+C53</f>
        <v>103175</v>
      </c>
      <c r="D57" s="49">
        <f>D56+D53</f>
        <v>19696</v>
      </c>
      <c r="E57" s="49">
        <f>E56+E53</f>
        <v>17556</v>
      </c>
      <c r="F57" s="49">
        <f>F56+F53</f>
        <v>16696</v>
      </c>
      <c r="G57" s="49">
        <f>G56+G53</f>
        <v>27004</v>
      </c>
      <c r="H57" s="43"/>
      <c r="K57" s="42"/>
    </row>
    <row r="58" spans="2:13">
      <c r="B58" s="48" t="s">
        <v>2177</v>
      </c>
      <c r="C58" s="47">
        <v>1236831000</v>
      </c>
      <c r="D58" s="47">
        <v>335410000</v>
      </c>
      <c r="E58" s="47">
        <v>361628000</v>
      </c>
      <c r="F58" s="47">
        <v>591916000</v>
      </c>
      <c r="G58" s="47">
        <v>587000000</v>
      </c>
      <c r="H58" s="43">
        <f t="shared" ref="H58:H62" si="0">SUM(C58:G58)</f>
        <v>3112785000</v>
      </c>
    </row>
    <row r="59" spans="2:13">
      <c r="B59" s="48" t="s">
        <v>2176</v>
      </c>
      <c r="C59" s="47">
        <f>C55+C58</f>
        <v>2393895092</v>
      </c>
      <c r="D59" s="47">
        <f>D55+D58</f>
        <v>948850000</v>
      </c>
      <c r="E59" s="47">
        <f>E55+E58</f>
        <v>741158200</v>
      </c>
      <c r="F59" s="47">
        <f>F55+F58</f>
        <v>1233844000</v>
      </c>
      <c r="G59" s="47">
        <f>G55+G58</f>
        <v>1687848000</v>
      </c>
      <c r="H59" s="43">
        <f>SUM(C59:G59)</f>
        <v>7005595292</v>
      </c>
    </row>
    <row r="60" spans="2:13">
      <c r="B60" s="48" t="s">
        <v>2175</v>
      </c>
      <c r="C60" s="47">
        <f>+C59*$I$60</f>
        <v>239389509.20000002</v>
      </c>
      <c r="D60" s="47">
        <f>+D59*$I$60</f>
        <v>94885000</v>
      </c>
      <c r="E60" s="47">
        <f>+E59*$I$60</f>
        <v>74115820</v>
      </c>
      <c r="F60" s="47">
        <f>+F59*$I$60</f>
        <v>123384400</v>
      </c>
      <c r="G60" s="47">
        <f>+G59*$I$60</f>
        <v>168784800</v>
      </c>
      <c r="H60" s="43">
        <f t="shared" si="0"/>
        <v>700559529.20000005</v>
      </c>
      <c r="I60" s="69">
        <v>0.1</v>
      </c>
    </row>
    <row r="61" spans="2:13" ht="17">
      <c r="B61" s="45" t="s">
        <v>2189</v>
      </c>
      <c r="C61" s="47">
        <f>+C71*6%</f>
        <v>49203404.879999995</v>
      </c>
      <c r="D61" s="47">
        <f>+D71*6%</f>
        <v>31200000</v>
      </c>
      <c r="E61" s="47">
        <f>+E71*6%</f>
        <v>23292000</v>
      </c>
      <c r="F61" s="47">
        <f>+F71*6%</f>
        <v>57600000</v>
      </c>
      <c r="G61" s="47">
        <f>+G71*6%</f>
        <v>32400000</v>
      </c>
      <c r="H61" s="43">
        <f t="shared" si="0"/>
        <v>193695404.88</v>
      </c>
      <c r="I61" s="69">
        <v>0.06</v>
      </c>
      <c r="J61" s="45" t="s">
        <v>2173</v>
      </c>
      <c r="K61" s="66">
        <v>2075746800</v>
      </c>
    </row>
    <row r="62" spans="2:13" ht="17">
      <c r="B62" s="45" t="s">
        <v>2188</v>
      </c>
      <c r="C62" s="47">
        <f>+C55*$I$62</f>
        <v>57853204.599999994</v>
      </c>
      <c r="D62" s="47">
        <f>+D55*$I$62</f>
        <v>30672000</v>
      </c>
      <c r="E62" s="47">
        <f>+E55*$I$62</f>
        <v>18976510</v>
      </c>
      <c r="F62" s="47">
        <f>+F55*$I$62</f>
        <v>32096400</v>
      </c>
      <c r="G62" s="47" t="s">
        <v>2198</v>
      </c>
      <c r="H62" s="43">
        <f>SUM(C62:G62)</f>
        <v>139598114.59999999</v>
      </c>
      <c r="I62" s="69">
        <v>0.05</v>
      </c>
      <c r="J62" s="45" t="s">
        <v>2172</v>
      </c>
      <c r="K62" s="66">
        <v>2131395848.3199999</v>
      </c>
    </row>
    <row r="63" spans="2:13" ht="17">
      <c r="B63" s="45" t="s">
        <v>2174</v>
      </c>
      <c r="C63" s="47">
        <f>0.308*12000</f>
        <v>3696</v>
      </c>
      <c r="D63" s="47">
        <v>20000</v>
      </c>
      <c r="E63" s="47">
        <v>18000</v>
      </c>
      <c r="F63" s="47">
        <v>25000</v>
      </c>
      <c r="G63" s="47">
        <v>21000</v>
      </c>
      <c r="H63" s="43"/>
      <c r="J63" s="45" t="s">
        <v>2190</v>
      </c>
      <c r="K63" s="66">
        <v>1065697924.1600001</v>
      </c>
    </row>
    <row r="64" spans="2:13" ht="17">
      <c r="B64" s="45" t="s">
        <v>2173</v>
      </c>
      <c r="C64" s="47">
        <f>C57*C63</f>
        <v>381334800</v>
      </c>
      <c r="D64" s="47">
        <f>D57*D63</f>
        <v>393920000</v>
      </c>
      <c r="E64" s="47">
        <f>E57*E63</f>
        <v>316008000</v>
      </c>
      <c r="F64" s="47">
        <f>F57*F63</f>
        <v>417400000</v>
      </c>
      <c r="G64" s="47">
        <f>G57*G63</f>
        <v>567084000</v>
      </c>
      <c r="H64" s="43">
        <f t="shared" ref="H64:H68" si="1">SUM(C64:G64)</f>
        <v>2075746800</v>
      </c>
      <c r="J64" s="45" t="s">
        <v>2192</v>
      </c>
      <c r="K64" s="66">
        <v>2510800664</v>
      </c>
    </row>
    <row r="65" spans="2:11" ht="17">
      <c r="B65" s="45" t="s">
        <v>2172</v>
      </c>
      <c r="C65" s="44">
        <f>C59-C54-C60-C61-C62-C64</f>
        <v>1054547374.3200002</v>
      </c>
      <c r="D65" s="44">
        <f>D59-D54-D60-D61-D62-D64</f>
        <v>136356900</v>
      </c>
      <c r="E65" s="44">
        <f>E59-E54-E60-E61-E62-E64</f>
        <v>154751414</v>
      </c>
      <c r="F65" s="44">
        <f>F59-F54-F60-F61-F62-F64</f>
        <v>314333160</v>
      </c>
      <c r="G65" s="44" t="e">
        <f>G59-G54-G60-G61-G62-G64</f>
        <v>#VALUE!</v>
      </c>
      <c r="H65" s="43" t="e">
        <f t="shared" si="1"/>
        <v>#VALUE!</v>
      </c>
      <c r="J65" s="45" t="s">
        <v>2193</v>
      </c>
      <c r="K65" s="66">
        <f>K61+K62-K63-K64</f>
        <v>630644060.15999985</v>
      </c>
    </row>
    <row r="66" spans="2:11" ht="17">
      <c r="B66" s="45" t="s">
        <v>2190</v>
      </c>
      <c r="C66" s="61">
        <f>+C65*$I$66</f>
        <v>527273687.16000009</v>
      </c>
      <c r="D66" s="61">
        <f>+D65*$I$66</f>
        <v>68178450</v>
      </c>
      <c r="E66" s="61">
        <f>+E65*$I$66</f>
        <v>77375707</v>
      </c>
      <c r="F66" s="61">
        <f>+F65*$I$66</f>
        <v>157166580</v>
      </c>
      <c r="G66" s="61" t="e">
        <f>+G65*$I$66</f>
        <v>#VALUE!</v>
      </c>
      <c r="H66" s="43" t="e">
        <f t="shared" si="1"/>
        <v>#VALUE!</v>
      </c>
      <c r="I66" s="69">
        <v>0.5</v>
      </c>
    </row>
    <row r="67" spans="2:11" ht="17">
      <c r="B67" s="45" t="s">
        <v>2194</v>
      </c>
      <c r="C67" s="61">
        <f>C65*$I$67</f>
        <v>527273687.16000009</v>
      </c>
      <c r="D67" s="61">
        <f>D65*$I$67</f>
        <v>68178450</v>
      </c>
      <c r="E67" s="61">
        <f>E65*$I$67</f>
        <v>77375707</v>
      </c>
      <c r="F67" s="61">
        <f>F65*$I$67</f>
        <v>157166580</v>
      </c>
      <c r="G67" s="61" t="e">
        <f>G65*$I$67</f>
        <v>#VALUE!</v>
      </c>
      <c r="H67" s="43" t="e">
        <f t="shared" si="1"/>
        <v>#VALUE!</v>
      </c>
      <c r="I67" s="69">
        <v>0.5</v>
      </c>
    </row>
    <row r="68" spans="2:11" ht="17">
      <c r="B68" s="45" t="s">
        <v>2192</v>
      </c>
      <c r="C68" s="61">
        <f>$C$40/5</f>
        <v>502160132.80000001</v>
      </c>
      <c r="D68" s="61">
        <f>$C$40/5</f>
        <v>502160132.80000001</v>
      </c>
      <c r="E68" s="61">
        <f>$C$40/5</f>
        <v>502160132.80000001</v>
      </c>
      <c r="F68" s="61">
        <f>$C$40/5</f>
        <v>502160132.80000001</v>
      </c>
      <c r="G68" s="61">
        <f>$C$40/5</f>
        <v>502160132.80000001</v>
      </c>
      <c r="H68" s="43">
        <f>SUM(C68:G68)</f>
        <v>2510800664</v>
      </c>
      <c r="I68" s="69"/>
    </row>
    <row r="69" spans="2:11" ht="17">
      <c r="B69" s="45" t="s">
        <v>2193</v>
      </c>
      <c r="C69" s="61">
        <f>C6</f>
        <v>0</v>
      </c>
      <c r="D69" s="61"/>
      <c r="E69" s="61"/>
      <c r="F69" s="61"/>
      <c r="G69" s="61"/>
      <c r="H69" s="43" t="e">
        <f>H64+H65-H68-H66</f>
        <v>#VALUE!</v>
      </c>
      <c r="I69" s="69"/>
    </row>
    <row r="70" spans="2:11" ht="17">
      <c r="B70" s="45" t="s">
        <v>2191</v>
      </c>
      <c r="C70" s="47">
        <v>20188</v>
      </c>
      <c r="D70" s="47">
        <v>8000</v>
      </c>
      <c r="E70" s="47">
        <v>6000</v>
      </c>
      <c r="F70" s="47">
        <v>8000</v>
      </c>
      <c r="G70" s="47">
        <v>6000</v>
      </c>
      <c r="J70" s="60"/>
    </row>
    <row r="71" spans="2:11">
      <c r="C71" s="60">
        <f>C70*C52</f>
        <v>820056748</v>
      </c>
      <c r="D71" s="60">
        <f>+D52*D70</f>
        <v>520000000</v>
      </c>
      <c r="E71" s="60">
        <f>+E52*E70</f>
        <v>388200000</v>
      </c>
      <c r="F71" s="60">
        <f>+F52*F70</f>
        <v>960000000</v>
      </c>
      <c r="G71" s="60">
        <f>+G52*G70</f>
        <v>540000000</v>
      </c>
      <c r="I71" s="70"/>
    </row>
    <row r="72" spans="2:11" ht="19">
      <c r="C72" s="46"/>
    </row>
  </sheetData>
  <mergeCells count="9">
    <mergeCell ref="B1:E1"/>
    <mergeCell ref="H1:K1"/>
    <mergeCell ref="B7:E7"/>
    <mergeCell ref="B11:E11"/>
    <mergeCell ref="B39:C39"/>
    <mergeCell ref="B17:E17"/>
    <mergeCell ref="H17:K17"/>
    <mergeCell ref="B23:E23"/>
    <mergeCell ref="G23:J2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PPS</vt:lpstr>
      <vt:lpstr>IPS</vt:lpstr>
      <vt:lpstr>RMF</vt:lpstr>
      <vt:lpstr>SFM</vt:lpstr>
      <vt:lpstr>PPS2</vt:lpstr>
      <vt:lpstr>IPS2</vt:lpstr>
      <vt:lpstr>RMF2</vt:lpstr>
      <vt:lpstr>Лист8</vt:lpstr>
      <vt:lpstr>Приход колва</vt:lpstr>
      <vt:lpstr>Продажа 2</vt:lpstr>
      <vt:lpstr>Продажа Переч</vt:lpstr>
      <vt:lpstr>Перечеслени</vt:lpstr>
      <vt:lpstr>2H</vt:lpstr>
      <vt:lpstr>Резюме</vt:lpstr>
      <vt:lpstr>Приход на Профи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 PPS</dc:creator>
  <cp:lastModifiedBy>PPSTOPTEAM PPSTOPTEAM</cp:lastModifiedBy>
  <dcterms:created xsi:type="dcterms:W3CDTF">2026-05-18T10:23:24Z</dcterms:created>
  <dcterms:modified xsi:type="dcterms:W3CDTF">2026-05-22T05:17:56Z</dcterms:modified>
</cp:coreProperties>
</file>